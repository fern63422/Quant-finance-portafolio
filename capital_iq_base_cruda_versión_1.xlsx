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Sheet1" sheetId="1" r:id="rId2"/>
    <sheet name="Screening Criteria" sheetId="2" r:id="rId3"/>
  </sheets>
  <definedNames/>
  <calcPr calcId="125725"/>
</workbook>
</file>

<file path=xl/calcChain.xml><?xml version="1.0" encoding="utf-8"?>
<calcChain xmlns="http://schemas.openxmlformats.org/spreadsheetml/2006/main">
  <c r="AP7" i="1" l="1"/>
</calcChain>
</file>

<file path=xl/sharedStrings.xml><?xml version="1.0" encoding="utf-8"?>
<sst xmlns="http://schemas.openxmlformats.org/spreadsheetml/2006/main" count="25495" uniqueCount="3927">
  <si>
    <t>SP_ENTITY_NAME</t>
  </si>
  <si>
    <t>SP_ENTITY_ID</t>
  </si>
  <si>
    <t>SP_EXCHANGE</t>
  </si>
  <si>
    <t>SP_COMPANY_NAME</t>
  </si>
  <si>
    <t>SP_TICKER</t>
  </si>
  <si>
    <t>SP_COUNTRY_NAME</t>
  </si>
  <si>
    <t>SP_COUNTRY_INCORP_NAME</t>
  </si>
  <si>
    <t>SP_COUNTRY_INCORP_CODE</t>
  </si>
  <si>
    <t>SP_COMPANY_STATUS</t>
  </si>
  <si>
    <t>SP_IPO_DATE</t>
  </si>
  <si>
    <t>MI_PRIMARY_INDUSTRY</t>
  </si>
  <si>
    <t>MI_LEVEL_1_PRIMARY</t>
  </si>
  <si>
    <t>MI_LEVEL_2_PRIMARY</t>
  </si>
  <si>
    <t>MI_LEVEL_3_PRIMARY</t>
  </si>
  <si>
    <t>MI_LEVEL_4_PRIMARY</t>
  </si>
  <si>
    <t>SP_MARKETCAP</t>
  </si>
  <si>
    <t>IQ_TEV</t>
  </si>
  <si>
    <t>SP_VOLUME_AVG_DAILY</t>
  </si>
  <si>
    <t>SP_BUSINESS_DESCRIPTION</t>
  </si>
  <si>
    <t>SP_VOLUME_AVG_WEEKLY_TO_SHARES_OUT</t>
  </si>
  <si>
    <t>SP_VOLUME</t>
  </si>
  <si>
    <t/>
  </si>
  <si>
    <t>abc S.A. (SNSE:ABC)</t>
  </si>
  <si>
    <t>SNSE</t>
  </si>
  <si>
    <t>abc S.A.</t>
  </si>
  <si>
    <t>ABC</t>
  </si>
  <si>
    <t>Chile</t>
  </si>
  <si>
    <t>CL</t>
  </si>
  <si>
    <t>Operating</t>
  </si>
  <si>
    <t>Broadline Retail</t>
  </si>
  <si>
    <t>Consumer</t>
  </si>
  <si>
    <t>Retail</t>
  </si>
  <si>
    <t>Retailers: Non-Food and Non-Drug</t>
  </si>
  <si>
    <t>abc S.A. operates a chain of department stores in Chile. The company's stores provide clothing, footwear, beauty, sports, children's, electronics, technology, and household items under the La Polar name, as well as operates online stores. It also offers financial retail services, including credit cards, such as La Polar Card and La Polar Visa Card, as well as insurance products and services. The company was formerly known as Empresas La Polar S.A. and changed its name to abc S.A. in July 2024. abc S.A. was founded in 1920 and is based in Santiago, Chile.</t>
  </si>
  <si>
    <t>Acerías Paz del Río S. A. (BVC:PAZRIO)</t>
  </si>
  <si>
    <t>BVC</t>
  </si>
  <si>
    <t>Acerías Paz del Río S. A.</t>
  </si>
  <si>
    <t>PAZRIO</t>
  </si>
  <si>
    <t>Colombia</t>
  </si>
  <si>
    <t>CO</t>
  </si>
  <si>
    <t>Operating Subsidiary</t>
  </si>
  <si>
    <t>Steel</t>
  </si>
  <si>
    <t>Materials</t>
  </si>
  <si>
    <t>Metals and Mining</t>
  </si>
  <si>
    <t>Acerías Paz del Río S. A. produces and sells steel products in Colombia and internationally. It offers wire rods, corrugated bars and rolls, figured steel, electro-welded mesh, black annealed wires, joint grommet, grafiles, trusses, and bolts; iron ore fines, lithified and substituted slags, blast furnace slags, and carbochemicals; and fertilizers and amendments. The company was formerly known as Empresa Siderúrgica Nacional de Paz de Río. Acerías Paz del Río S. A. was incorporated in 1948 and is headquartered in Bogotá, Colombia. Acerías Paz del Río S. A. operates as a subsidiary of Trinity Capital SAS.</t>
  </si>
  <si>
    <t>Activo Inmobiliario Peruano S.A.A. (BVL:AIPC1)</t>
  </si>
  <si>
    <t>BVL</t>
  </si>
  <si>
    <t>Activo Inmobiliario Peruano S.A.A.</t>
  </si>
  <si>
    <t>AIPC1</t>
  </si>
  <si>
    <t>Peru</t>
  </si>
  <si>
    <t>PE</t>
  </si>
  <si>
    <t>Activo Inmobiliario Peruano S.A.A. engages in real estate activities in Peru. The company leases shopping centers. It also invests in fixed or variable income securities, movable and immovable properties, and other activities. In addition, the company develops, purchases, and sells real estate properties; and provides shopping center management services for the distribution and sale of goods. The company was formerly known as Falabella Perú S.A.A. and changed its name to Activo Inmobiliario Peruano S.A.A. in 2025. The company was founded in 1994 and is headquartered in Lima, Peru. Activo Inmobiliario Peruano S.A.A. is a subsidiary of Desarrollos Perú SpA.</t>
  </si>
  <si>
    <t>Adm. General De Fondos Security S.A - FM Security Gold Fund (SNSE:CFMSECGLDK)</t>
  </si>
  <si>
    <t>Adm. General De Fondos Security S.A - FM Security Gold Fund</t>
  </si>
  <si>
    <t>CFMSECGLDK</t>
  </si>
  <si>
    <t>Asset Management</t>
  </si>
  <si>
    <t>Financials</t>
  </si>
  <si>
    <t>NA</t>
  </si>
  <si>
    <t>Adm. General De Fondos Security S.A. - Fondo De Inversion Security Deuda Privada Automotriz (SNSE:CFISDA3A.E)</t>
  </si>
  <si>
    <t>Adm. General De Fondos Security S.A. - Fondo De Inversion Security Deuda Privada</t>
  </si>
  <si>
    <t>CFISDA3A.E</t>
  </si>
  <si>
    <t>Administradora Americana de Inversiones S.A. (SNSE:AAISA)</t>
  </si>
  <si>
    <t>Administradora Americana de Inversiones S.A.</t>
  </si>
  <si>
    <t>AAISA</t>
  </si>
  <si>
    <t>Administradora Americana de Inversiones S.A. operates independently of Administradora de Fondos de Pensiones Capital S.A. as of December 1, 2021.</t>
  </si>
  <si>
    <t>Administradora de Fondos de Pensiones Capital S.A. (SNSE:AFPCAPITAL)</t>
  </si>
  <si>
    <t>Administradora de Fondos de Pensiones Capital S.A.</t>
  </si>
  <si>
    <t>AFPCAPITAL</t>
  </si>
  <si>
    <t>Administradora de Fondos de Pensiones Capital S.A. is a publicly owned investment manager. The firm manages fixed Income mutual funds. The firm invests in fixed Income Instruments, corporate Bonds, mortgages, adjustable notes, bank bonds and term deposits. Administradora de Fondos de Pensiones Capital S.A. is based in Santiago, Chile.</t>
  </si>
  <si>
    <t>Administradora de Fondos de Pensiones Cuprum S.A. (SNSE:CUPRUM)</t>
  </si>
  <si>
    <t>Administradora de Fondos de Pensiones Cuprum S.A.</t>
  </si>
  <si>
    <t>CUPRUM</t>
  </si>
  <si>
    <t>Administradora de Fondos de Pensiones Cuprum S.A. is a publicly owned investment manager. The firm manages mutual funds and equity for its clients. It invests in domestic and foreign stock and bonds. It was founded in 1981 and is based in Santiago, Chile. Administradora de Fondos de Pensiones Cuprum S.A. operates as a subsidiary of Principal Chile Ltda.</t>
  </si>
  <si>
    <t>Administradora de Fondos de Pensiones Habitat S.A. (SNSE:HABITAT)</t>
  </si>
  <si>
    <t>Administradora de Fondos de Pensiones Habitat S.A.</t>
  </si>
  <si>
    <t>HABITAT</t>
  </si>
  <si>
    <t>Administradora de Fondos de Pensiones Habitat S.A. is a publicly owned investment manager. Administradora de Fondos de Pensiones Habitat S.A. was founded on June 16,1982 and is based in Santiago, Chile with additional offices in Antofagasta, Chile.</t>
  </si>
  <si>
    <t>Administradora de Fondos de Pensiones PlanVital S.A. (SNSE:PLANVITAL)</t>
  </si>
  <si>
    <t>Administradora de Fondos de Pensiones PlanVital S.A.</t>
  </si>
  <si>
    <t>PLANVITAL</t>
  </si>
  <si>
    <t>Administradora de Fondos de Pensiones PlanVital S.A. is a privately owned investment manager. The firm manages pension funds and individual retirement accounts. It makes its investments in the public equity markets of Chile.  Administradora de Fondos de Pensiones PlanVital S.A was founded in 1981 and is based in Santiago, Chile.</t>
  </si>
  <si>
    <t>Administradora de Fondos de Pensiones Provida S.A. (SNSE:PROVIDA)</t>
  </si>
  <si>
    <t>Administradora de Fondos de Pensiones Provida S.A.</t>
  </si>
  <si>
    <t>PROVIDA</t>
  </si>
  <si>
    <t>Administradora de Fondos de Pensiones Provida S.A. manages equity and fixed income pension funds. The firm was founded on June 1983.</t>
  </si>
  <si>
    <t>Administradora de Fondos de Pensiones y Cesantías Protección S.A. (BVC:PROTECCION)</t>
  </si>
  <si>
    <t>Administradora de Fondos de Pensiones y Cesantías Protección S.A.</t>
  </si>
  <si>
    <t>PROTECCION</t>
  </si>
  <si>
    <t>Administradora de Fondos de Pensiones y Cesantías Protección S.A. is a publicly owned investment manager. The firm manages pension funds for its clients. It invests in equity markets. Administradora de Fondos de Pensiones y Cesantías Protección based in Medellin, Colombia.</t>
  </si>
  <si>
    <t>Administradora General De FDOS Sura - FDO Inv Sura Acciones Globales (SNSE:CFISUAGLE)</t>
  </si>
  <si>
    <t>Administradora General De FDOS Sura - FDO Inv Sura Acciones Globales</t>
  </si>
  <si>
    <t>CFISUAGLE</t>
  </si>
  <si>
    <t>Administradora General De FDOS Sura - FI Sura Capital Inmobiliario Chile Fund (SNSE:CFISUCAINA)</t>
  </si>
  <si>
    <t>Administradora General De FDOS Sura - FI Sura Capital Inmobiliario Chile Fund</t>
  </si>
  <si>
    <t>CFISUCAINA</t>
  </si>
  <si>
    <t>ADMINISTRADORA GENERAL DE FDOS SURA - FI SURA REAL ESTATE GLOBAL 'A' USD (SNSE:CFI.SUREGA)</t>
  </si>
  <si>
    <t>ADMINISTRADORA GENERAL DE FDOS SURA - FI SURA REAL ESTATE GLOBAL 'A' USD</t>
  </si>
  <si>
    <t>CFI.SUREGA</t>
  </si>
  <si>
    <t>Diversified Real Estate Activities</t>
  </si>
  <si>
    <t>Real Estate</t>
  </si>
  <si>
    <t>Real Estate Management and Development</t>
  </si>
  <si>
    <t>Administradora General De FDOS Sura - FI Sura Renta Residencial Chile Fund (SNSE:CFISUREREU)</t>
  </si>
  <si>
    <t>Administradora General De FDOS Sura - FI Sura Renta Residencial Chile Fund</t>
  </si>
  <si>
    <t>CFISUREREU</t>
  </si>
  <si>
    <t>Administradora General De FDOS Sura- Fondo De Inv Sura Deuda Privada Chile Fund (SNSE:CFISUDPCAA)</t>
  </si>
  <si>
    <t>Administradora General De FDOS Sura- Fondo De Inv Sura Deuda Privada Chile Fund</t>
  </si>
  <si>
    <t>CFISUDPCAA</t>
  </si>
  <si>
    <t>Administradora General De Fondo-MBI Conviccion Fondo De Inversion Fund (SNSE:CFIMBICLAA)</t>
  </si>
  <si>
    <t>Administradora General De Fondo-MBI Conviccion Fondo De Inversion Fund</t>
  </si>
  <si>
    <t>CFIMBICLAA</t>
  </si>
  <si>
    <t>Administradora General de Fondos - Fondo de Inversión Security Infraestructura Driftwood III Fund (SNSE:CFI.SDR3AE)</t>
  </si>
  <si>
    <t>Administradora General de Fondos - Fondo de Inversión Security Infraestructura D</t>
  </si>
  <si>
    <t>CFI.SDR3AE</t>
  </si>
  <si>
    <t>USA</t>
  </si>
  <si>
    <t>ADMINISTRADORA GENERAL DE FONDOS SE - CI NMF I ENERGY CHILE FONDO DE INVERSIÓN FUND (SNSE:CFI.SNMFIE)</t>
  </si>
  <si>
    <t>ADMINISTRADORA GENERAL DE FONDOS SE - CI NMF I ENERGY CHILE FONDO DE INVERSIÓN F</t>
  </si>
  <si>
    <t>CFI.SNMFIE</t>
  </si>
  <si>
    <t>Administradora General de Fondos SE - Fondo De Inversion Europe Medneo Health Tech Fund (SNSE:CFIEHTS.E)</t>
  </si>
  <si>
    <t>Administradora General de Fondos SE - Fondo De Inversion Europe Medneo Health Te</t>
  </si>
  <si>
    <t>CFIEHTS.E</t>
  </si>
  <si>
    <t>Administradora General de Fondos Security - Fondo de Inversión Security Driftwood Common Equity Fund (SNSE:CFI.SDRCAE)</t>
  </si>
  <si>
    <t>Administradora General de Fondos Security - Fondo de Inversión Security Driftwoo</t>
  </si>
  <si>
    <t>CFI.SDRCAE</t>
  </si>
  <si>
    <t>Administradora General de Fondos Security S.A - Sensor Equity Fi (SNSE:CFISET.E)</t>
  </si>
  <si>
    <t>Administradora General de Fondos Security S.A - Sensor Equity Fi</t>
  </si>
  <si>
    <t>CFISET.E</t>
  </si>
  <si>
    <t>Administradora General De Fondos Security S.A. - FI Sec Deuda Privada Automotriz - Fund (SNSE:CFISDPAA.E)</t>
  </si>
  <si>
    <t>Administradora General De Fondos Security S.A. - FI Sec Deuda Privada Automotriz</t>
  </si>
  <si>
    <t>CFISDPAA.E</t>
  </si>
  <si>
    <t>Administradora General De Fondos Security S.A. - FI Security Driftwood Fund (SNSE:CFI.SDR4AE)</t>
  </si>
  <si>
    <t>Administradora General De Fondos Security S.A. - FI Security Driftwood Fund</t>
  </si>
  <si>
    <t>CFI.SDR4AE</t>
  </si>
  <si>
    <t>Administradora General De Fondos Security S.A. - Fondo De Inversion Deuda Privada Inmobiliaria Cap F (SNSE:CFISEPRA.E)</t>
  </si>
  <si>
    <t>Administradora General De Fondos Security S.A. - Fondo De Inversion Deuda Privad</t>
  </si>
  <si>
    <t>CFISEPRA.E</t>
  </si>
  <si>
    <t>Administradora General de Fondos Security S.A. - Fondo De Inversion Security Deuda Dinamica (SNSE:CFISECDDIA)</t>
  </si>
  <si>
    <t>Administradora General de Fondos Security S.A. - Fondo De Inversion Security Deu</t>
  </si>
  <si>
    <t>CFISECDDIA</t>
  </si>
  <si>
    <t>Administradora General de Fondos Security S.A. - Fondo De Inversion Security Deuda Privada ULH Fund (SNSE:CFISECDPUA)</t>
  </si>
  <si>
    <t>CFISECDPUA</t>
  </si>
  <si>
    <t>Administradora General De Fondos Security SA - CI Energy Transition Fund I (SNSE:CFI.SCETFE)</t>
  </si>
  <si>
    <t>Administradora General De Fondos Security SA - CI Energy Transition Fund I</t>
  </si>
  <si>
    <t>CFI.SCETFE</t>
  </si>
  <si>
    <t>Administradora General De Fondos Security SA - Cuotas De Fondos Mutuos (SNSE:CFISECHYCS)</t>
  </si>
  <si>
    <t>Administradora General De Fondos Security SA - Cuotas De Fondos Mutuos</t>
  </si>
  <si>
    <t>CFISECHYCS</t>
  </si>
  <si>
    <t>Administradora General De Fondos Security SA - FI Security Pantheon Secondary Opportunities Fund (SNSE:CFI.SEPSAE)</t>
  </si>
  <si>
    <t>Administradora General De Fondos Security SA - FI Security Pantheon Secondary Op</t>
  </si>
  <si>
    <t>CFI.SEPSAE</t>
  </si>
  <si>
    <t>Administradora General De Fondos Security SA - FI Security Pantheon Secondary Opportunity Fully Fund (SNSE:CFI.SPFFDE)</t>
  </si>
  <si>
    <t>CFI.SPFFDE</t>
  </si>
  <si>
    <t>Administradora General De Fondos Security SA - Fondo De Inversion Security DDP Bridge Loan Fund (SNSE:CFISBLCA.E)</t>
  </si>
  <si>
    <t>Administradora General De Fondos Security SA - Fondo De Inversion Security DDP B</t>
  </si>
  <si>
    <t>CFISBLCA.E</t>
  </si>
  <si>
    <t>Administradora General de Fondos Security SA - Fondo de Inversión Security Driftwood Preferred Equit (SNSE:CFI.SDRPAE)</t>
  </si>
  <si>
    <t>Administradora General de Fondos Security SA - Fondo de Inversión Security Drift</t>
  </si>
  <si>
    <t>CFI.SDRPAE</t>
  </si>
  <si>
    <t>Administradora General De Fondos Security SA - Fondo De Inversion Security GNP V Fund (SNSE:CFISGNVA.E)</t>
  </si>
  <si>
    <t>Administradora General De Fondos Security SA - Fondo De Inversion Security GNP V</t>
  </si>
  <si>
    <t>CFISGNVA.E</t>
  </si>
  <si>
    <t>Administradora General De Fondos Security SA - Fondo De Inversion Security Rentas Inmobiliarias I (SNSE:CFISECRI1A)</t>
  </si>
  <si>
    <t>Administradora General De Fondos Security SA - Fondo De Inversion Security Renta</t>
  </si>
  <si>
    <t>CFISECRI1A</t>
  </si>
  <si>
    <t>Administradora General De Fondos Security SA - Fondo De Inversion Security SECURITY CIO CAPITAL PART (SNSE:CFI.SCIOAE)</t>
  </si>
  <si>
    <t>Administradora General De Fondos Security SA - Fondo De Inversion Security SECUR</t>
  </si>
  <si>
    <t>CFI.SCIOAE</t>
  </si>
  <si>
    <t>Administradora General de Fondos Sura, S.A. - Fondo de Inversión SURA Deuda Chile Fund (SNSE:CFISUDCHE)</t>
  </si>
  <si>
    <t>Administradora General de Fondos Sura, S.A. - Fondo de Inversión SURA Deuda Chil</t>
  </si>
  <si>
    <t>CFISUDCHE</t>
  </si>
  <si>
    <t>Administradora General de Fondos Sura, S.A.-Fondo de Inversion Sura Renta Inmobiliara III (SNSE:CFISURI3A)</t>
  </si>
  <si>
    <t>Administradora General de Fondos Sura, S.A.-Fondo de Inversion Sura Renta Inmobi</t>
  </si>
  <si>
    <t>CFISURI3A</t>
  </si>
  <si>
    <t>Administradora General de Fondos Vision Advisors S.A - Fondo de Inversion Vision FI Tobalaba Y EL Bo (SNSE:CFITOBABOS)</t>
  </si>
  <si>
    <t>Administradora General de Fondos Vision Advisors S.A - Fondo de Inversion Vision</t>
  </si>
  <si>
    <t>CFITOBABOS</t>
  </si>
  <si>
    <t>Administradora General de Fondos Vision Advisors S.A - Security Stepst Real Est Partners IV (SNSE:CFI.SESTDE)</t>
  </si>
  <si>
    <t>Administradora General de Fondos Vision Advisors S.A - Security Stepst Real Est</t>
  </si>
  <si>
    <t>CFI.SESTDE</t>
  </si>
  <si>
    <t>Aenza S.A.A. (BVL:AENZAC1)</t>
  </si>
  <si>
    <t>Aenza S.A.A.</t>
  </si>
  <si>
    <t>AENZAC1</t>
  </si>
  <si>
    <t>Construction and Engineering</t>
  </si>
  <si>
    <t>Industrials</t>
  </si>
  <si>
    <t>Capital Goods</t>
  </si>
  <si>
    <t>Aenza S.A.A., together with its subsidiaries, provides specialized management consulting services and leasing of corporation in Peru, Chile, and Colombia. It operates through Infrastructure, Energy, Engineering and Construction, and Real Estate segments. The company’s Infrastructure segment offers long-term concessions or similar contractual arrangements in Peru for toll roads, transportation, and water treatment, as well as operation and maintenance services for infrastructure assets. Its Engineering and Construction segment provides traditional engineering services, such as architectural planning, structural, civil, and design engineering for advanced specialties comprising process design, simulation, and environmental services. This segment also provides services related to civil works, which include construction of hydroelectric power stations and other large infrastructure facilities; electromechanic construction, such as power plant, concentrator plants, oil, and natural gas pipelines, and transmission lines; and office and residential buildings, hotels, accessible housing projects, shopping centers, and industrial facilities. Its Energy segment engages in exploration, production, treatment, marketing services of natural gas and its derivatives in the gas processing plant, and gas processing, as well as the construction and assembly of oil facilities and the storage and dispatch of fuel and oil by products. Its Real Estate segment develops and sells house  offices, and commercial spaces. The company was formerly known as Graña y Montero S.A.A. and changed its name to Aenza S.A.A. in November 2020. Aenza S.A.A. was founded in 1933 and is based in Lima, Peru.</t>
  </si>
  <si>
    <t>Agrícola Cayaltí S.A.A. (BVL:CAYALTC1)</t>
  </si>
  <si>
    <t>Agrícola Cayaltí S.A.A.</t>
  </si>
  <si>
    <t>CAYALTC1</t>
  </si>
  <si>
    <t>Agricultural Products and Services</t>
  </si>
  <si>
    <t>Producers</t>
  </si>
  <si>
    <t>Agrícola Cayaltí S.A.A. engages in the production of sugarcane in Lambayeque region, Peru. The company was founded in 1970 and is based in Chiclayo, Peru. Agrícola Cayaltí S.A.A. operates as a subsidiary of Intipuquio S.A.</t>
  </si>
  <si>
    <t>Agro Industrial Paramonga S.A. (BVL:PARAMOC1)</t>
  </si>
  <si>
    <t>Agro Industrial Paramonga S.A.</t>
  </si>
  <si>
    <t>PARAMOC1</t>
  </si>
  <si>
    <t>Agro Industrial Paramonga S.A. engages in the planting, cultivation, harvesting, and processing of sugar cane in Peru. The company’s products include blonde and refined sugar, brown sugar, bagasse, alcohol and molasses; and rectified ethyl alcohol and industrial alcohol. It also generates electricity through a thermal plant. Agro Industrial Paramonga S.A. was incorporated in 1970 and is based in Lima, Peru. Agro Industrial Paramonga S.A. is a subsidiary of Les Forts S.A.C.</t>
  </si>
  <si>
    <t>Agro Pucalá S.A.A. (BVL:PUCALAC1)</t>
  </si>
  <si>
    <t>Agro Pucalá S.A.A.</t>
  </si>
  <si>
    <t>PUCALAC1</t>
  </si>
  <si>
    <t>Reorganizing</t>
  </si>
  <si>
    <t>Agro Pucalá S.A.A. engages in sugarcane plantation and sugar processing activities. It also owns and operates an alcohol plant with a capacity of producing approximately 60,000 liters per day. The company was formerly known as La Sociedad Agrícola Pucalá Ltda. Agro Pucalá S.A.A. was founded in 1908 and is based in Chiclayo, Peru. As of March 12, 1996, Agro Pucalá S.A.A. is in reorganization.</t>
  </si>
  <si>
    <t>Agroguachal S.A. (BVC:AGROCHAL)</t>
  </si>
  <si>
    <t>Agroguachal S.A.</t>
  </si>
  <si>
    <t>AGROCHAL</t>
  </si>
  <si>
    <t>Agroguachal S.A. engages in the cultivation, maintenance, purchase, and sale of sugarcane in Colombia. It serves its products to sugar producing mills. The company was founded in 1976 and is based in Palmira, Colombia.</t>
  </si>
  <si>
    <t>Agroindustrial Laredo S.A.A. (BVL:LAREDOC1)</t>
  </si>
  <si>
    <t>Agroindustrial Laredo S.A.A.</t>
  </si>
  <si>
    <t>LAREDOC1</t>
  </si>
  <si>
    <t>Agroindustrial Laredo S.A.A. produces and sells sugar and its by products in Peru and internationally. The company offers powdered, fine grain, and organic sugar; refined sugar for use in the pharmaceutical sector, and for producing clear drinks and translucent sweets; and white sugar for companies that produce dark sweets and soft drinks. It also provides byproducts, including extra neutral alcohol for the companies, which prepare food, beverages, and perfumery products; molasses that is used as raw material to make alcohol, as well as for use in various food purposes; and bagasse for paper companies. In addition, the company engages in the real estate promotion, execution of rehabilitation projects, and urban construction, as well as the purchase/sale of real estate. The company was founded in 1813 and is based in Laredo, Peru. Agroindustrial Laredo S.A.A. is a subsidiary of Manuelita Internacional S A.</t>
  </si>
  <si>
    <t>Agroindustrias San Jacinto S.A.A. (BVL:SNJACIC1)</t>
  </si>
  <si>
    <t>Agroindustrias San Jacinto S.A.A.</t>
  </si>
  <si>
    <t>SNJACIC1</t>
  </si>
  <si>
    <t>Packaged Foods and Meats Producers</t>
  </si>
  <si>
    <t>Agroindustrias San Jacinto S.A.A. engages in the cultivation, transformation, and industrialization of sugar cane and its by-products in Peru. The company offers sugar, alcohol, molasses, and bagasse products. Agroindustrias San Jacinto S.A.A. was incorporated in 1992 and is based in San Jacinto, Peru. Agroindustrias San Jacinto S.A.A. is a subsidiary of Corporación Azucarera del Perú S.A.</t>
  </si>
  <si>
    <t>Aguas Andinas S.A. (SNSE:AGUAS.A)</t>
  </si>
  <si>
    <t>Aguas Andinas S.A.</t>
  </si>
  <si>
    <t>AGUAS.A</t>
  </si>
  <si>
    <t>Water Utilities</t>
  </si>
  <si>
    <t>Energy and Utilities</t>
  </si>
  <si>
    <t>Utilities</t>
  </si>
  <si>
    <t>Aguas Andinas S.A., together with its subsidiaries, constructs and operates as a water utility company in Chile. It engages in the catchment of raw water; production, transportation, and distribution of water; and the collection, treatment, and disposal of sewage. The company provides integral advisory and management services in sewage and liquid waste; sells equipment and nonconventional renewable energies; develops energy projects relating to sanitation companies; and offers laboratory sampling and environmental analysis services. It delivers potable water, sewerage, and wastewater treatment services to approximately two million residential, commercial, and industrial clients. The company was formerly known as Empresa Metropolitana de Obras Sanitarias and changed its name to Aguas Andinas S.A. in 2001. Aguas Andinas S.A. was founded in 1861 and is based in Santiago, Chile. The company operates as a subsidiary of Inversiones Aguas Metropolitanas S.A.</t>
  </si>
  <si>
    <t>Aina Fondo De Inversion (SNSE:CFIAINAFIN)</t>
  </si>
  <si>
    <t>Aina Fondo De Inversion</t>
  </si>
  <si>
    <t>CFIAINAFIN</t>
  </si>
  <si>
    <t>Alfin Banco S.A. (BVL:ALFINAC1)</t>
  </si>
  <si>
    <t>Alfin Banco S.A.</t>
  </si>
  <si>
    <t>ALFINAC1</t>
  </si>
  <si>
    <t>Bank</t>
  </si>
  <si>
    <t>Banking</t>
  </si>
  <si>
    <t>Alfin Banco S.A. provides various banking and financial products and services in Peru. The company offers savings and escrow accounts; prestaltoke and credialtoque credits; fixed term deposit; physical and digital debit cards; current account for legal entities; letter of guarantee; working capital; medium-term financing; and syndicated loans. It also provides total family, protected debt and family, easy life, and secure family insurance; mortgage protection insurance; debt protection insurance; and health insurance services. In addition, the company offers online banking and payment services. Alfin Banco S.A. is based in Lima, Peru.</t>
  </si>
  <si>
    <t>Alicorp S.A.A. (BVL:ALICORC1)</t>
  </si>
  <si>
    <t>Alicorp S.A.A.</t>
  </si>
  <si>
    <t>ALICORC1</t>
  </si>
  <si>
    <t>Alicorp S.A.A. provides massive consumption and B2B products in Peru and internationally. It offers edible oils and fats, noodles, flours, cookies, laundry soap, detergents, sauces, panettones, cereals, instant soft drinks, personal care products, and animal feed. The company also provides home care products and personal care products. In addition, it offers nutritional solutions for aquaculture. The company was formerly known as Consorcio de Alimentos Fabril Pacífico S.A. and changed its name to Alicorp S.A.A. in 1997. Alicorp S.A.A. was incorporated in 1956 and is based in Callao, Peru.</t>
  </si>
  <si>
    <t>Alimentos Derivados de la Caña S. A. (BVC:DESCAUCANO)</t>
  </si>
  <si>
    <t>Alimentos Derivados de la Caña S. A.</t>
  </si>
  <si>
    <t>DESCAUCANO</t>
  </si>
  <si>
    <t>Alimentos Derivados de la Caña S. A. engages in the sale of sugarcane. The company was formerly known as Industria de Alimentos Pontevedra S.A. and changed its name to Alimentos Derivados de la Caña S. A. in January 2003. The company was incorporated in 1996 and is based in Cali, Colombia. Alimentos Derivados de la Caña S. A. operates as a subsidiary of Ingenio La Cabaña S.A.</t>
  </si>
  <si>
    <t>Almacenes Éxito S.A. (BVC:EXITO)</t>
  </si>
  <si>
    <t>Almacenes Éxito S.A.</t>
  </si>
  <si>
    <t>EXITO</t>
  </si>
  <si>
    <t>Consumer Staples Merchandise Retail</t>
  </si>
  <si>
    <t>Retailers: Food and Drug</t>
  </si>
  <si>
    <t>Almacenes Éxito S.A., together with its subsidiaries, operates as a retail commerce in Columbia, Argentina, and Uruguay. The company operates retail stores under the Éxito, Carulla, Surtimayorista, Surtimax, Super Inter, Viva, Devoto, Disco, Géant, Six or Less, Libertad, and Paseo Libertad brands. It also provides loyalty programs, vacation and corporate travel, voice and data solutions, and money transfers services; and planning, sourcing, storing, and distributing goods, as well as logistics services. In addition, the company offers platform for electronic payment solutions; and digital platform that allows users to purchase, promote, and sell products and services offered by partner brands. Further, it is involved in real estate and financial businesses; producing garments and prepared meals; commercialization of electrical energy; marketing of electrical energy; operation of e-commerce platform; purchase and sale of furniture and real estate; electronic commerce; storage of goods; activities related to textile goods and tourism; trade and distribution of goods; general investment, securities management, and administration activities; retail marketing through supermarket chains; operates self-service supermarket and food products; and development and operation of shopping centers. Additionally, the company provides telecommunication networks and services, cargo transportation, and platform access services. It sells its products through direct catalog, e-commerce, mobile apps, delivery, and pickups. Almacenes Éxito S.A. was founded in 1905 and is headquartered in Envigado, Colombia. Almacenes Éxito S.A. is a subsidiary of Cama Commercial Group Corp.</t>
  </si>
  <si>
    <t>Almendral S.A. (SNSE:ALMENDRAL)</t>
  </si>
  <si>
    <t>Almendral S.A.</t>
  </si>
  <si>
    <t>ALMENDRAL</t>
  </si>
  <si>
    <t>Wireless Telecommunication Services</t>
  </si>
  <si>
    <t>Technology, Media &amp; Telecommunications</t>
  </si>
  <si>
    <t>Telecommunication Services</t>
  </si>
  <si>
    <t>Almendral S.A., through its subsidiaries, provides telecommunication services in Chile and Peru. The company provides mobile telecommunications services, including voice, added value, data, broadband, mobile internet, and fixed network services, as well as call center services for the corporate market. It also offers data services; local telephony; Internet access; long-distance public telephony; information technology services, including data center, business process outsourcing, and operational continuity; digital and cybersecurity services; network leasing; and wholesale traffic businesses. The company was formerly known as Chilquinta, S.A. and changed its name to Almendral S.A. in 2001. Almendral S.A. was founded in 1921 and is based in Vitacura, Chile.</t>
  </si>
  <si>
    <t>Altis SA Admonistradora General Fund - Fondo de Inversión Invinsa Desarrollo Industrial Fund (SNSE:CFINVIDA.E)</t>
  </si>
  <si>
    <t>Altis SA Admonistradora General Fund - Fondo de Inversión Invinsa Desarrollo Ind</t>
  </si>
  <si>
    <t>CFINVIDA.E</t>
  </si>
  <si>
    <t>Alza Admin General De Fondos S.A. - Alza Deuda Privada Fondo De Inversion (SNSE:CFIADPA.E)</t>
  </si>
  <si>
    <t>Alza Admin General De Fondos S.A. - Alza Deuda Privada Fondo De Inversion</t>
  </si>
  <si>
    <t>CFIADPA.E</t>
  </si>
  <si>
    <t>Alza Admin General De Fondos S.A. - Alza Deuda Privada Fund (SNSE:CFIADPVA.E)</t>
  </si>
  <si>
    <t>Alza Admin General De Fondos S.A. - Alza Deuda Privada Fund</t>
  </si>
  <si>
    <t>CFIADPVA.E</t>
  </si>
  <si>
    <t>Alza Admin General De Fondos S.A. - Alza Telco FI Fund (SNSE:CFITELCO.E)</t>
  </si>
  <si>
    <t>Alza Admin General De Fondos S.A. - Alza Telco FI Fund</t>
  </si>
  <si>
    <t>CFITELCO.E</t>
  </si>
  <si>
    <t>Alza Administradora General De Fondos S.A.- Alza Dedalo Fondo De Inversion Fund (SNSE:CFIADEA.E)</t>
  </si>
  <si>
    <t>Alza Administradora General De Fondos S.A.- Alza Dedalo Fondo De Inversion Fund</t>
  </si>
  <si>
    <t>CFIADEA.E</t>
  </si>
  <si>
    <t>Ameris Alternativos I Fondo de Inversión (SNSE:CFI.ALTEAE)</t>
  </si>
  <si>
    <t>Ameris Alternativos I Fondo de Inversión</t>
  </si>
  <si>
    <t>CFI.ALTEAE</t>
  </si>
  <si>
    <t>Ameris Cap Administra Gen De Fondos SA - Ameris Deuda con Garantia Hipotecaria F (SNSE:CFIADGHI)</t>
  </si>
  <si>
    <t>Ameris Cap Administra Gen De Fondos SA - Ameris Deuda con Garantia Hipotecaria F</t>
  </si>
  <si>
    <t>CFIADGHI</t>
  </si>
  <si>
    <t>AMERIS CAPITAL ADM GEN DE FDOS SA - AMERIS ALTERNATIVOS II FI Fund (SNSE:CFIALT2A.E)</t>
  </si>
  <si>
    <t>AMERIS CAPITAL ADM GEN DE FDOS SA - AMERIS ALTERNATIVOS II FI Fund</t>
  </si>
  <si>
    <t>CFIALT2A.E</t>
  </si>
  <si>
    <t>Ameris Capital ADM GEN DE FDOS SA - Ameris Deuda Privada Con Gar Fogape Fund (SNSE:CFIAFOGANA)</t>
  </si>
  <si>
    <t>Ameris Capital ADM GEN DE FDOS SA - Ameris Deuda Privada Con Gar Fogape Fund</t>
  </si>
  <si>
    <t>CFIAFOGANA</t>
  </si>
  <si>
    <t>Ameris Capital Adm Gen De Fdos Sa - Ameris Dover Street Fund (SNSE:CFI.ASXIAE)</t>
  </si>
  <si>
    <t>Ameris Capital Adm Gen De Fdos Sa - Ameris Dover Street Fund</t>
  </si>
  <si>
    <t>CFI.ASXIAE</t>
  </si>
  <si>
    <t>Ameris Capital Adm Gen De Fdos Sa - Ameris Rentas Comerciales (SNSE:CFIAMRCA.E)</t>
  </si>
  <si>
    <t>Ameris Capital Adm Gen De Fdos Sa - Ameris Rentas Comerciales</t>
  </si>
  <si>
    <t>CFIAMRCA.E</t>
  </si>
  <si>
    <t>Ameris Capital Adm Gen De Fdos Sa - Ameris Sindicado Dolar Fi Clp (SNSE:CFIAMS2.E)</t>
  </si>
  <si>
    <t>Ameris Capital Adm Gen De Fdos Sa - Ameris Sindicado Dolar Fi Clp</t>
  </si>
  <si>
    <t>CFIAMS2.E</t>
  </si>
  <si>
    <t>AMERIS CAPITAL ADM GEN DE FDOS SA - Desarrollo Inmobiliario UNO Fund (SNSE:CFIAUNOA.E)</t>
  </si>
  <si>
    <t>AMERIS CAPITAL ADM GEN DE FDOS SA - Desarrollo Inmobiliario UNO Fund</t>
  </si>
  <si>
    <t>CFIAUNOA.E</t>
  </si>
  <si>
    <t>Ameris Capital Adm Gen De FDOS SA - Diva E- Fund Fi (SNSE:CFIADVAEFA)</t>
  </si>
  <si>
    <t>Ameris Capital Adm Gen De FDOS SA - Diva E- Fund Fi</t>
  </si>
  <si>
    <t>CFIADVAEFA</t>
  </si>
  <si>
    <t>AMERIS CAPITAL ADM GEN DE FDOS SA - FI AMERIS DEUDA MEXICO 'A' CLP (SNSE:CFIADMEXA)</t>
  </si>
  <si>
    <t>AMERIS CAPITAL ADM GEN DE FDOS SA - FI AMERIS DEUDA MEXICO 'A' CLP</t>
  </si>
  <si>
    <t>CFIADMEXA</t>
  </si>
  <si>
    <t>AMERIS CAPITAL ADM GEN DE FDOS SA - FI AMERIS DEUDA MEXICO 'A' USD (SNSE:CFI.ADMEXA)</t>
  </si>
  <si>
    <t>AMERIS CAPITAL ADM GEN DE FDOS SA - FI AMERIS DEUDA MEXICO 'A' USD</t>
  </si>
  <si>
    <t>CFI.ADMEXA</t>
  </si>
  <si>
    <t>AMERIS CAPITAL ADM GEN DE FDOS SA - FI AMERIS DEUDA MEXICO 'I' USD (SNSE:CFI.ADMEXI)</t>
  </si>
  <si>
    <t>AMERIS CAPITAL ADM GEN DE FDOS SA - FI AMERIS DEUDA MEXICO 'I' USD</t>
  </si>
  <si>
    <t>CFI.ADMEXI</t>
  </si>
  <si>
    <t>Ameris Capital Adm Gen De FDOS SA - FI Dinero Conciencia Fund (SNSE:CFIADCA.E)</t>
  </si>
  <si>
    <t>Ameris Capital Adm Gen De FDOS SA - FI Dinero Conciencia Fund</t>
  </si>
  <si>
    <t>CFIADCA.E</t>
  </si>
  <si>
    <t>AMERIS CAPITAL ADM GEN DE FDOS SA-ELECTROMOVILIDAD FI Fund (SNSE:CFIAELECTA)</t>
  </si>
  <si>
    <t>AMERIS CAPITAL ADM GEN DE FDOS SA-ELECTROMOVILIDAD FI Fund</t>
  </si>
  <si>
    <t>CFIAELECTA</t>
  </si>
  <si>
    <t>Ameris Capital Administradora General de Fondos S.A - Ameris DVA Medtech Fund (SNSE:CFIAMDVATA)</t>
  </si>
  <si>
    <t>Ameris Capital Administradora General de Fondos S.A - Ameris DVA Medtech Fund</t>
  </si>
  <si>
    <t>CFIAMDVATA</t>
  </si>
  <si>
    <t>Ameris Capital Administradora General de Fondos S.A - Ameris Harbour Coinvestment VII FI Fund (SNSE:CFIAHV7A.E)</t>
  </si>
  <si>
    <t>Ameris Capital Administradora General de Fondos S.A - Ameris Harbour Coinvestmen</t>
  </si>
  <si>
    <t>CFIAHV7A.E</t>
  </si>
  <si>
    <t>Ameris Capital Administradora General De Fondos S.A - Ameris Infraestructura Fondo De Inversión (SNSE:CFIAINFA.E)</t>
  </si>
  <si>
    <t>Ameris Capital Administradora General De Fondos S.A - Ameris Infraestructura Fon</t>
  </si>
  <si>
    <t>CFIAINFA.E</t>
  </si>
  <si>
    <t>Ameris Capital Administradora General de Fondos S.A - Ameris Lgt Secondaries V FI Fund (SNSE:CFILGTVB.E)</t>
  </si>
  <si>
    <t>Ameris Capital Administradora General de Fondos S.A - Ameris Lgt Secondaries V F</t>
  </si>
  <si>
    <t>CFILGTVB.E</t>
  </si>
  <si>
    <t>Ameris Capital Administradora General de Fondos S.A - Ameris Private Equity Fund (SNSE:CFIAMN9A.E)</t>
  </si>
  <si>
    <t>Ameris Capital Administradora General de Fondos S.A - Ameris Private Equity Fund</t>
  </si>
  <si>
    <t>CFIAMN9A.E</t>
  </si>
  <si>
    <t>Ameris Capital Administradora General de Fondos S.A - Ameris Renta Industrail II Fondo De Inversion (SNSE:CFIARE2IND)</t>
  </si>
  <si>
    <t>Ameris Capital Administradora General de Fondos S.A - Ameris Renta Industrail II</t>
  </si>
  <si>
    <t>CFIARE2IND</t>
  </si>
  <si>
    <t>Ameris Capital Administradora General De Fondos S.A - Deuda Dir Dolar Hedge Fund (SNSE:CFIADDDHEA)</t>
  </si>
  <si>
    <t>Ameris Capital Administradora General De Fondos S.A - Deuda Dir Dolar Hedge Fund</t>
  </si>
  <si>
    <t>CFIADDDHEA</t>
  </si>
  <si>
    <t>Ameris Capital Administradora General de Fondos S.A - Deuda Privada Garantia Fogape FI Fund (SNSE:CFIAFOGAPA)</t>
  </si>
  <si>
    <t>Ameris Capital Administradora General de Fondos S.A - Deuda Privada Garantia Fog</t>
  </si>
  <si>
    <t>CFIAFOGAPA</t>
  </si>
  <si>
    <t>Ameris Capital Administradora General de Fondos S.A. - Ameris Carteras Comerciales Fondo de Inversio (SNSE:CFIACCIA.E)</t>
  </si>
  <si>
    <t>Ameris Capital Administradora General de Fondos S.A. - Ameris Carteras Comercial</t>
  </si>
  <si>
    <t>CFIACCIA.E</t>
  </si>
  <si>
    <t>Ameris Capital Administradora General De Fondos S.A. - Ameris CESL II Fondo De Inversion Fund (SNSE:CFIACESA.E)</t>
  </si>
  <si>
    <t>Ameris Capital Administradora General De Fondos S.A. - Ameris CESL II Fondo De I</t>
  </si>
  <si>
    <t>CFIACESA.E</t>
  </si>
  <si>
    <t>Ameris Capital Administradora General De Fondos S.A. - Ameris CESL III Fondo De Inversion Fund (SNSE:CFIACE3A.E)</t>
  </si>
  <si>
    <t>Ameris Capital Administradora General De Fondos S.A. - Ameris CESL III Fondo De</t>
  </si>
  <si>
    <t>CFIACE3A.E</t>
  </si>
  <si>
    <t>Ameris Capital Administradora General De Fondos S.A. - Ameris Dva Multiaxis Fondo De Inversion Fund (SNSE:CFI.AMDVMC)</t>
  </si>
  <si>
    <t>Ameris Capital Administradora General De Fondos S.A. - Ameris Dva Multiaxis Fond</t>
  </si>
  <si>
    <t>CFI.AMDVMC</t>
  </si>
  <si>
    <t>Ameris Capital Administradora General De Fondos S.A. - Ameris Finance Corto Plazo Fondo De Inversion (SNSE:CFIAMSLPI)</t>
  </si>
  <si>
    <t>Ameris Capital Administradora General De Fondos S.A. - Ameris Finance Corto Plaz</t>
  </si>
  <si>
    <t>CFIAMSLPI</t>
  </si>
  <si>
    <t>Ameris Capital Administradora General De Fondos S.A. - Ameris LGT CCO II Fondo De Inversion (SNSE:CFIALGTA.E)</t>
  </si>
  <si>
    <t>Ameris Capital Administradora General De Fondos S.A. - Ameris LGT CCO II Fondo D</t>
  </si>
  <si>
    <t>CFIALGTA.E</t>
  </si>
  <si>
    <t>Ameris Capital Administradora General de Fondos S.A. - Ameris Mc Renta Industrial Fondo De Inversion (SNSE:CFIMCRIA.E)</t>
  </si>
  <si>
    <t>Ameris Capital Administradora General de Fondos S.A. - Ameris Mc Renta Industria</t>
  </si>
  <si>
    <t>CFIMCRIA.E</t>
  </si>
  <si>
    <t>Ameris Capital Administradora General de Fondos S.A. - Ameris NM Guardian II Fund (SNSE:CFIAMG2A.E)</t>
  </si>
  <si>
    <t>Ameris Capital Administradora General de Fondos S.A. - Ameris NM Guardian II Fun</t>
  </si>
  <si>
    <t>CFIAMG2A.E</t>
  </si>
  <si>
    <t>Ameris Capital Administradora General de Fondos S.A. - Ameris NM Guardian III Fund (SNSE:CFIAMG3A.E)</t>
  </si>
  <si>
    <t>Ameris Capital Administradora General de Fondos S.A. - Ameris NM Guardian III Fu</t>
  </si>
  <si>
    <t>CFIAMG3A.E</t>
  </si>
  <si>
    <t>Ameris Capital Administradora General De Fondos S.A. - Ameris Private Equity Nordic X FI (SNSE:CFIALTEA.E)</t>
  </si>
  <si>
    <t>Ameris Capital Administradora General De Fondos S.A. - Ameris Private Equity Nor</t>
  </si>
  <si>
    <t>CFIALTEA.E</t>
  </si>
  <si>
    <t>Ameris Capital Administradora General de Fondos S.A.- Deuda Directa Dollar Fund (SNSE:CFI.ADDUSA)</t>
  </si>
  <si>
    <t>Ameris Capital Administradora General de Fondos S.A.- Deuda Directa Dollar Fund</t>
  </si>
  <si>
    <t>CFI.ADDUSA</t>
  </si>
  <si>
    <t>Ameris Capital Administradora General de Fondos S.A.- DVA Deuda Privada USA FI Fund (SNSE:CFIAMDVADA)</t>
  </si>
  <si>
    <t>Ameris Capital Administradora General de Fondos S.A.- DVA Deuda Privada USA FI F</t>
  </si>
  <si>
    <t>CFIAMDVADA</t>
  </si>
  <si>
    <t>Ameris Capital Administradora General de Fondos S.A.- FI Ameris Desarrollo Inmobiliario Peru Fund (SNSE:CFIADIPE.E)</t>
  </si>
  <si>
    <t>Ameris Capital Administradora General de Fondos S.A.- FI Ameris Desarrollo Inmob</t>
  </si>
  <si>
    <t>CFIADIPE.E</t>
  </si>
  <si>
    <t>Ameris Capital Administradora General de Fondos S.A.- FI Ameris Desarrollo Inmobiliario Peru Fund specializes in fund of fund investments in private equity funds.</t>
  </si>
  <si>
    <t>Ameris Capital Administradora General de Fondos S.A. Fund (SNSE:CFIADI6FID)</t>
  </si>
  <si>
    <t>Ameris Capital Administradora General de Fondos S.A. Fund</t>
  </si>
  <si>
    <t>CFIADI6FID</t>
  </si>
  <si>
    <t>Ameris Capital Administradora General de Fondos S.A.- Fundo de Inversion Ameris Deuda Directa Fund (SNSE:CFIAMDDA.E)</t>
  </si>
  <si>
    <t>Ameris Capital Administradora General de Fondos S.A.- Fundo de Inversion Ameris</t>
  </si>
  <si>
    <t>CFIAMDDA.E</t>
  </si>
  <si>
    <t>Ameris Capital Administradora General de Fondos SA - Fondo de Inversión AAtech Deuda Hipotecaria Fun (SNSE:CFIATHDA.E)</t>
  </si>
  <si>
    <t>Ameris Capital Administradora General de Fondos SA - Fondo de Inversión AAtech D</t>
  </si>
  <si>
    <t>CFIATHDA.E</t>
  </si>
  <si>
    <t>Ameris Capital Administradora General de Fondos SA- Ameris Leasing Habitacional Fondo De Inversion F (SNSE:CFIALEHA.E)</t>
  </si>
  <si>
    <t>Ameris Capital Administradora General de Fondos SA- Ameris Leasing Habitacional</t>
  </si>
  <si>
    <t>CFIALEHA.E</t>
  </si>
  <si>
    <t>Ameris Capital- Ameris UPC Fondo de Inversion (SNSE:CFIAMUPC.E)</t>
  </si>
  <si>
    <t>Ameris Capital- Ameris UPC Fondo de Inversion</t>
  </si>
  <si>
    <t>CFIAMUPC.E</t>
  </si>
  <si>
    <t>Ameris Capital General Administrator of Funds SA - FI FINANCIAMIENTO PYMES (SNSE:CFIFINPA.E)</t>
  </si>
  <si>
    <t>Ameris Capital General Administrator of Funds SA - FI FINANCIAMIENTO PYMES</t>
  </si>
  <si>
    <t>CFIFINPA.E</t>
  </si>
  <si>
    <t>Ameris Capital General Administrator of Funds SA - NM PRIVATE CREDIT FI Fund (SNSE:CFIAMG3X.E)</t>
  </si>
  <si>
    <t>Ameris Capital General Administrator of Funds SA - NM PRIVATE CREDIT FI Fund</t>
  </si>
  <si>
    <t>CFIAMG3X.E</t>
  </si>
  <si>
    <t>Ameris Desarrollo Inmobiliario VI Fondo De Inversion Series A (SNSE:CFIADI6FIB)</t>
  </si>
  <si>
    <t>Ameris Desarrollo Inmobiliario VI Fondo De Inversion Series A</t>
  </si>
  <si>
    <t>CFIADI6FIB</t>
  </si>
  <si>
    <t>Ameris Deuda Corporativa Chile High Yield Fondo De Inversion (SNSE:CFIAMDHY.A)</t>
  </si>
  <si>
    <t>Ameris Deuda Corporativa Chile High Yield Fondo De Inversion</t>
  </si>
  <si>
    <t>CFIAMDHY.A</t>
  </si>
  <si>
    <t>Ameris Financiamiento Colateralizado I Fondo De Inversion (SNSE:CFIACOLA.E)</t>
  </si>
  <si>
    <t>Ameris Financiamiento Colateralizado I Fondo De Inversion</t>
  </si>
  <si>
    <t>CFIACOLA.E</t>
  </si>
  <si>
    <t>Ameris Lgt Secondaries IV Fondo De Inversion (SNSE:CFIAMLGT.E)</t>
  </si>
  <si>
    <t>Ameris Lgt Secondaries IV Fondo De Inversion</t>
  </si>
  <si>
    <t>CFIAMLGT.E</t>
  </si>
  <si>
    <t>Ameris Lgt Secondaries IV Fondo De Inversion specializes in fund of funds investments in private equity funds.</t>
  </si>
  <si>
    <t>Ameris Private Equity Nordic XI Fondo de Inversión (SNSE:CFIANXIA.E)</t>
  </si>
  <si>
    <t>Ameris Private Equity Nordic XI Fondo de Inversión</t>
  </si>
  <si>
    <t>CFIANXIA.E</t>
  </si>
  <si>
    <t>Ameris Renta Residencial Fondo de Inversión (SNSE:CFIAMRRE.E)</t>
  </si>
  <si>
    <t>Ameris Renta Residencial Fondo de Inversión</t>
  </si>
  <si>
    <t>CFIAMRRE.E</t>
  </si>
  <si>
    <t>Ameris Vivienda con Subsidio ESG Fondo de Inversion (SNSE:CFIAVESG.E)</t>
  </si>
  <si>
    <t>Ameris Vivienda con Subsidio ESG Fondo de Inversion</t>
  </si>
  <si>
    <t>CFIAVESG.E</t>
  </si>
  <si>
    <t>Amicorp Administradora General De Fondos SA - FI Condor Balanceado Fund (SNSE:CFICNDR.A)</t>
  </si>
  <si>
    <t>Amicorp Administradora General De Fondos SA - FI Condor Balanceado Fund</t>
  </si>
  <si>
    <t>CFICNDR.A</t>
  </si>
  <si>
    <t>Amicorp Gestion General de Fondos S.A. - latin trust liquidez Fund (SNSE:CFILTLIQ.A)</t>
  </si>
  <si>
    <t>Amicorp Gestion General de Fondos S.A. - latin trust liquidez Fund</t>
  </si>
  <si>
    <t>CFILTLIQ.A</t>
  </si>
  <si>
    <t>Andacor S.A. (SNSE:ANDACOR)</t>
  </si>
  <si>
    <t>Andacor S.A.</t>
  </si>
  <si>
    <t>ANDACOR</t>
  </si>
  <si>
    <t>Hotels, Resorts and Cruise Lines</t>
  </si>
  <si>
    <t>Hotels, Restaurants and Leisure</t>
  </si>
  <si>
    <t>Andacor S.A., through its subsidiaries, operates as a tourism and ski lift services group in Chile. It offers lifts, equipment rental, and ski classes for adults and children; restaurants, sales office, and restroom services; tubing, canopy, chair ride views, sledding, and skating rink activities through ticket office, internet sales, tour operator, and institution sales channels. The company was formerly known as Andariveles de Cordillera S.A. and changed its name to Andacor S.A. in 1995. Andacor S.A. was incorporated in 1949 and is headquartered in Lo Barnechea, Chile.</t>
  </si>
  <si>
    <t>Andino Investment Holding S.A.A. (BVL:AIHC1)</t>
  </si>
  <si>
    <t>Andino Investment Holding S.A.A.</t>
  </si>
  <si>
    <t>AIHC1</t>
  </si>
  <si>
    <t>Marine Ports and Services</t>
  </si>
  <si>
    <t>Transportation</t>
  </si>
  <si>
    <t>Andino Investment Holding S.A.A. provides port, infrastructure and airport, real estate, and logistics services in Peru. The company engages in the design, construction, operation, improvement, and maintenance of airports; extension and remodeling of terminals; rehabilitation of runways; and improvement of fences and parking lots. It also offers airport services, such as ramp handling, cargo storage, passenger check-in, and fixed base operator (FBO) serves; cargo warehouse services; commercial logistics services; maritime and river services; foreign trade advisory services; financial solutions comprising warrants and certificates of deposits; and authorized customs warehouse, and customs storage, as well as integral logistics solutions. In addition, the company provides financing solutions for working capital with warrants, invoices, and fixed assets. Andino Investment Holding S.A.A. was incorporated in 2005 and is based in Miraflores, Peru. Andino Investment Holding S.A.A operates as a subsidiary of Andino Inversiones Global S.A.</t>
  </si>
  <si>
    <t>AntarChile S.A. (SNSE:ANTARCHILE)</t>
  </si>
  <si>
    <t>AntarChile S.A.</t>
  </si>
  <si>
    <t>ANTARCHILE</t>
  </si>
  <si>
    <t>Industrial Conglomerates</t>
  </si>
  <si>
    <t>AntarChile S.A. invests in forestry, food and fishing, energy, and other sectors in internationally. The company offers forest products, including pulp, panels, and sawn wood products; distributes distribution of liquid fuels, lubricants, liquefied gas and natural gas; and produce fishmeal and fish oil, preserves, frozen and Omega-3 concentrates. It also produces and sells protein foods of marine, and plant origin; and operates copper mines. AntarChile S.A. was founded in 1984 and is based in Santiago, Chile. AntarChile S.A. operates as a subsidiary of Inversiones Angelini y Compañía Limitada.</t>
  </si>
  <si>
    <t>Arrayan Acciones Chilenas FIP (SNSE:CFIARRAA.E)</t>
  </si>
  <si>
    <t>Arrayan Acciones Chilenas FIP</t>
  </si>
  <si>
    <t>CFIARRAA.E</t>
  </si>
  <si>
    <t>Assa Inmobiliaria S.A. (BVL:ASSAINC1)</t>
  </si>
  <si>
    <t>Assa Inmobiliaria S.A.</t>
  </si>
  <si>
    <t>ASSAINC1</t>
  </si>
  <si>
    <t>Real Estate Operating and Management</t>
  </si>
  <si>
    <t>Assa Inmobiliaria S.A. engages in investment in real estate properties. The company was incorporated in 2021 and is based in Santiago de Surco, Peru.</t>
  </si>
  <si>
    <t>Asset Administradora General de Fondos S.A. - Fundo De Investimento Asset Rentas (SNSE:CFIARR)</t>
  </si>
  <si>
    <t>Asset Administradora General de Fondos S.A. - Fundo De Investimento Asset Rentas</t>
  </si>
  <si>
    <t>CFIARR</t>
  </si>
  <si>
    <t>Asset Administradora General de Fondos S.A. - Fundo De Investimento Asset Rentas Residenciales is a private equity fund.</t>
  </si>
  <si>
    <t>Aurus Capital Renta Inmobiliaria Fondo de Inversión (SNSE:CFILVPA1RI)</t>
  </si>
  <si>
    <t>Aurus Capital Renta Inmobiliaria Fondo de Inversión</t>
  </si>
  <si>
    <t>CFILVPA1RI</t>
  </si>
  <si>
    <t>Aurus Capital Renta Inmobiliaria Fondo de Inversión launched and managed by Aurus S.A. Gestión de Inversiones. The fund invests in the real estate markets of Chile. It seeks to invest in income generating properties. Aurus Renta Inmobiliaria Fund is domiciled in Chile.</t>
  </si>
  <si>
    <t>Austral Group S.A.A. (BVL:AUSTRAC1)</t>
  </si>
  <si>
    <t>Austral Group S.A.A.</t>
  </si>
  <si>
    <t>AUSTRAC1</t>
  </si>
  <si>
    <t>Austral Group S.A.A., a fishing company, produces and trades in marine based foods and ingredients in Peru and internationally. The company operates in two segments, Indirect Human Consumption and Direct Human Consumption. It offers frozen, canned, fishmeal, and fish oil. The company also provides frozen, fresh, and canned marine products of various species, such as horse mackerel, mackerel, squid, bonito, parakeet, and others. Austral Group S.A.A. was founded in 1996 and is headquartered in Lima, Peru. Austral Group S.A.A. is a subsidiary of Laco AS.</t>
  </si>
  <si>
    <t>AVANTE ADMINISTR GENERAL DE FONDOS - Avante Renta Inmobiliaria Ram Fund (SNSE:CFIRAMII.E)</t>
  </si>
  <si>
    <t>AVANTE ADMINISTR GENERAL DE FONDOS - Avante Renta Inmobiliaria Ram Fund</t>
  </si>
  <si>
    <t>CFIRAMII.E</t>
  </si>
  <si>
    <t>Avante Administr General De Fondos - Avante Renta V FI Fund (SNSE:CFIRENT.A)</t>
  </si>
  <si>
    <t>Avante Administr General De Fondos - Avante Renta V FI Fund</t>
  </si>
  <si>
    <t>CFIRENT.A</t>
  </si>
  <si>
    <t>Avante Administr General De Fondos - Deuda Privada Y Capital Preferente FI (SNSE:CFIDPKP.R)</t>
  </si>
  <si>
    <t>Avante Administr General De Fondos - Deuda Privada Y Capital Preferente FI</t>
  </si>
  <si>
    <t>CFIDPKP.R</t>
  </si>
  <si>
    <t>Azul Azul S.A. (SNSE:AZUL AZUL)</t>
  </si>
  <si>
    <t>Azul Azul S.A.</t>
  </si>
  <si>
    <t>AZUL AZUL</t>
  </si>
  <si>
    <t>Movies and Entertainment</t>
  </si>
  <si>
    <t>Media and Entertainment</t>
  </si>
  <si>
    <t>Azul Azul S.A. engages in organizing, producing, marketing, and participating in professional, entertainment and leisure activities of a sporting and recreational nature. It is involved in the training activities with sports components. The company also provides advisory, support, equipment, and consulting services of an organizational, administrative, and event management nature. The company was founded in 2007 and is based in La Cisterna, Chile.</t>
  </si>
  <si>
    <t>BAC Holding International Corp. (BVC:BHI)</t>
  </si>
  <si>
    <t>BAC Holding International Corp.</t>
  </si>
  <si>
    <t>BHI</t>
  </si>
  <si>
    <t>Panama</t>
  </si>
  <si>
    <t>PA</t>
  </si>
  <si>
    <t>BAC Holding International Corp. provides financial services to individuals and institutions in Guatemala, El Salvador, Honduras, Nicaragua, Costa Rica, and Panama. It also engages in stock market services; finance leasing; mutual funds; telematic services; cards services; and travel agency services, as well as reinsurance business. The company was founded in 1972 and is headquartered in Panama City, Panama.</t>
  </si>
  <si>
    <t>Banchile Adm General De Fondos Sa - Fondo de Inversión Banchile Oro (SNSE:CFIBANOROA)</t>
  </si>
  <si>
    <t>Banchile Adm General De Fondos Sa - Fondo de Inversión Banchile Oro</t>
  </si>
  <si>
    <t>CFIBANOROA</t>
  </si>
  <si>
    <t>Banchile Adm General De Fondos SA - Fondo De Inversion Inmobiliario X (SNSE:CFIBAIN10A)</t>
  </si>
  <si>
    <t>Banchile Adm General De Fondos SA - Fondo De Inversion Inmobiliario X</t>
  </si>
  <si>
    <t>CFIBAIN10A</t>
  </si>
  <si>
    <t>Banchile Administradora General - FI Banchile Marketplus Fund (SNSE:CFIBMPUK.E)</t>
  </si>
  <si>
    <t>Banchile Administradora General - FI Banchile Marketplus Fund</t>
  </si>
  <si>
    <t>CFIBMPUK.E</t>
  </si>
  <si>
    <t>BANCHILE ADMINISTRADORA GENERAL - FI BANCHILE MARKETPLUS TECNOLOGIA  Fund (SNSE:CFIBMPTC.E)</t>
  </si>
  <si>
    <t>BANCHILE ADMINISTRADORA GENERAL - FI BANCHILE MARKETPLUS TECNOLOGIA  Fund</t>
  </si>
  <si>
    <t>CFIBMPTC.E</t>
  </si>
  <si>
    <t>Banchile Administradora General - Fondo De Inversion Banchile Deuda Largo Plazo Fund (SNSE:CFIBCHDLPA)</t>
  </si>
  <si>
    <t>Banchile Administradora General - Fondo De Inversion Banchile Deuda Largo Plazo</t>
  </si>
  <si>
    <t>CFIBCHDLPA</t>
  </si>
  <si>
    <t>Banchile Administradora General - Fondo de Inversión Desarrollo Inmobiliario Per (SNSE:CFIBCHINPC)</t>
  </si>
  <si>
    <t>Banchile Administradora General - Fondo de Inversión Desarrollo Inmobiliario Per</t>
  </si>
  <si>
    <t>CFIBCHINPC</t>
  </si>
  <si>
    <t>Banchile Administradora General - Fondo De Inversion Deuda Alto Rendimiento Fund (SNSE:CFIBCHDALT)</t>
  </si>
  <si>
    <t>Banchile Administradora General - Fondo De Inversion Deuda Alto Rendimiento Fund</t>
  </si>
  <si>
    <t>CFIBCHDALT</t>
  </si>
  <si>
    <t>Banchile Administradora General - Fondo de Inversion Deuda Global Fund (SNSE:CFIBCHDEGB)</t>
  </si>
  <si>
    <t>Banchile Administradora General - Fondo de Inversion Deuda Global Fund</t>
  </si>
  <si>
    <t>CFIBCHDEGB</t>
  </si>
  <si>
    <t>Banchile Administradora General - Fondo De Inversion Europe Equity (SNSE:CFIBCHEETA)</t>
  </si>
  <si>
    <t>Banchile Administradora General - Fondo De Inversion Europe Equity</t>
  </si>
  <si>
    <t>CFIBCHEETA</t>
  </si>
  <si>
    <t>Banchile Administradora General - Fondo de Inversion MarketPlus Fund (SNSE:CFIBCHMPUS)</t>
  </si>
  <si>
    <t>Banchile Administradora General - Fondo de Inversion MarketPlus Fund</t>
  </si>
  <si>
    <t>CFIBCHMPUS</t>
  </si>
  <si>
    <t>Banchile Administradora General - Fondo de Inversión Rentas Habitacionales (SNSE:CFIBCHHABT)</t>
  </si>
  <si>
    <t>Banchile Administradora General - Fondo de Inversión Rentas Habitacionales</t>
  </si>
  <si>
    <t>CFIBCHHABT</t>
  </si>
  <si>
    <t>Banchile Administradora General - Fondo De Inversion USA Equity Fund (SNSE:CFIBCHUETA)</t>
  </si>
  <si>
    <t>Banchile Administradora General - Fondo De Inversion USA Equity Fund</t>
  </si>
  <si>
    <t>CFIBCHUETA</t>
  </si>
  <si>
    <t>Banchile Administradora General - Fondo Inversion Desarrollo Y Rentas Residencia (SNSE:CFIBCHDYRR)</t>
  </si>
  <si>
    <t>Banchile Administradora General - Fondo Inversion Desarrollo Y Rentas Residencia</t>
  </si>
  <si>
    <t>CFIBCHDYRR</t>
  </si>
  <si>
    <t>Banchile Administradora General de Fondos SA - Banchile Fund Inversion Emerging Equity Fund (SNSE:CFIBCHEMEQ)</t>
  </si>
  <si>
    <t>Banchile Administradora General de Fondos SA - Banchile Fund Inversion Emerging</t>
  </si>
  <si>
    <t>CFIBCHEMEQ</t>
  </si>
  <si>
    <t>Banchile Administradora General De Fondos SA - Fondo De Inversion Banchile Global Real Estate (SNSE:CFIBGRESTA)</t>
  </si>
  <si>
    <t>Banchile Administradora General De Fondos SA - Fondo De Inversion Banchile Globa</t>
  </si>
  <si>
    <t>CFIBGRESTA</t>
  </si>
  <si>
    <t>Banchile Administradora General de Fondos SA - Fondo de Inversion Deuda Global High Yield Fund (SNSE:CFIBCDGHYA)</t>
  </si>
  <si>
    <t>Banchile Administradora General de Fondos SA - Fondo de Inversion Deuda Global H</t>
  </si>
  <si>
    <t>CFIBCDGHYA</t>
  </si>
  <si>
    <t>Banchile Administradora General- FI Banchile Blackrock Japon Fund (SNSE:CFIBCHBRJP)</t>
  </si>
  <si>
    <t>Banchile Administradora General- FI Banchile Blackrock Japon Fund</t>
  </si>
  <si>
    <t>CFIBCHBRJP</t>
  </si>
  <si>
    <t>Banchile Administradora General- Fondo De Inversion AG Direct Lending V Fund (SNSE:CFI.BA5P3E)</t>
  </si>
  <si>
    <t>Banchile Administradora General- Fondo De Inversion AG Direct Lending V Fund</t>
  </si>
  <si>
    <t>CFI.BA5P3E</t>
  </si>
  <si>
    <t>Banchile Administradora General -Fondo de Inversión Infraestructura Chile I (SNSE:CFIINF1A.E)</t>
  </si>
  <si>
    <t>Banchile Administradora General -Fondo de Inversión Infraestructura Chile I</t>
  </si>
  <si>
    <t>CFIINF1A.E</t>
  </si>
  <si>
    <t>Banchile Efficiency Gains Investment Fund (SNSE:CFIBACHPLU)</t>
  </si>
  <si>
    <t>Banchile Efficiency Gains Investment Fund</t>
  </si>
  <si>
    <t>CFIBACHPLU</t>
  </si>
  <si>
    <t>Banco BBVA Perú (BVL:BBVAC1)</t>
  </si>
  <si>
    <t>Banco BBVA Perú</t>
  </si>
  <si>
    <t>BBVAC1</t>
  </si>
  <si>
    <t>Banco BBVA Perú provides various banking products and services in Peru. The company provides savings, current, checking, digital, and payroll accounts, as well as term deposits and credit and debit cards. It offers personal and online loans, salary advances, agreement and touch loans, mortgage loans, green mortgages, and vehicle credit, as well as mutual funds. In addition, the company offers car, life, family, credit, health, protection, and property insurance, as well as ATM, mobile, and internet banking services. The company was incorporated in 1951 and is headquartered in San Isidro, Peru.</t>
  </si>
  <si>
    <t>Banco Bilbao Vizcaya Argentaria Colombia S.A. (BVC:BBVACOL)</t>
  </si>
  <si>
    <t>Banco Bilbao Vizcaya Argentaria Colombia S.A.</t>
  </si>
  <si>
    <t>BBVACOL</t>
  </si>
  <si>
    <t>Banco Bilbao Vizcaya Argentaria Colombia S.A. engages in the provision of loans to public and private sector companies, and individuals. The company offers vehicle credits, housing credits, Colombians abroad, online loans, consumer credits, and payroll credits; savings, payroll, digital savings, pensioners, meta, and current accounts, as well as briefcase and mobile money; debit, credit cards, and credit card portfolio purchase; traditional, long term, and variable CDT; leasing; offer for pensioners; life and general insurance, such as personal accident, health, multi-risk, vehicle, card theft, fire and earthquake, and workers compensation insurance ; foreign exchange; personal banking; premiums; and private banking. It also provides SMEs; collection solutions, mobile dataphone, traditional phone, payment link, qr payments, sales advances, and ticket office; business debit and credit cards, corporate credit cards, agro credit cards, and importer cards; business savings and current accounts, current account for companies, remunerated current accounts, and business checking accounts; and business loans, working capital, credifast credit, severance pay credit, payroll payment credit, investment credit, and mortgage credit. In addition, the company offers machinery, real estate, vehicle, import, and sustainable leasing; letters of credit, pre-financing of exports, documentary collections, transfers, forfaiting, and remittances; CDT, structured trust, real estate trust, and investment trust; and forwards, options, and swaps. Further, it provides payroll and supplier payments, national collection, tax collection, and banking correspondents; and insurance for SMEs, as well as infrastructure investment and financing, fixed income products, equity products, and syndicated credit. The company was founded in 1857 and is based in Bogotá, Colombia. Banco Bilbao Vizcaya Argentaria Colombia S.A. (BVC:BBVACOL) operates as a subsidiary of Banco Bilbao Vizcaya Argentaria, S.A.</t>
  </si>
  <si>
    <t>Banco Comercial AV Villas S.A. (BVC:VILLAS)</t>
  </si>
  <si>
    <t>Banco Comercial AV Villas S.A.</t>
  </si>
  <si>
    <t>VILLAS</t>
  </si>
  <si>
    <t>Banco Comercial AV Villas S.A. provides various banking products and services in Colombia. It offers current, savings, digital, transaction, and payroll accounts. The company also provides investment credit, portfolio purchase credit, revolving credit, payroll advance, educative credit, release credit, ordinary credit, treasury credit, factoring, business credit cards, foreign trade, and rediscount credit products. In addition, it offers mortgage credit products; mortgage credit; pre-approved housing credit, home acquisition credit, pre-approved credit for real estate, and mortgage portfolio products; insurance products; payment, collection, acquisition, and currency buying and selling services; and credit and debit cards. The company was formerly known as Corporación de Ahorro y Vivienda AV Villas and changed its name to Banco Comercial AV Villas S.A. in March 2002. The company was founded in 1972 and is based in Bogotá, Colombia. Banco Comercial AV Villas S.A. is a subsidiary of Grupo Aval Acciones y Valores S.A.</t>
  </si>
  <si>
    <t>Banco Davivienda S.A. (BVC:PFDAVVNDA)</t>
  </si>
  <si>
    <t>Banco Davivienda S.A.</t>
  </si>
  <si>
    <t>PFDAVVNDA</t>
  </si>
  <si>
    <t>Banco Davivienda S.A. offers banking products and services in Colombia, Panama, Costa Rica, El Salvador, Honduras, and the United States. It operates through the Retail Banking and Commercial Banking segments. The company offers checking and savings accounts; current accounts; commercial, consumer, and mortgage loans; debit and credit cards; electronic wallets; mobile banking; term deposits; treasury services in local and foreign currencies; letters of credit; online banking services; mortgage financing products; insurance; leasing; and other services. It also provides finance for construction, infrastructure, health, education, culture, and sports projects; and energy loans, production loans, vehicle loans, housing, and SME loans. The company operates through a network of multiple branches and ATMs. It serves individuals, small and medium-sized enterprises, corporations, financial institutions, agricultural businesses, state-owned enterprises, and government entities. The company was founded in 1972 and is headquartered in Bogotá, Colombia. Banco Davivienda S.A. is a subsidiary of Davivienda Group S.A.</t>
  </si>
  <si>
    <t>Banco de Bogotá S.A. (BVC:BOGOTA)</t>
  </si>
  <si>
    <t>Banco de Bogotá S.A.</t>
  </si>
  <si>
    <t>BOGOTA</t>
  </si>
  <si>
    <t>Banco de Bogotá S.A. provides various banking products and services in Colombia and internationally. The company offers savings and checking accounts, and time deposits; loans, finance lease, commercial, consumer, mortgage, and microcredit; and foreign exchange and derivatives products and services. It provides corporate, investment, mortgage and consumer banking, as well as insurance, securities brokerage, factoring, leasing, and real estate services. The company was incorporated in 1870 and is headquartered in Bogotá, Colombia. Banco de Bogotá S.A. is a subsidiary of Grupo Aval Acciones y Valores S.A.</t>
  </si>
  <si>
    <t>Banco de Chile (SNSE:CHILE)</t>
  </si>
  <si>
    <t>Banco de Chile</t>
  </si>
  <si>
    <t>CHILE</t>
  </si>
  <si>
    <t>Banco de Chile, together with its subsidiaries, provides commercial banking services in Chile. It operates through four segments: Retail Banking, Wholesale Banking, Treasury, and Subsidiaries. The company offers current account and digital student plans; digital and checking accounts; mortgage loans; credit and debit cards; consumer credit; applications; deposits and savings; financing; autoleasing; online payments; cell phone top-ups; foreign currency; and income accreditation. It also provides insurance products, including journey, health, protection, home, life, and automotive; and investments, such as mutual, investment, and APV funds, stocks, fixed income, and derivative products. In addition, the company offers cash management comprising mass and easy payments, collection, and fund transfers; foreign trade, which includes imports, exports, international network products, Banchile international transport insurance, and customs guarantee insurance; and other services, such as bank connection, financial portability, digital VAT and signature, financial advice, and SME program. It serves individuals, private entities, companies, and small and medium-sized enterprises. The company was founded in 1893 and is headquartered in Santiago, Chile.</t>
  </si>
  <si>
    <t>Banco de Crédito del Perú S.A. (BVL:CREDITC1)</t>
  </si>
  <si>
    <t>Banco de Crédito del Perú S.A.</t>
  </si>
  <si>
    <t>CREDITC1</t>
  </si>
  <si>
    <t>Banco de Crédito del Perú S.A. provides banking products and services to individuals, small and medium-sized enterprises (SME), and companies in Peru, Panama, and the United States. The company offers savings and current accounts; term deposits; digital, reward, salary, unlimited, and CTS accounts; bank certificates and BCP order letters; credit and debit cards; personal, mortgage, vehicle, working capital, fixed asset, and credit card loans, as well as salary advance, and bank guarantees; electronic and business financing; discounting of bills and invoices; letters of guarantees; and collection and payment services. It also provides life, health, vehicle, travel, card and financial protection, funeral, cancer, protected cash micro, medical assistance, SME protection, SCTR, property, car accident, and financed car insurance products; remittances, transfers, payment of services, and top-ups; dollar exchange; and investment products, including mutual funds, fixed term deposits, portfolio of management, custody of securities, trusts, stock market investments, distribution tables, public offerings, and record of actions. In addition, the company offers mobile banking and internet banking; electronic factoring services; and other digital solutions. Banco de Crédito del Perú S.A. was incorporated in 1889 and is headquartered in La Molina, Peru. Banco de Crédito del Perú S.A. operates as a subsidiary of Grupo Credito S.A.</t>
  </si>
  <si>
    <t>Banco de Crédito e Inversiones (SNSE:BCI)</t>
  </si>
  <si>
    <t>Banco de Crédito e Inversiones</t>
  </si>
  <si>
    <t>BCI</t>
  </si>
  <si>
    <t>Banco de Crédito e Inversiones provides various banking products and services in Chile, the United States, and Peru. It offers checking and current accounts; debit and credit cards; consumer and mortgage loans; factoring and leasing financing solutions; corporate finance and agency solutions; transactional services; and foreign exchange, hedging and structuring of derivatives, fixed income products, and international trade services. The company also provides money market and medium- and long-term mutual funds, foreign currency, and forward and fixed income instrument alternatives products; transactional services, such as payments, collection, cash pooling, electronic statement, and fund transfer services; commercial vehicle, private use vehicle, commercial fire, and transport and engineering insurance, as well as mortgage protection, fire, and earthquake insurance. In addition, it offers financing solutions, including short-term and long-term commercial credit, guarantee certificate, factoring, ordering, overdraft line, and leasing. The company was incorporated in 1937 and is based in Santiago, Chile. Banco de Crédito e Inversiones operates as a subsidiary of Empresas Juan Yarur SpA.</t>
  </si>
  <si>
    <t>Banco de Occidente S.A. (BVC:OCCIDENTE)</t>
  </si>
  <si>
    <t>Banco de Occidente S.A.</t>
  </si>
  <si>
    <t>OCCIDENTE</t>
  </si>
  <si>
    <t>Banco de Occidente S.A. provides banking products and services for individuals and businesses in Colombia. The company offers savings, payroll, current, pension, master, and AFC account; debit and credit card; unsecured loan, housing and mortgage loan, vehicle loans, and new or used vehicle loan; credits, foreign currency, leasing, and factoring products; and investments services. It also provides home, fire, vehicle, travel, pet, health, life and unemployment, accident, and other insurance, as well as business insurance, vehicle and machinery insurance, real estate and construction insurance, insurance technology, and SME insurance. The company was founded in 1965 and is based in Cali, Colombia. Banco de Occidente S.A. is a subsidiary of Grupo Aval Acciones y Valores S.A.</t>
  </si>
  <si>
    <t>Banco Internacional (SNSE:BINT)</t>
  </si>
  <si>
    <t>Banco Internacional</t>
  </si>
  <si>
    <t>BINT</t>
  </si>
  <si>
    <t>Banco Internacional provides various banking products and services in Chile. The company operates through Commercial Banking, Personal Banking, and Treasury and Investments segments. It offers current accounts; leasing, factoring, and structured financing services; revolving credit facilities; term deposits and mutual funds; collection and cash management services; and working capital, foreign trade, treasury, and other products. It also provides consumer loans, credit cards, mortgage loans, and other products; and investments. The company was formerly known as Banco Israelita de Chile and changed its name to Banco Internacional in July 1981. Banco Internacional was founded in 1944 and is based in Las Condes, Chile. Banco Internacional operates as a subsidiary of ILC Holdco Spa.</t>
  </si>
  <si>
    <t>Banco Internacional del Perú S.A.A. - Interbank (BVL:INTERBC1)</t>
  </si>
  <si>
    <t>Banco Internacional del Perú S.A.A. - Interbank</t>
  </si>
  <si>
    <t>INTERBC1</t>
  </si>
  <si>
    <t>Banco Internacional del Perú S.A.A. - Interbank provides various banking products and financial services to individuals, companies, institutions, and small businesses primarily in Peru. The company offers term deposits, savings and business accounts, current and Euro accounts, accounts for mortgage loans, salary and CTS account, and other accounts. It also provides personal, student, liquid collateral, and other loans; mortgage credit; working capital loans; foreign exchange services; sales financing services; letter of guarantees; and debit, credit, and other cards. In addition, it offers deposit funds, mutual funds, and stock market investment products; and health and life, travel, vehicle, business, oncology, digital payment, premium card, full credit protection, credit protection, and other insurance products. Further, the company payment and collection, transfers, import letter of credit, international collections, export letter of credit, export and import collections, import financing, pre-shipment and post-shipment export financing, international export factoring, forfaiting, exchange rate and hedging, internet banking, corporate finance, and trust services. The company was founded in 1897 and is headquartered in Lima, Peru. Banco Internacional del Perú S.A.A. - Interbank operates as a subsidiary of Intercorp Financial Services Inc.</t>
  </si>
  <si>
    <t>Banco Itaú Chile (SNSE:ITAUCL)</t>
  </si>
  <si>
    <t>Banco Itaú Chile</t>
  </si>
  <si>
    <t>ITAUCL</t>
  </si>
  <si>
    <t>Banco Itaú Chile provides various banking products and services in Chile and Colombia. It offers savings accounts, time deposits, and checking and current accounts; debit and credit cards; and consumer, mortgage, universal, college, and post graduate credit services, as well as real estate loans. The company also provides corporate, investment, retail, private, and personal banking, as well as treasury and other financial services. In addition, it offers investment, mutual funds, open investment platform, and brokerage services. Further, the company provides auto, home, theft, life, health, and travel insurance. The company was founded in 1871 and is based in Santiago, Chile.</t>
  </si>
  <si>
    <t>Banco Pichincha S.A.A. (BVL:BPICHC1)</t>
  </si>
  <si>
    <t>Banco Pichincha S.A.A.</t>
  </si>
  <si>
    <t>BPICHC1</t>
  </si>
  <si>
    <t>Banco Pichincha S.A.A. provides various banking products and services in Peru. It offers deposits, loans, guarantees, securities, and financial leasing and intermediation services, as well as insurance brokerage services. The company was founded in 1964 and is based in Miraflores, Peru.</t>
  </si>
  <si>
    <t>Banco Popular S.A. (BVC:POPULAR)</t>
  </si>
  <si>
    <t>Banco Popular S.A.</t>
  </si>
  <si>
    <t>POPULAR</t>
  </si>
  <si>
    <t>Banco Popular S.A. provides banking products and services in Colombia. The company offers debit and credit cards; savings and current accounts; CDT term deposits; investment and voluntary pension funds; housing and investment credits; protection and insurance; tax payment; and customer service and payment channels; cash management; working capital; development credits; commercial, consumer, mortgage, and microcredit loans; financial leasing; and money table products and services, as well as digital wallet. It also provides overdraft, real estate, and machinery and equipment leasing; collection with barcode, PSE, payment to suppliers, payment of payroll, and tax and national referenced collection; and foreign trade services, including import and export credit portfolio, guarantees and warranties, and import and export financing. Banco Popular S.A. was incorporated in 1950 and is based in Bogotá, Colombia. Banco Popular S.A. is a subsidiary of Grupo Aval Acciones y Valores S.A.</t>
  </si>
  <si>
    <t>Banco Santander-Chile (SNSE:BSANTANDER)</t>
  </si>
  <si>
    <t>Banco Santander-Chile</t>
  </si>
  <si>
    <t>BSANTANDER</t>
  </si>
  <si>
    <t>Banco Santander-Chile, together with its subsidiaries, provides commercial and retail banking products and services in Chile. It operates through Retail, Wealth Management &amp; Insurance, Middle-Market, Corporate and Investment Banking, and Corporate Activities and Other segments. The company provides checking accounts and savings products; debit and credit cards; consumer, auto, commercial, mortgage, and government-guaranteed loans; and Chilean peso and foreign currency denominated loans to finance various commercial transactions, trade, foreign currency forward contracts, and credit lines, as well as mortgage financing services. It offers mutual fund management, insurance and securities brokerage, foreign exchange services, financial leasing, financial consulting and advisory, investment management, foreign trade, leasing, factoring, treasury, and transactional services, as well as specialized services to finance residential projects. In addition, the company offers short-term financing and funding, and brokerage services, as well as derivatives, securitization, and other products; and manages capital allocations. Further, it provides health, life, travel, automobile, and unemployment insurance products; personal and corporate protection products; guarantees; international investment accounts, structured funds, and alternative investment funds; and wealth management and open architecture, asset management, and private banking services. It serves individuals, small to middle-sized companies, and other companies, as well as universities, government agencies, municipalities, regional governments, and construction and real estate companies. The company was incorporated in 1977 and is headquartered in Santiago, Chile. Banco Santander-Chile is a subsidiary of Banco Santander, S.A.</t>
  </si>
  <si>
    <t>Banvida S.A. (SNSE:BANVIDA)</t>
  </si>
  <si>
    <t>Banvida S.A.</t>
  </si>
  <si>
    <t>BANVIDA</t>
  </si>
  <si>
    <t>Insurance Broker</t>
  </si>
  <si>
    <t>Insurance</t>
  </si>
  <si>
    <t>Banvida S.A. provides financial services in Chile. The company provides financial services, such as life and general insurance, credit, and consumer loans, and investment services. The company also offers life annuities, life annuity reinsurance, traditional insurance, health, mortgage protection, life and total insurance, stockbrokerage, mortgage loan management, mutual funds, and banking. The company was founded in 1998 and is based in Santiago, Chile. Banvida S.A. is a subsidiary of Inversiones Teval S.A.</t>
  </si>
  <si>
    <t>Bayer S.A. (BVL:BAYERI1)</t>
  </si>
  <si>
    <t>Bayer S.A.</t>
  </si>
  <si>
    <t>BAYERI1</t>
  </si>
  <si>
    <t>Pharmaceuticals</t>
  </si>
  <si>
    <t>Health Care</t>
  </si>
  <si>
    <t>Pharmaceuticals, Biotechnology and Life Sciences</t>
  </si>
  <si>
    <t>Bayer S.A. engages in the pharmaceuticals, consumer health, and crop science businesses in Peru. It operates through three segments: Crop Science, Pharmaceuticals, and Consumer Health. The company offers chemical crop protection products to control weeds; seeds and traits for corn, cotton, soybeans, oilseed rape/canola, rice, wheat, and other crops; biological and chemical products to protect crop plants against fungal diseases; biological and chemical products to protect crop plants from harmful insects and their larvae; vegetable seeds; digital applications for agriculture; products for consumer lawn and garden use and forestry, golf courses, railway tracks and landscape applications; biological and chemical seed treatment products to protect against fungal diseases and pests. It also provides prescription products for cardiology and women’s health, oncology, hematology, ophthalmology, medium-term cell and gene therapy, diagnostic imaging equipment, and contrast agents; and nonprescription OTC products for dermatology, nutritional supplements, digestive health, allergy, cough and cold, pain, and cardiovascular risk prevention. The company was incorporated in 1947 and is based in Lima, Peru. Bayer S.A. operates as a subsidiary of Bayer Aktiengesellschaft.</t>
  </si>
  <si>
    <t>BCI Administradora de Fondos Mutuos S.A - Fi Secundarios I (SNSE:CFI.SEADCE)</t>
  </si>
  <si>
    <t>BCI Administradora de Fondos Mutuos S.A - Fi Secundarios I</t>
  </si>
  <si>
    <t>CFI.SEADCE</t>
  </si>
  <si>
    <t>BCI Asset Management - FI BCI Apollo Aligned Alternatives Fund (SNSE:CFI.APOAPE)</t>
  </si>
  <si>
    <t>BCI Asset Management - FI BCI Apollo Aligned Alternatives Fund</t>
  </si>
  <si>
    <t>CFI.APOAPE</t>
  </si>
  <si>
    <t>BCI Asset Management Administradora - BCI Eurocorp Fund (SNSE:CFIEUROA.E)</t>
  </si>
  <si>
    <t>BCI Asset Management Administradora - BCI Eurocorp Fund</t>
  </si>
  <si>
    <t>CFIEUROA.E</t>
  </si>
  <si>
    <t>BCI Asset Management Administradora - FI BCI Secundarios II USD Fund (SNSE:CFI.SIIBPE)</t>
  </si>
  <si>
    <t>BCI Asset Management Administradora - FI BCI Secundarios II USD Fund</t>
  </si>
  <si>
    <t>CFI.SIIBPE</t>
  </si>
  <si>
    <t>BCI Asset Management Administradora - Fondo De Inversion Alternativos Fund (SNSE:CFIBALTR)</t>
  </si>
  <si>
    <t>BCI Asset Management Administradora - Fondo De Inversion Alternativos Fund</t>
  </si>
  <si>
    <t>CFIBALTR</t>
  </si>
  <si>
    <t>BCI Asset Management Administradora- FI HMC US Venture Opportunities Fund (SNSE:CFI.HMCUSD)</t>
  </si>
  <si>
    <t>BCI Asset Management Administradora- FI HMC US Venture Opportunities Fund</t>
  </si>
  <si>
    <t>CFI.HMCUSD</t>
  </si>
  <si>
    <t>Bci Asset Management Administradora General De Fondos - Cuota De Fondo De Inversion (SNSE:CFI.BLMVAE)</t>
  </si>
  <si>
    <t>Bci Asset Management Administradora General De Fondos - Cuota De Fondo De Invers</t>
  </si>
  <si>
    <t>CFI.BLMVAE</t>
  </si>
  <si>
    <t>BCI Asset Management Administradora General De Fondos S.A. - FI BCI EUROCORP RENTA RESIDENCIAL PREF (SNSE:CFIBEUCB.E)</t>
  </si>
  <si>
    <t>BCI Asset Management Administradora General De Fondos S.A. - FI BCI EUROCORP REN</t>
  </si>
  <si>
    <t>CFIBEUCB.E</t>
  </si>
  <si>
    <t>BCI Asset Management Administradora General De Fondos S.A. - Fondo De Inversion BCI LH Y MHE III Fun (SNSE:CFILHMHA.E)</t>
  </si>
  <si>
    <t>BCI Asset Management Administradora General De Fondos S.A. - Fondo De Inversion</t>
  </si>
  <si>
    <t>CFILHMHA.E</t>
  </si>
  <si>
    <t>BCI Asset Management Administradora General De Fondos S.A. - Fundo De Inversion BCI Oportunidades De (SNSE:CFIBODCL.E)</t>
  </si>
  <si>
    <t>BCI Asset Management Administradora General De Fondos S.A. - Fundo De Inversion</t>
  </si>
  <si>
    <t>CFIBODCL.E</t>
  </si>
  <si>
    <t>BCI Asset Management Administradora General De Fondos SA - BCI Small Cap Chile Fondo De Inversión (SNSE:CFIBCISCCL)</t>
  </si>
  <si>
    <t>BCI Asset Management Administradora General De Fondos SA - BCI Small Cap Chile F</t>
  </si>
  <si>
    <t>CFIBCISCCL</t>
  </si>
  <si>
    <t>BCI Asset Management Administradora General De Fondos SA - BCI Small Cap Chile Fondo De Inversión is headquartered in Santiago, Region Metropolitana (Santiago), Chile.</t>
  </si>
  <si>
    <t>BCI Asset Management Administradora- TAM TA Realty Core Property FI Fund (SNSE:CFITTTAA.E)</t>
  </si>
  <si>
    <t>BCI Asset Management Administradora- TAM TA Realty Core Property FI Fund</t>
  </si>
  <si>
    <t>CFITTTAA.E</t>
  </si>
  <si>
    <t>Besalco S.A. (SNSE:BESALCO)</t>
  </si>
  <si>
    <t>Besalco S.A.</t>
  </si>
  <si>
    <t>BESALCO</t>
  </si>
  <si>
    <t>Besalco S.A. operates as a construction company in Chile. It constructs reservoirs, tunnels, tailings dams, bridges, viaducts, gas pipelines, irrigation works, hydroelectric power plants, sanitation works, mining works, hospitals, stadiums, residential and commercial buildings, airports, and seaports, as well as works for the Santiago Metro and State Railways; assembles and develops projects for the expansion or modification of existing facilities; and engineers and constructs complex industrial plants, as well as designs and constructs electrical power transmission systems. It also designs, constructs, and sells, houses and apartments. In addition, the company provides mining and earthmoving; crushing, sorting, processing, loading and transport of materials; salt harvesting, tailings dam operations, spot equipment rental; mechanized forest harvesting, debarking, chipping and chip transport; and transports ready-mix concrete. Further, it engages in engineering development, construction, maintenance, and operation of investments in renewable energy, as well as concessions in public and private infrastructure, ports, airports, or others. The company was formerly known as Sanz, Bezanilla y Salinas Limitada and changed its name to Besalco S.A. in January 1995. Besalco S.A. was incorporated in 1944 and is based in Santiago, Chile.</t>
  </si>
  <si>
    <t>Bice Alternativos Fondo De Inversion (SNSE:CFIB1ALT)</t>
  </si>
  <si>
    <t>Bice Alternativos Fondo De Inversion</t>
  </si>
  <si>
    <t>CFIB1ALT</t>
  </si>
  <si>
    <t>Bice Inmobiliario III Fondo de Inversion (SNSE:CFIBIINM3)</t>
  </si>
  <si>
    <t>Bice Inmobiliario III Fondo de Inversion</t>
  </si>
  <si>
    <t>CFIBIINM3</t>
  </si>
  <si>
    <t>BICE Inmobiliario V Fondo de Inversion (SNSE:CFIBI5INM)</t>
  </si>
  <si>
    <t>BICE Inmobiliario V Fondo de Inversion</t>
  </si>
  <si>
    <t>CFIBI5INM</t>
  </si>
  <si>
    <t>Bice Inversioners Admistradora Gen - Bice Stepsone Ssof V Fondo Inversion - Fund (SNSE:CFIBSSVI.E)</t>
  </si>
  <si>
    <t>Bice Inversioners Admistradora Gen - Bice Stepsone Ssof V Fondo Inversion - Fund</t>
  </si>
  <si>
    <t>CFIBSSVI.E</t>
  </si>
  <si>
    <t>BICE Inversiones Administradora Gen - BICE Stepston VI Fondo De Inversion Fund (SNSE:CFI.BST6AE)</t>
  </si>
  <si>
    <t>BICE Inversiones Administradora Gen - BICE Stepston VI Fondo De Inversion Fund</t>
  </si>
  <si>
    <t>CFI.BST6AE</t>
  </si>
  <si>
    <t>BICE INVERSIONES ADMINISTRADORA GEN - Stepstone SSOF V  Fondo de Inversion Fund (SNSE:CFI.BSSVAE)</t>
  </si>
  <si>
    <t>BICE INVERSIONES ADMINISTRADORA GEN - Stepstone SSOF V  Fondo de Inversion Fund</t>
  </si>
  <si>
    <t>CFI.BSSVAE</t>
  </si>
  <si>
    <t>BICE Inversiones Administradora General -  BICE Alternativos Fondo de Inversion (SNSE:CFIB2ALT)</t>
  </si>
  <si>
    <t>BICE Inversiones Administradora General -  BICE Alternativos Fondo de Inversion</t>
  </si>
  <si>
    <t>CFIB2ALT</t>
  </si>
  <si>
    <t>BICE Inversiones Administradora General - BICE Deuda Nacional Fondo De Inversion (SNSE:CFIBDEUDAI)</t>
  </si>
  <si>
    <t>BICE Inversiones Administradora General - BICE Deuda Nacional Fondo De Inversion</t>
  </si>
  <si>
    <t>CFIBDEUDAI</t>
  </si>
  <si>
    <t>BICE Inversiones Administradora General - BICE Energias Renovables Fondo de Inve (SNSE:CFIBIER)</t>
  </si>
  <si>
    <t>BICE Inversiones Administradora General - BICE Energias Renovables Fondo de Inve</t>
  </si>
  <si>
    <t>CFIBIER</t>
  </si>
  <si>
    <t>Bice Inversiones Administradora General - BVC Fundo De Inversion UNICA Fund (SNSE:CFIBVCAP)</t>
  </si>
  <si>
    <t>Bice Inversiones Administradora General - BVC Fundo De Inversion UNICA Fund</t>
  </si>
  <si>
    <t>CFIBVCAP</t>
  </si>
  <si>
    <t>Unclassified</t>
  </si>
  <si>
    <t>BICE Inversiones Administradora General - Fondo Mutuo BICE Estructurado UF - Fund (SNSE:CFMBESTUF3)</t>
  </si>
  <si>
    <t>BICE Inversiones Administradora General - Fondo Mutuo BICE Estructurado UF - Fun</t>
  </si>
  <si>
    <t>CFMBESTUF3</t>
  </si>
  <si>
    <t>BICE Inversiones Administradora General - INFRARED Fondo de Inversion (SNSE:CFI.BINFRA)</t>
  </si>
  <si>
    <t>BICE Inversiones Administradora General - INFRARED Fondo de Inversion</t>
  </si>
  <si>
    <t>CFI.BINFRA</t>
  </si>
  <si>
    <t>BICE Inversiones Administradora General - Inmobiliarias Global FI Fund (SNSE:CFIBRGLO)</t>
  </si>
  <si>
    <t>BICE Inversiones Administradora General - Inmobiliarias Global FI Fund</t>
  </si>
  <si>
    <t>CFIBRGLO</t>
  </si>
  <si>
    <t>BICE Inversiones Administradora General de Fondos - BICE Monarch Fund (SNSE:CFIBMIVA.E)</t>
  </si>
  <si>
    <t>BICE Inversiones Administradora General de Fondos - BICE Monarch Fund</t>
  </si>
  <si>
    <t>CFIBMIVA.E</t>
  </si>
  <si>
    <t>BICE Inversiones Administradora General de Fondos - BICE Stepstone Scofi Fondo de Inversion (SNSE:CFIBSO1I.E)</t>
  </si>
  <si>
    <t>BICE Inversiones Administradora General de Fondos - BICE Stepstone Scofi Fondo d</t>
  </si>
  <si>
    <t>CFIBSO1I.E</t>
  </si>
  <si>
    <t>BICE Inversiones Administradora General De Fondos S.A. -  BICE Thoma Bravo XVI Fondo De Inversion Fu (SNSE:CFI.BTBRAE)</t>
  </si>
  <si>
    <t>BICE Inversiones Administradora General De Fondos S.A. -  BICE Thoma Bravo XVI F</t>
  </si>
  <si>
    <t>CFI.BTBRAE</t>
  </si>
  <si>
    <t>BICE Inversiones Administradora General De Fondos S.A. - BICE Deuda Latam Fund (SNSE:CFIBICEDLI)</t>
  </si>
  <si>
    <t>BICE Inversiones Administradora General De Fondos S.A. - BICE Deuda Latam Fund</t>
  </si>
  <si>
    <t>CFIBICEDLI</t>
  </si>
  <si>
    <t>Bice Inversiones Administradora General De Fondos S.A. - Bice Inmobiliario IV Fondo De Inversion Fun (SNSE:CFIBI4INM)</t>
  </si>
  <si>
    <t>Bice Inversiones Administradora General De Fondos S.A. - Bice Inmobiliario IV Fo</t>
  </si>
  <si>
    <t>CFIBI4INM</t>
  </si>
  <si>
    <t>BICE Inversiones Administradora General de Fondos S.A. - Bice Renta UF Institucional Fund (SNSE:CFMBICRUFI)</t>
  </si>
  <si>
    <t>BICE Inversiones Administradora General de Fondos S.A. - Bice Renta UF Instituci</t>
  </si>
  <si>
    <t>CFMBICRUFI</t>
  </si>
  <si>
    <t>BICE Inversiones Administradora General de Fondos S.A. - Bice Rentas Inmobiliarias Fondo DE Inversio (SNSE:CFIBRENTA)</t>
  </si>
  <si>
    <t>BICE Inversiones Administradora General de Fondos S.A. - Bice Rentas Inmobiliari</t>
  </si>
  <si>
    <t>CFIBRENTA</t>
  </si>
  <si>
    <t>Bice Inversiones Administradora General De Fondos S.A. - Bice Secundarios RE II Fondo De Inversion (SNSE:CFIBSR2I.E)</t>
  </si>
  <si>
    <t>Bice Inversiones Administradora General De Fondos S.A. - Bice Secundarios RE II</t>
  </si>
  <si>
    <t>CFIBSR2I.E</t>
  </si>
  <si>
    <t>BICE Inversiones Administradora General de Fondos S.A. - Fondo Mutuo BICE Agresivo (SNSE:CFMBICDINI)</t>
  </si>
  <si>
    <t>BICE Inversiones Administradora General de Fondos S.A. - Fondo Mutuo BICE Agresi</t>
  </si>
  <si>
    <t>CFMBICDINI</t>
  </si>
  <si>
    <t>BICE Inversiones Administradora General de Fondos SA Fund (SNSE:CFIBTGDEI)</t>
  </si>
  <si>
    <t>BICE Inversiones Administradora General de Fondos SA Fund</t>
  </si>
  <si>
    <t>CFIBTGDEI</t>
  </si>
  <si>
    <t>BICE Inversiones General De Fondos S.A. - BICE Stepstone Scle I Fund (SNSE:CFIBSC1A.E)</t>
  </si>
  <si>
    <t>BICE Inversiones General De Fondos S.A. - BICE Stepstone Scle I Fund</t>
  </si>
  <si>
    <t>CFIBSC1A.E</t>
  </si>
  <si>
    <t>Bice Renta Variable Internacional Fondo De Inversion I (SNSE:CFIBICRVII)</t>
  </si>
  <si>
    <t>Bice Renta Variable Internacional Fondo De Inversion I</t>
  </si>
  <si>
    <t>CFIBICRVII</t>
  </si>
  <si>
    <t>Bice Renta Variable Internacional Fondo De Inversion I is headquartered in Santiago, Chile.</t>
  </si>
  <si>
    <t>BICE Siglo XXI FI (SNSE:CFIMSIGLO)</t>
  </si>
  <si>
    <t>BICE Siglo XXI FI</t>
  </si>
  <si>
    <t>CFIMSIGLO</t>
  </si>
  <si>
    <t>BICE Siglo XXI FI is headquartered in Santiago, Chile.</t>
  </si>
  <si>
    <t>Bicecorp S.A. (SNSE:BICE)</t>
  </si>
  <si>
    <t>Bicecorp S.A.</t>
  </si>
  <si>
    <t>BICE</t>
  </si>
  <si>
    <t>Bicecorp S.A. provides various financial products and services in Chile. The company provides personal and corporate banking services, treasury services, deposit collections, checking accounts, credit and debit cards, financing for foreign trade activities, working capital and project financing, leasing operation services, document discounting, mortgage and consumer loans, consumer loans, cash management, structuring of syndicated loans, and products and services related to investments and savings. It offers insurance products, including private and pension insurance, individual insurance, group life, health and tax relief insurance, mass insurance, and AFP insurance products. In addition, the company factoring, mortgage mutual funds, automotive financing and leasing, non-bank factoring, securitization, investment banking, and real estate asset management services. The company was incorporated in 1978 and is based in Las Condes, Chile.</t>
  </si>
  <si>
    <t>BlackRock Global Funds - Pacific Equity Fund (SNSE:35112944)</t>
  </si>
  <si>
    <t>BlackRock Global Funds - Pacific Equity Fund</t>
  </si>
  <si>
    <t>35112944</t>
  </si>
  <si>
    <t>United Kingdom</t>
  </si>
  <si>
    <t>Luxembourg</t>
  </si>
  <si>
    <t>LU</t>
  </si>
  <si>
    <t>Out of Business</t>
  </si>
  <si>
    <t>As of June 28, 2021 BlackRock Global Funds - Pacific Equity Fund has gone out of business</t>
  </si>
  <si>
    <t>Blanco y Negro S.A. (SNSE:COLO COLO)</t>
  </si>
  <si>
    <t>Blanco y Negro S.A.</t>
  </si>
  <si>
    <t>COLO COLO</t>
  </si>
  <si>
    <t>Blanco y Negro S.A. focuses on organizing, producing, marketing, and participating in professional entertainment and leisure activities, and shows of sports and recreational. It offers advisory, support, management, and consultancy services, as well as engages in the educational activities. The company was incorporated in 2005 and is based in Macul, Chile.</t>
  </si>
  <si>
    <t>Blumar S.A. (SNSE:BLUMAR)</t>
  </si>
  <si>
    <t>Blumar S.A.</t>
  </si>
  <si>
    <t>BLUMAR</t>
  </si>
  <si>
    <t>Blumar S.A. engages in the fishing and aquaculture businesses. The company produces and sells fresh or frozen salmon products in the United States, Brazil and the rest of Latin America, Europe, and Asia. It also provides fishmeal and fish oil products used in the production of animal feed; and frozen mackerel. In addition, the company produces and sells mussels; and other products, such as fillets. It exports its products. The company was founded in 1948 and is based in Santiago, Chile.</t>
  </si>
  <si>
    <t>BMC Bolsa Mercantil de Colombia S.A. (BVC:BMC)</t>
  </si>
  <si>
    <t>BMC Bolsa Mercantil de Colombia S.A.</t>
  </si>
  <si>
    <t>BMC</t>
  </si>
  <si>
    <t>Financial Exchanges</t>
  </si>
  <si>
    <t>BMC Bolsa Mercantil de Colombia S.A. organizes and maintains public market for agricultural, industrial, mining-energy products and other commodities. It provides MCP; MERCOP; energy for natural gas brokerage, and clearing and settlement services for the operations; and non-bank financing and investment services. The company was founded in 1979 and is based in Bogotá, Colombia.</t>
  </si>
  <si>
    <t>Bolsa de Comercio de Santiago, Bolsa de Valores (SNSE:BOLSASTGO)</t>
  </si>
  <si>
    <t>Bolsa de Comercio de Santiago, Bolsa de Valores</t>
  </si>
  <si>
    <t>BOLSASTGO</t>
  </si>
  <si>
    <t>Bolsa de Comercio de Santiago, Bolsa de Valores operates as a securities exchange in Chile. The company offers trading of equities, fixed income securities, money market instruments, investment fund shares, and foreign securities. It also provides information technology solutions, including electronic trading and consultation systems in the stock market. Bolsa de Comercio de Santiago, Bolsa de Valores was founded in 1893 and is based in Santiago, Chile. Bolsa de Comercio de Santiago, Bolsa de Valores operates as a subsidiary of Holding Bursátil Regional S.A.</t>
  </si>
  <si>
    <t>Bolsa de Valores de Colombia S.A. (BVC:BVC)</t>
  </si>
  <si>
    <t>Bolsa de Valores de Colombia S.A.</t>
  </si>
  <si>
    <t>Bolsa de Valores de Colombia S.A. provides stock, over the counter markets services for equity, fixed income, derivative, and foreign exchange services in Colombia. The company offers listing services to issuer and issues; trading services through electronic trading and recording platforms; post trading services, which consist of settlement, clearing, collateral management, custody, and securities management services; market information and price procurement services; and core banking and securities market system implementation services, as well as digital solutions. The company was formerly known as Servicios Integrados Bursátiles S.A. and changed its name to Bolsa de Valores de Colombia S.A. in June 2001. Bolsa de Valores de Colombia S.A. was founded in 2001 and is headquartered in Bogota, Colombia. Bolsa de Valores de Colombia S.A. is a subsidiary of Holding Bursátil Regional S.A.</t>
  </si>
  <si>
    <t>Bosques Amazónicos S.A. (BVL:BAMC1)</t>
  </si>
  <si>
    <t>Bosques Amazónicos S.A.</t>
  </si>
  <si>
    <t>BAMC1</t>
  </si>
  <si>
    <t>Forest Products</t>
  </si>
  <si>
    <t>Bosques Amazónicos S.A. a forestry company that engages in afforestation or reforestation activities in Peru. Its activities include the provision of financing for the conservation of Amazonian ecosystems and restoration of degraded lands through investment in commercial forestry plantations; maintenance of plantations in contiguous titled lands and residual forests; and sale of carbon credits. The company was founded in 2004 and is based in Pucallpa, Peru. Bosques Amazónicos S.A. operates as a subsidiary of Bosques Amazónicos SFM S.A.</t>
  </si>
  <si>
    <t>BTG Pactual Absoluto Brasil Equity Fondo de Inversión (SNSE:CFIBPBIA.E)</t>
  </si>
  <si>
    <t>BTG Pactual Absoluto Brasil Equity Fondo de Inversión</t>
  </si>
  <si>
    <t>CFIBPBIA.E</t>
  </si>
  <si>
    <t>BTG Pactual Absoluto Brasil Equity Fondo de Inversión was founded in 2016 and is headquartered in Chile.</t>
  </si>
  <si>
    <t>BTG Pactual Bonos Corporativos Chile IG Fondo de Inversión (SNSE:CFIBCCHIGA)</t>
  </si>
  <si>
    <t>BTG Pactual Bonos Corporativos Chile IG Fondo de Inversión</t>
  </si>
  <si>
    <t>CFIBCCHIGA</t>
  </si>
  <si>
    <t>BTG Pactual Chile S.A. Administradora De Fondos De Inversion - PIPE Fondos De Inversion Fund (SNSE:CFIPIPEA.E)</t>
  </si>
  <si>
    <t>BTG Pactual Chile S.A. Administradora De Fondos De Inversion - PIPE Fondos De In</t>
  </si>
  <si>
    <t>CFIPIPEA.E</t>
  </si>
  <si>
    <t>BTG Pactual Chile S.A. Administradora General De Fondo - Hamilton Lane Private Evergreen Fund (SNSE:CFI.BTGHPA)</t>
  </si>
  <si>
    <t>BTG Pactual Chile S.A. Administradora General De Fondo - Hamilton Lane Private E</t>
  </si>
  <si>
    <t>CFI.BTGHPA</t>
  </si>
  <si>
    <t>BTG Pactual Chile S.A. Administradora General De Fondos - BTF Finacimiento Garantias Inmov Fund (SNSE:CFIBTGFGIA)</t>
  </si>
  <si>
    <t>BTG Pactual Chile S.A. Administradora General De Fondos - BTF Finacimiento Garan</t>
  </si>
  <si>
    <t>CFIBTGFGIA</t>
  </si>
  <si>
    <t>BTG Pactual Chile S.A. Administradora General De Fondos - BTG Global REITS Fondo (SNSE:CFIBTGGRA)</t>
  </si>
  <si>
    <t>BTG Pactual Chile S.A. Administradora General De Fondos - BTG Global REITS Fondo</t>
  </si>
  <si>
    <t>CFIBTGGRA</t>
  </si>
  <si>
    <t>BTG Pactual Chile S.A. Administradora General De Fondos - BTG Pactual ADLS Fondo De Inversion Fund (SNSE:CFIADLSA.E)</t>
  </si>
  <si>
    <t>BTG Pactual Chile S.A. Administradora General De Fondos - BTG Pactual ADLS Fondo</t>
  </si>
  <si>
    <t>CFIADLSA.E</t>
  </si>
  <si>
    <t>BTG Pactual Chile S.A. Administradora General De Fondos - BTG Pactual Chile Accion Fund (SNSE:CFMCHAF)</t>
  </si>
  <si>
    <t>BTG Pactual Chile S.A. Administradora General De Fondos - BTG Pactual Chile Acci</t>
  </si>
  <si>
    <t>CFMCHAF</t>
  </si>
  <si>
    <t>BTG Pactual Chile S.A. Administradora General De Fondos - BTG Pactual Desarrollo Inmobiliario III Fu (SNSE:CFIBTGDI3A)</t>
  </si>
  <si>
    <t>BTG Pactual Chile S.A. Administradora General De Fondos - BTG Pactual Desarrollo</t>
  </si>
  <si>
    <t>CFIBTGDI3A</t>
  </si>
  <si>
    <t>BTG Pactual Chile S.A. Administradora General De Fondos - BTG Pactual Deuda Activa Plus Fund (SNSE:CFIBTGDAPA)</t>
  </si>
  <si>
    <t>BTG Pactual Chile S.A. Administradora General De Fondos - BTG Pactual Deuda Acti</t>
  </si>
  <si>
    <t>CFIBTGDAPA</t>
  </si>
  <si>
    <t>BTG Pactual Chile S.A. Administradora General De Fondos - BTG Pactual Deuda Latam Dolar Fund (SNSE:CFIDLDB.E)</t>
  </si>
  <si>
    <t>BTG Pactual Chile S.A. Administradora General De Fondos - BTG Pactual Deuda Lata</t>
  </si>
  <si>
    <t>CFIDLDB.E</t>
  </si>
  <si>
    <t>BTG Pactual Chile S.A. Administradora General De Fondos - BTG Pactual Estados Unidos Fundo De Invesi (SNSE:CFIBTGEU)</t>
  </si>
  <si>
    <t>BTG Pactual Chile S.A. Administradora General De Fondos - BTG Pactual Estados Un</t>
  </si>
  <si>
    <t>CFIBTGEU</t>
  </si>
  <si>
    <t>BTG Pactual Chile S.A. Administradora General De Fondos - BTG Pactual Estados Unidos Fundo De Invesi is headquartered in Santiago, Region Metropolitana (Santiago), Chile.</t>
  </si>
  <si>
    <t>BTG Pactual Chile S.A. Administradora General De Fondos - BTG Pactual MHE Habitacional Fondo De Inve (SNSE:CFIMHEA.E)</t>
  </si>
  <si>
    <t>BTG Pactual Chile S.A. Administradora General De Fondos - BTG Pactual MHE Habita</t>
  </si>
  <si>
    <t>CFIMHEA.E</t>
  </si>
  <si>
    <t>BTG Pactual Chile S.A. Administradora General De Fondos - BTG Pactual Renta Residencial Fund (SNSE:CFIBTGRRA)</t>
  </si>
  <si>
    <t>BTG Pactual Chile S.A. Administradora General De Fondos - BTG Pactual Renta Resi</t>
  </si>
  <si>
    <t>CFIBTGRRA</t>
  </si>
  <si>
    <t>BTG Pactual Chile S.A. Administradora General De Fondos - Deuda Privada Inmobiliaria Fund (SNSE:CFIBTGDPIA)</t>
  </si>
  <si>
    <t>BTG Pactual Chile S.A. Administradora General De Fondos - Deuda Privada Inmobili</t>
  </si>
  <si>
    <t>CFIBTGDPIA</t>
  </si>
  <si>
    <t>BTG Pactual Chile S.A. Administradora General De Fondos - Liquidez Alternativa Fund (SNSE:CFIBTGPLAA)</t>
  </si>
  <si>
    <t>BTG Pactual Chile S.A. Administradora General De Fondos - Liquidez Alternativa F</t>
  </si>
  <si>
    <t>CFIBTGPLAA</t>
  </si>
  <si>
    <t>BTG Pactual Chile SA - BTG Educa Fondo de Inversión (SNSE:CFIEDUCA.E)</t>
  </si>
  <si>
    <t>BTG Pactual Chile SA - BTG Educa Fondo de Inversión</t>
  </si>
  <si>
    <t>CFIEDUCA.E</t>
  </si>
  <si>
    <t>BTG Pactual Chile SA AD Gen DE FDO - BTG Pactual Brazil Real Rate FI Fund (SNSE:CFI.BRRAE)</t>
  </si>
  <si>
    <t>BTG Pactual Chile SA AD Gen DE FDO - BTG Pactual Brazil Real Rate FI Fund</t>
  </si>
  <si>
    <t>CFI.BRRAE</t>
  </si>
  <si>
    <t>BTG Pactual Chile SA AD Gen DE FDO - BTG Pactual Credito Automotriz FI Fund (SNSE:CFIBPCAA.E)</t>
  </si>
  <si>
    <t>BTG Pactual Chile SA AD Gen DE FDO - BTG Pactual Credito Automotriz FI Fund</t>
  </si>
  <si>
    <t>CFIBPCAA.E</t>
  </si>
  <si>
    <t>BTG Pactual Chile SA AD Gen De FDO - BTG Pactual Renta Fija CL Med P UNICA Fund (SNSE:CFIBTETFMP)</t>
  </si>
  <si>
    <t>BTG Pactual Chile SA AD Gen De FDO - BTG Pactual Renta Fija CL Med P UNICA Fund</t>
  </si>
  <si>
    <t>CFIBTETFMP</t>
  </si>
  <si>
    <t>BTG Pactual Chile SA AD Gen De FDO - BTG Pactual Total World FI ETF (SNSE:CFIBTETFTW)</t>
  </si>
  <si>
    <t>BTG Pactual Chile SA AD Gen De FDO - BTG Pactual Total World FI ETF</t>
  </si>
  <si>
    <t>CFIBTETFTW</t>
  </si>
  <si>
    <t>BTG Pactual Chile SA AD Gen DE FDO - BTG Pactual Venture Debt Fund (SNSE:CFIBPVDIIA)</t>
  </si>
  <si>
    <t>BTG Pactual Chile SA AD Gen DE FDO - BTG Pactual Venture Debt Fund</t>
  </si>
  <si>
    <t>CFIBPVDIIA</t>
  </si>
  <si>
    <t>BTG Pactual Chile SA Ad Gen De FDO - Fi Venture Debt I (SNSE:CFIBTGVDI)</t>
  </si>
  <si>
    <t>BTG Pactual Chile SA Ad Gen De FDO - Fi Venture Debt I</t>
  </si>
  <si>
    <t>CFIBTGVDI</t>
  </si>
  <si>
    <t>BTG Pactual Chile SA AD Gen DE FDO - Hamilton Lane Private Debt Ever Fi Fund (SNSE:CFI.HLPDXE)</t>
  </si>
  <si>
    <t>BTG Pactual Chile SA AD Gen DE FDO - Hamilton Lane Private Debt Ever Fi Fund</t>
  </si>
  <si>
    <t>CFI.HLPDXE</t>
  </si>
  <si>
    <t>BTG Pactual Chile SA AD Gen DE FDO-BTG Pact Absoluto Brasil Eqty FDO Inv-Fund (SNSE:CFIBPBII.E)</t>
  </si>
  <si>
    <t>BTG Pactual Chile SA AD Gen DE FDO-BTG Pact Absoluto Brasil Eqty FDO Inv-Fund</t>
  </si>
  <si>
    <t>CFIBPBII.E</t>
  </si>
  <si>
    <t>BTG Pactual Chile SA AD Gen DE FDO-BTG Pactual Electromovilidad FI-Fund (SNSE:CFM.BTGEMI)</t>
  </si>
  <si>
    <t>BTG Pactual Chile SA AD Gen DE FDO-BTG Pactual Electromovilidad FI-Fund</t>
  </si>
  <si>
    <t>CFM.BTGEMI</t>
  </si>
  <si>
    <t>Btg Pactual Chile Sa Administradora General De Fon - Cuota Fondos De Inversion (SNSE:CFIBTGRE)</t>
  </si>
  <si>
    <t>Btg Pactual Chile Sa Administradora General De Fon - Cuota Fondos De Inversion</t>
  </si>
  <si>
    <t>CFIBTGRE</t>
  </si>
  <si>
    <t>Btg Pactual Chile Sa Administradora General De Fon - Cuotas De Fondos Mutuos (SNSE:CFMBTGEMI)</t>
  </si>
  <si>
    <t>Btg Pactual Chile Sa Administradora General De Fon - Cuotas De Fondos Mutuos</t>
  </si>
  <si>
    <t>CFMBTGEMI</t>
  </si>
  <si>
    <t>BTG Pactual Chile SA Administradora General De Fondos -  Mexico Alpha fondo de invesion (SNSE:CFIBPMAA.E)</t>
  </si>
  <si>
    <t>BTG Pactual Chile SA Administradora General De Fondos -  Mexico Alpha fondo de i</t>
  </si>
  <si>
    <t>CFIBPMAA.E</t>
  </si>
  <si>
    <t>BTG Pactual Chile SA Administradora General De Fondos - BTG Pactual energy Transition Investment Fun (SNSE:CFIBTGTE.E)</t>
  </si>
  <si>
    <t>BTG Pactual Chile SA Administradora General De Fondos - BTG Pactual energy Trans</t>
  </si>
  <si>
    <t>CFIBTGTE.E</t>
  </si>
  <si>
    <t>BTG Pactual Chile SA Administradora General De Fondos - Deuda Estrategica FI (SNSE:CFIBTGDEA)</t>
  </si>
  <si>
    <t>BTG Pactual Chile SA Administradora General De Fondos - Deuda Estrategica FI</t>
  </si>
  <si>
    <t>CFIBTGDEA</t>
  </si>
  <si>
    <t>BTG Pactual Chile SA Administradora General De Fondos - Fondo Mutuo BTG Pactual Estructurado Nominal (SNSE:CFMEN2026O)</t>
  </si>
  <si>
    <t>BTG Pactual Chile SA Administradora General De Fondos - Fondo Mutuo BTG Pactual</t>
  </si>
  <si>
    <t>CFMEN2026O</t>
  </si>
  <si>
    <t>BTG Pactual Credito Y Facturas Fondo De Inversion (SNSE:CFIBTGCYFA)</t>
  </si>
  <si>
    <t>BTG Pactual Credito Y Facturas Fondo De Inversion</t>
  </si>
  <si>
    <t>CFIBTGCYFA</t>
  </si>
  <si>
    <t>BTG Pactual Desarrollo Inmobiliario I Fondo de Inversión (SNSE:CFIBTG1DI)</t>
  </si>
  <si>
    <t>BTG Pactual Desarrollo Inmobiliario I Fondo de Inversión</t>
  </si>
  <si>
    <t>CFIBTG1DI</t>
  </si>
  <si>
    <t>BTG Pactual Desarrollo Inmobiliario I Fondo de Inversión specializes in real estate investments.</t>
  </si>
  <si>
    <t>BTG Pactual Desarrollo Inmobiliario II Fondo de Inversión (SNSE:CFIBTG2DI)</t>
  </si>
  <si>
    <t>BTG Pactual Desarrollo Inmobiliario II Fondo de Inversión</t>
  </si>
  <si>
    <t>CFIBTG2DI</t>
  </si>
  <si>
    <t>BTG Pactual Deuda Corporativa Chile Fondo de Inversion (SNSE:CFIBPDCCHA)</t>
  </si>
  <si>
    <t>BTG Pactual Deuda Corporativa Chile Fondo de Inversion</t>
  </si>
  <si>
    <t>CFIBPDCCHA</t>
  </si>
  <si>
    <t>BTG Pactual Deuda Latinoamericana Fondo de Inversión (SNSE:CFIBTGDL.E)</t>
  </si>
  <si>
    <t>BTG Pactual Deuda Latinoamericana Fondo de Inversión</t>
  </si>
  <si>
    <t>CFIBTGDL.E</t>
  </si>
  <si>
    <t>BTG Pactual Deuda Latinoamericana Fondo de Inversión is headquartered in Santiago, Region Metropolitana (Santiago), Chile.</t>
  </si>
  <si>
    <t>BTG Pactual Deuda Privada Fondo de Inversión (SNSE:CFIBPDPA.E)</t>
  </si>
  <si>
    <t>BTG Pactual Deuda Privada Fondo de Inversión</t>
  </si>
  <si>
    <t>CFIBPDPA.E</t>
  </si>
  <si>
    <t>Brazil</t>
  </si>
  <si>
    <t>Btg Pactual Deuda Privada Inmobiliaria Fondo De Inversion (SNSE:CFIBPDPI2P)</t>
  </si>
  <si>
    <t>Btg Pactual Deuda Privada Inmobiliaria Fondo De Inversion</t>
  </si>
  <si>
    <t>CFIBPDPI2P</t>
  </si>
  <si>
    <t>BTG Pactual Financiamiento Inmobiliarias Preferente Fondo De Inversion (SNSE:CFIBTGFIPA)</t>
  </si>
  <si>
    <t>BTG Pactual Financiamiento Inmobiliarias Preferente Fondo De Inversion</t>
  </si>
  <si>
    <t>CFIBTGFIPA</t>
  </si>
  <si>
    <t>BTG Pactual Hamilton Lane GPA Fondo de Inversion (SNSE:CFI.BTGHLA)</t>
  </si>
  <si>
    <t>BTG Pactual Hamilton Lane GPA Fondo de Inversion</t>
  </si>
  <si>
    <t>CFI.BTGHLA</t>
  </si>
  <si>
    <t>BTG Pactual High Yield Latin America Fondo de Inversion (SNSE:CFIDLDA.E)</t>
  </si>
  <si>
    <t>BTG Pactual High Yield Latin America Fondo de Inversion</t>
  </si>
  <si>
    <t>CFIDLDA.E</t>
  </si>
  <si>
    <t>BTG Pactual Latam Investment Grade Fondo De Inversion (SNSE:CFIBTGLIG)</t>
  </si>
  <si>
    <t>BTG Pactual Latam Investment Grade Fondo De Inversion</t>
  </si>
  <si>
    <t>CFIBTGLIG</t>
  </si>
  <si>
    <t>BTG Pactual Private Equity - NB CRXX Fondo De Inversion (SNSE:CFIBTGNB.E)</t>
  </si>
  <si>
    <t>BTG Pactual Private Equity - NB CRXX Fondo De Inversion</t>
  </si>
  <si>
    <t>CFIBTGNB.E</t>
  </si>
  <si>
    <t>BTG Pactual Private Equity II Fondo de Inversión (SNSE:CFICPE2.E)</t>
  </si>
  <si>
    <t>BTG Pactual Private Equity II Fondo de Inversión</t>
  </si>
  <si>
    <t>CFICPE2.E</t>
  </si>
  <si>
    <t>BTG Pactual Private Equity II Fondo De Inversión specializes in direct investments and fund of fund investments. The fund seeks to invest in companies based in Latin-America, preferably in Chile. For direct investments, it seeks to co-invest alongside Southern Cross Latin America Private Equity Fund III, L.P. (SC III) in Chile. For fund of fund investments it primarily invests outside Chile through SCIII.</t>
  </si>
  <si>
    <t>BTG Pactual Private Equity III Fondo de Inversión (SNSE:CFICPE3)</t>
  </si>
  <si>
    <t>BTG Pactual Private Equity III Fondo de Inversión</t>
  </si>
  <si>
    <t>CFICPE3</t>
  </si>
  <si>
    <t>BTG Pactual Private Equity III Fondo De Inversión specializes in direct investments, emerging growth, growth capital and buyouts. The fund prefers to invest in companies based in Chile and makes its investments alongside Southern Cross Latin America Private Equity Fund III, L.P. (SC III).</t>
  </si>
  <si>
    <t>BTG Pactual Renta Comercial F. I (SNSE:CFIBTGRCA)</t>
  </si>
  <si>
    <t>BTG Pactual Renta Comercial F. I</t>
  </si>
  <si>
    <t>CFIBTGRCA</t>
  </si>
  <si>
    <t>Diversified REIT</t>
  </si>
  <si>
    <t>Equity REIT</t>
  </si>
  <si>
    <t>BTG Pactual Small Cap Chile (SNSE:CFISCCH)</t>
  </si>
  <si>
    <t>BTG Pactual Small Cap Chile</t>
  </si>
  <si>
    <t>CFISCCH</t>
  </si>
  <si>
    <t>BTG Pactual Small Cap Chile is headquartered in Santiago, Region Metropolitana (Santiago), Chile.</t>
  </si>
  <si>
    <t>BTG Pactual T. Rowe Price Flexible Emerging Market Debt Fondo De Inversión Fund (SNSE:CFITREDA)</t>
  </si>
  <si>
    <t>BTG Pactual T. Rowe Price Flexible Emerging Market Debt Fondo De Inversión Fund</t>
  </si>
  <si>
    <t>CFITREDA</t>
  </si>
  <si>
    <t>Caja Rural de Ahorro y Crédito Los Andes S.A. (BVL:CRANDEC1)</t>
  </si>
  <si>
    <t>Caja Rural de Ahorro y Crédito Los Andes S.A.</t>
  </si>
  <si>
    <t>CRANDEC1</t>
  </si>
  <si>
    <t>Caja Rural de Ahorro y Crédito Los Andes S.A. provides banking products and services in Peru. The company offers credit products; term deposits; and insurance products. Caja Rural de Ahorro y Crédito Los Andes S.A. was founded in 1994 and is based in Puno, Peru. Caja Rural de Ahorro y Crédito Los Andes S.A. operates as a subsidiary of Creation Investments Andes LLC.</t>
  </si>
  <si>
    <t>Camanchaca S.A. (SNSE:CAMANCHACA)</t>
  </si>
  <si>
    <t>Camanchaca S.A.</t>
  </si>
  <si>
    <t>CAMANCHACA</t>
  </si>
  <si>
    <t>Camanchaca S.A. engages in the industrial fishing business in Chile, the United States, Mexico, Japan, Europe, and China. The company produces fishmeal, frozen and canned jack mackerel, langostino lobster, and fish oil in northern and southern Chile; and engages in salmon farming activities. It is also involved in farming mussels, frozen horse mackerel, prawns, and shrimp, abalones, and shellfish, as well as logistics operations. In addition, the company exports fish and shellfish to approximately 50 countries. The company was formerly known as Compañía Pesquera Camanchaca S.A. Camanchaca S.A. was founded in 1965 and is based in Santiago, Chile.</t>
  </si>
  <si>
    <t>CAP S.A. (SNSE:CAP)</t>
  </si>
  <si>
    <t>CAP S.A.</t>
  </si>
  <si>
    <t>CAP</t>
  </si>
  <si>
    <t>CAP S.A. engages in iron mining, industrial, and infrastructure businesses in Chile, Peru, Argentina, and internationally. The company is involved in extraction of iron ore and its subsequent processing, internal, and external sales. It also develops and exploits mining deposits; provides geological and mining research, engineering, mechanical and industrial maintenance, and construction and earthmoving services; and produces iron ore and pellets. In addition, the company engages in coil cutting, flattening of cold-rolled, hot-rolled, and galvanized sheet metal; the manufacture and sale of welded steel pipes, tubes, and steel profiles for dry construction; and producing and distributing of desalinated water to supply water to mining companies. The company was formerly known as Compañía de Acero del Pacífico S.A. de Inversiones and changed its name to CAP S.A. in May 1991. CAP S.A. was incorporated in 1946 and is based in Las Condes, Chile.</t>
  </si>
  <si>
    <t>Capital Advisors Administradora de Fondos - Fundo Inversion Capital Advisors Infrastructure I Fund (SNSE:CFI.CAINAE)</t>
  </si>
  <si>
    <t>Capital Advisors Administradora de Fondos - Fundo Inversion Capital Advisors Inf</t>
  </si>
  <si>
    <t>CFI.CAINAE</t>
  </si>
  <si>
    <t>Capital Advisors Administradora de Fondos - Fundo Inversion Capital Advisors Renta Com UNICA Fund (SNSE:CFICAREC.E)</t>
  </si>
  <si>
    <t>Capital Advisors Administradora de Fondos - Fundo Inversion Capital Advisors Ren</t>
  </si>
  <si>
    <t>CFICAREC.E</t>
  </si>
  <si>
    <t>Capital Advisors Administradora General de Fondos S.A. - Fundo De Inversion Puertos UNICA Fund (SNSE:CFICAPUE.E)</t>
  </si>
  <si>
    <t>Capital Advisors Administradora General de Fondos S.A. - Fundo De Inversion Puer</t>
  </si>
  <si>
    <t>CFICAPUE.E</t>
  </si>
  <si>
    <t>Capital Advisors Administradora General de Fondos S.A. - Fundo De Investimento Capital Adv Deuda Con (SNSE:CFI.CADCAE)</t>
  </si>
  <si>
    <t>Capital Advisors Administradora General de Fondos S.A. - Fundo De Investimento C</t>
  </si>
  <si>
    <t>CFI.CADCAE</t>
  </si>
  <si>
    <t>Capital Advisors Agf - Fi Patio Desarrollo Centros II (SNSE:CFICAPCA.E)</t>
  </si>
  <si>
    <t>Capital Advisors Agf - Fi Patio Desarrollo Centros II</t>
  </si>
  <si>
    <t>CFICAPCA.E</t>
  </si>
  <si>
    <t>Caracol Televisión S.A. (BVC:CARACOLTV)</t>
  </si>
  <si>
    <t>Caracol Televisión S.A.</t>
  </si>
  <si>
    <t>CARACOLTV</t>
  </si>
  <si>
    <t>Broadcasting</t>
  </si>
  <si>
    <t>Caracol Televisión S.A. engages in the radio broadcasting and television businesses in Columbia and internationally. The company was founded in 1969 and is based in Boyacá, Colombia. Caracol Televisión S.A. is a subsidiary of Valorem S.A.</t>
  </si>
  <si>
    <t>Carozzi S.A. (SNSE:CAROZZI)</t>
  </si>
  <si>
    <t>Carozzi S.A.</t>
  </si>
  <si>
    <t>CAROZZI</t>
  </si>
  <si>
    <t>Carozzi S.A. engages in production, marketing, distribution, import, and export of food products in Chile. It offers Olive oil, rice, flours and premixes, jams, pasta, sauces and tomato pastes, compotes, preserves, fruit and vegetable pulps, cereals and oats, liquid beverages, powdered beverages, coffee, ethnic food, desserts, cookies, chocolates, candies, ice cream, cereal bars, sponge cakes, alfajores, panettone, popcorn, nuts, pet food, and home hygiene products for pets. The company markets its products under the Ambrosoli, Carozzi, Costa, Molitalia, Master Dog, Selecta, Master Cat, Mimaskot, Fanny, Vivo, Tres Ositos, Parma, Pancho Villa, Nik, Frugelé, Frac, Vizzio, Carezza, Rolls, Natur, Bonafide, Sensaciones, Nugatón, Donuts, Chocman, Calaf, Bresler and Todinno brand name. It exports its products in Peru, Argentina, and the United States. Carozzi S.A. was founded in 1898 and is based in San Bernardo, Chile.</t>
  </si>
  <si>
    <t>Cartavio S.A.A. (BVL:CARTAVC1)</t>
  </si>
  <si>
    <t>Cartavio S.A.A.</t>
  </si>
  <si>
    <t>CARTAVC1</t>
  </si>
  <si>
    <t>Cartavio S.A.A. engages in the cultivation, processing, and industrialization of sugarcane in Peru. It produces refined, white, and brown sugar; rectified and industrial ethyl alcohol; and other products, such as molasses and bagasse. The company was incorporated in 1970 and is based in Cartavio, Peru. Cartavio S.A.A. operates as a subsidiary of Corporación Azucarera del Perú S.A.</t>
  </si>
  <si>
    <t>Casa Grande S.A.A. (BVL:CASAGRC1)</t>
  </si>
  <si>
    <t>Casa Grande S.A.A.</t>
  </si>
  <si>
    <t>CASAGRC1</t>
  </si>
  <si>
    <t>Casa Grande S.A.A. engages in the cultivation, industrialization, and marketing of sugar cane in Peru. It operates through Sugar and Derivatives; and Grape and Blueberry segments. The company offers products derived from cane, such as brown sugar, refined white sugar, ethyl alcohol, molasses, and sugarcane bagasse. It is also involved in the cultivation, packaging, conservation, transformation, and industrialization of grapes, blueberries, and other agricultural products. The company was formerly known as Empresa Agroindustrial Casa Grande and changed its name to Casa Grande S.A.A. in April 2008. The company was founded in 1970 and is based in Chocope, Peru. Casa Grande S.A.A. is a subsidiary of Corporación Azucarera del Perú S.A.</t>
  </si>
  <si>
    <t>Castilla Agrícola S.A. (BVC:INCASTILLA)</t>
  </si>
  <si>
    <t>Castilla Agrícola S.A.</t>
  </si>
  <si>
    <t>INCASTILLA</t>
  </si>
  <si>
    <t>Castilla Agrícola S.A. harvests, produces, and sells sugarcane. The company engages in the dairy farm business; and provides liquid fertilizers. Castilla Agrícola S.A. was founded in 1945 and is based in Cali, Colombia.</t>
  </si>
  <si>
    <t>Cavali S.A. I.C.L.V. (BVL:CAVALIC1)</t>
  </si>
  <si>
    <t>Cavali S.A. I.C.L.V.</t>
  </si>
  <si>
    <t>CAVALIC1</t>
  </si>
  <si>
    <t>Cavali S.A. I.C.L.V. provides registration, transfer, and custody services for securities in Peru. It’s also involved in clearing and settlement of operations in centralized negotiation mechanisms. The company was incorporated in 1997 and is based in San Isidro, Peru. Cavali S.A. I.C.L.V. operates as a subsidiary of Grupo Bvl S.A.A.</t>
  </si>
  <si>
    <t>CELSIA S.A. E.S.P. (BVC:CELSIA)</t>
  </si>
  <si>
    <t>CELSIA S.A. E.S.P.</t>
  </si>
  <si>
    <t>CELSIA</t>
  </si>
  <si>
    <t>Electric Utilities</t>
  </si>
  <si>
    <t>CELSIA S.A. E.S.P. engages in the generation, transmission, distribution, and sale of electricity to residential, commercial, industrial, and public sectors in Colombia and Central America. It operates hydroelectric, solar, wind, and thermal power plants; and transmission and distribution substations. It also offers solar panels for homes; chargers for electric vehicles and solar farms; cooling districts and backup energy projects; and solutions to real estate developments, such as energy, internet, and charging stations, as well as sewage and sanitation management solutions. The company was formerly known as Compañia Colombiana de Inversiones S.A. E.S.P. CELSIA S.A. E.S.P. was founded in 1919 and is based in Medellín, Colombia. CELSIA S.A. E.S.P. operates as a subsidiary of Grupo Argos S.A.</t>
  </si>
  <si>
    <t>Cemento Polpaico S.A. (SNSE:POLPAICO)</t>
  </si>
  <si>
    <t>Cemento Polpaico S.A.</t>
  </si>
  <si>
    <t>POLPAICO</t>
  </si>
  <si>
    <t>Construction Materials</t>
  </si>
  <si>
    <t>Cemento Polpaico S.A. engages in the production and marketing of cement in Chile. The company offers special grade cement for general use and P400 cement products. It also produces concrete for dwelling, building construction height, infrastructure, pavement, industrial, and mining works; and gravel, crushed stone, fine aggregate, and sand for the production of ready-mix concrete. The company was incorporated in 1948 and is based in Santiago, Chile.</t>
  </si>
  <si>
    <t>Cementos Argos S.A. (BVC:CEMARGOS)</t>
  </si>
  <si>
    <t>Cementos Argos S.A.</t>
  </si>
  <si>
    <t>CEMARGOS</t>
  </si>
  <si>
    <t>Cementos Argos S.A. produces and markets cement, concrete, aggregates, ready-mix concrete, and related products in Colombia, the Caribbean, Central America, and the United States. The company also engages in the reinsurance and transport businesses. In addition, it exports its products. The company was founded in 1934 and is headquartered in Barranquilla, Colombia. Cementos Argos S.A. is a subsidiary of Grupo Argos S.A.</t>
  </si>
  <si>
    <t>Cementos Pacasmayo S.A.A. (BVL:CPACASC1)</t>
  </si>
  <si>
    <t>Cementos Pacasmayo S.A.A.</t>
  </si>
  <si>
    <t>CPACASC1</t>
  </si>
  <si>
    <t>Cementos Pacasmayo S.A.A. produces, distributes, and sells cement and cement-related materials in Peru. It operates in three segments: Cement, Concrete, Mortar, Pavement and Precast; Quicklime; and Sales of Construction Supplies. The company offers cement and concrete products for use in residential and commercial construction, and civil engineering; ready-mix concrete for use in construction sites; concrete precast, such as paving units or paver stones for pedestrian walkways, as well as other bricks for partition walls and concrete precast for structural and non-structural uses; and cement-based products. It also produces and distributes quicklime for use in steel, food, fishing, and chemical industries. In addition, the company sells and distributes other construction materials manufactured by third parties, such as steel rebar, wires, nails, corrugated iron, electric conductors, and plastic tubes and accessories. It offers its products directly to other retailers, private construction companies, and through a network of independent retailers and hardware stores. Cementos Pacasmayo S.A.A. was incorporated in 1949 and is headquartered in Lima, Peru. Cementos Pacasmayo S.A.A. is a subsidiary of Inversiones ASPI S.A.</t>
  </si>
  <si>
    <t>Cencosud S.A. (SNSE:CENCOSUD)</t>
  </si>
  <si>
    <t>Cencosud S.A.</t>
  </si>
  <si>
    <t>CENCOSUD</t>
  </si>
  <si>
    <t>Cencosud S.A., together with its subsidiaries, operates as a retailer in Chile, Argentina, Brazil, Peru, Colombia, Uruguay, the United States, and China. It engages in the operation of supermarkets, hypermarkets, home improvement stores, retail stores, department stores, and shopping centers, as well as provision of financial services. The company was founded in 1963 and is based in Las Condes, Chile. Cencosud S.A. operates as a subsidiary of PK One Limited.</t>
  </si>
  <si>
    <t>Cencosud Shopping S.A. (SNSE:CENCOMALLS)</t>
  </si>
  <si>
    <t>Cencosud Shopping S.A.</t>
  </si>
  <si>
    <t>CENCOMALLS</t>
  </si>
  <si>
    <t>Cencosud Shopping S.A. operates shopping centers in Chile, Peru, and Colombia. The company operates spaces for hotels, parking, and corporates, as well as retail use. The company was formerly known as Costanera Center SA and changed its name to Cencosud Shopping S.A. in October 2018. The company was incorporated in 2005 and is based in Santiago, Chile. Cencosud Shopping S.A. operates as a subsidiary of Cencosud S.A.</t>
  </si>
  <si>
    <t>Central Azucarera Chucarapi Pampa Blanca S.A. (BVL:CHUCARC1)</t>
  </si>
  <si>
    <t>Central Azucarera Chucarapi Pampa Blanca S.A.</t>
  </si>
  <si>
    <t>CHUCARC1</t>
  </si>
  <si>
    <t>Central Azucarera Chucarapi Pampa Blanca S.A. engages in the cultivation, production, and marketing of sugarcane and its by-products in Peru. It also provides alcohol, rum, and molasses. The company was incorporated in 1993 and is based in Arequipa, Peru.</t>
  </si>
  <si>
    <t>Cerveceria San Juan S.A. (BVL:SNJUANC1)</t>
  </si>
  <si>
    <t>Cerveceria San Juan S.A.</t>
  </si>
  <si>
    <t>SNJUANC1</t>
  </si>
  <si>
    <t>Brewer: Beer and Malt Liquor</t>
  </si>
  <si>
    <t>Beverage Producers</t>
  </si>
  <si>
    <t>Cerveceria San Juan S.A. engages in the production, packaging, distribution, and sale of beer in Peru. It offers malted beverages, soft drinks, liquors, and waters, as well as nutritional drinks. The company was founded in 1971 and is headquartered in Pucallpa, Peru. Cerveceria San Juan S.A. is a subsidiary of Anheuser-Bush InBev NV/SA.</t>
  </si>
  <si>
    <t>CGE Transmisión S.A. (SNSE:CGET)</t>
  </si>
  <si>
    <t>CGE Transmisión S.A.</t>
  </si>
  <si>
    <t>CGET</t>
  </si>
  <si>
    <t>CGE Transmisión S.A. engages in the electric power transmission business in Chile. The company operates 3,639 kilometers of zonal transmission lines and transformer substations totaling 8,932 MVA of installed capacity. It also designs, builds, and operates dedicated transmission solutions to meet the needs of its customers. In addition, the company manufactures and sells transformers, electrical equipment, maintenance services, diagnostics, and transformer testing. Additionally, it offers verification, calibration, and sealing services. CGE Transmisión S.A. is based in Santiago, Chile.</t>
  </si>
  <si>
    <t>CHG Administradora General de Fondos - CHG Global Debt Fund (SNSE:CFIQGD.B)</t>
  </si>
  <si>
    <t>CHG Administradora General de Fondos - CHG Global Debt Fund</t>
  </si>
  <si>
    <t>CFIQGD.B</t>
  </si>
  <si>
    <t>CHG Administradora General de Fondos - CHG Global Equity Fund (SNSE:CFIQGE.A)</t>
  </si>
  <si>
    <t>CHG Administradora General de Fondos - CHG Global Equity Fund</t>
  </si>
  <si>
    <t>CFIQGE.A</t>
  </si>
  <si>
    <t>Chg Renta Global Fondo De Inversion (SNSE:CFIQRGA.E)</t>
  </si>
  <si>
    <t>Chg Renta Global Fondo De Inversion</t>
  </si>
  <si>
    <t>CFIQRGA.E</t>
  </si>
  <si>
    <t>CHG Renta Local Fondo de Inversión (SNSE:CFIQRL.A)</t>
  </si>
  <si>
    <t>CHG Renta Local Fondo de Inversión</t>
  </si>
  <si>
    <t>CFIQRL.A</t>
  </si>
  <si>
    <t>Chile Fondo de Inversion Small Cap (SNSE:CFIMCITI)</t>
  </si>
  <si>
    <t>Chile Fondo de Inversion Small Cap</t>
  </si>
  <si>
    <t>CFIMCITI</t>
  </si>
  <si>
    <t>Chile Fondo de Inversion Small Cap is headquartered in Santiago, Region Metropolitana (Santiago), Chile.</t>
  </si>
  <si>
    <t>Cintac S.A. (SNSE:CINTAC)</t>
  </si>
  <si>
    <t>Cintac S.A.</t>
  </si>
  <si>
    <t>CINTAC</t>
  </si>
  <si>
    <t>Cintac S.A. manufactures and markets construction systems in Chile, Peru, and the Latin America. It offers tubes, profiles, sheets, such as tubulars, pipes, open and rolled profiles, galvanized profiles, and steel sheets; tubest; and roadside guardrails and corrugated products, as well as agricultural products, such as central vina and open cables. The company also provides roofings and claddings, insulated panels, panels without insulation, collaborative panels, and architectural panels/instapanel collection products; Metalcon construction system comprising galvanized steel profiles for various structural applications, partition walls, and ceiling construction. Cintac S.A. was founded in 1956 and is headquartered in Maipú, Chile. Cintac S.A. operates as a subsidiary of CAP S.A.</t>
  </si>
  <si>
    <t>Clínica de Marly S.A. (BVC:MARLY)</t>
  </si>
  <si>
    <t>Clínica de Marly S.A.</t>
  </si>
  <si>
    <t>MARLY</t>
  </si>
  <si>
    <t>Health Care Facilities</t>
  </si>
  <si>
    <t>Health Care Providers and Services</t>
  </si>
  <si>
    <t>Clínica de Marly S.A. provides health services in Colombia. The company offers services in the areas of anesthesia, bronchoscopy, cardiology, bariatric surgery, column surgery, hand surgery, general surgery, maxillofacial surgery, plastic and reconstructive surgery, other surgery, pain clinic, coloproctology, palliative care, dermatology, endocrinology, physiatry, gastroenterology, gynecology, hematology, diagnostic imaging, infectology, and neurodiagnostic and pathology laboratory. It also provides vascular laboratory non-invasive method, internal medicine, nephrology, neonatology and pediatrics, pneumology, functional and restorative neurosurgery, neurology, ophthalmology, clinical oncology, orthopedics and traumatology, otorhinolaryngology, psychiatry, rheumatology, bone marrow transplant, intermediate and intensive care unit, outpatient chemotherapy, clinical laboratory, maternal fetal medicine unit, emergency, and urology, as well as digestive physiology laboratory services. In addition, the company offers supporting services, including blood bank, wound and ostomy, scan or CT, hemodialysis or renal therapies, digital mammography, physical medicine and rehabilitation; minor surgical procedure services, such as simple sutures, resection of skin lesions and blocks, and other services; diagnostic aid and medical directory services; and vaccinations for polio hepatitis A, hepatitis B human papilloma virus, herpes zoster influenza, pneumonia diphtheria, tetanus and pertussis, tetanus measles, mumps and rubella, meningitis, and yellow fever chickenpox, as well as paramedic consultation services for nutrition, psychology, optometry, neuropsychology, occupational therapy, speech therapy and phonoaudiology, respiratory therapy, and pelvic floor therapy. Clínica de Marly S.A. was founded in 1903 and is based in Bogotá, Colombia.</t>
  </si>
  <si>
    <t>Clínica Las Condes S.A. (SNSE:LAS CONDES)</t>
  </si>
  <si>
    <t>Clínica Las Condes S.A.</t>
  </si>
  <si>
    <t>LAS CONDES</t>
  </si>
  <si>
    <t>Clínica Las Condes S.A. operates hospital centers in Chile. It provides ambulatory, hospital, management of HHMM, parking space, insurance, leasing retail spaces, and other services. The company was founded in 1982 and is based in Las Condes, Chile. Clínica Las Condes S.A. operates as a subsidiary of Lucec Tres S.A.</t>
  </si>
  <si>
    <t>Club de Polo y Equitación San Cristóbal S.A. (SNSE:POLO)</t>
  </si>
  <si>
    <t>Club de Polo y Equitación San Cristóbal S.A.</t>
  </si>
  <si>
    <t>POLO</t>
  </si>
  <si>
    <t>Leisure Facilities</t>
  </si>
  <si>
    <t>Club de Polo y Equitación San Cristóbal S.A. operates a sports club in Chile. The company’s facilities include polo, horse riding, golf, squash, tennis courts, and other, as well as restaurants. Club de Polo y Equitación San Cristóbal S.A. was incorporated in 1943 and is based in Vitacura, Chile.</t>
  </si>
  <si>
    <t>Club Hipico de Santiago S.A. (SNSE:HIPICO)</t>
  </si>
  <si>
    <t>Club Hipico de Santiago S.A.</t>
  </si>
  <si>
    <t>HIPICO</t>
  </si>
  <si>
    <t>Club Hipico de Santiago S.A. operates a horse racing club in Chile. It also provides veterinary clinic services; rents rooms for weddings and events; and provides registration of fine blood, transfers, name changes, colors and pseudonyms, other services. Club Hipico de Santiago S.A. was incorporated in 1869 and is headquartered in Santiago, Chile.</t>
  </si>
  <si>
    <t>CMB-PRIME Administradora General de Fondos S.A -  FI CMB-LV Digital Infra I 'UNICA' Fund (SNSE:CFICLID4.E)</t>
  </si>
  <si>
    <t>CMB-PRIME Administradora General de Fondos S.A -  FI CMB-LV Digital Infra I 'UNI</t>
  </si>
  <si>
    <t>CFICLID4.E</t>
  </si>
  <si>
    <t>Coca-Cola Embonor S.A. (SNSE:EMBONOR.A)</t>
  </si>
  <si>
    <t>Coca-Cola Embonor S.A.</t>
  </si>
  <si>
    <t>EMBONOR.A</t>
  </si>
  <si>
    <t>Soft Drinks and Non-alcoholic Beverages</t>
  </si>
  <si>
    <t>Coca-Cola Embonor S.A. engages in the production and distribution of non-alcoholic beverages primarily in Chile and Bolivia. The company offers cola and fantasy drinks, plain and flavored waters, isotonic and energetic drinks, juices, carbonated beverages, and guallarauco products. It also distributes alcoholic beverages, such as pisco, rum, vodka, gin, tequila, bourbon, beer, baileys, whiskey, and wine. Coca-Cola Embonor S.A. was founded in 1962 and is based in Las Condes, Chile.</t>
  </si>
  <si>
    <t>Colbún S.A. (SNSE:COLBUN)</t>
  </si>
  <si>
    <t>Colbún S.A.</t>
  </si>
  <si>
    <t>COLBUN</t>
  </si>
  <si>
    <t>Independent Power Producers and Energy Traders</t>
  </si>
  <si>
    <t>Colbún S.A., together with its subsidiaries, operates as an electric energy generating company. The company engages in the production, transportation, transformation, distribution, and supply of energy, electricity, and natural gas. It offers renewable energy plants, photovoltaic, reservoir, and run-of-the-river hydroelectric power plants; solar photovoltaic projects; and thermal power plants, as well as energy management system, and electricity supply contract. The company also provides renewable certification, energy supply contract, energy management system, electric power upgrades, photovoltaic self-consumption, energy billing management, sustainable building certifications, electro-charger, online monitoring and control of energy consumption, energy audits, energy storage, heat pumps and air conditioning system, and automobile billing solutions. It serves various sectors, that includes mining; pulp, paper, wood, and cement; industry and manufacturing; agroindustry and food industry; fishery and aquaculture; sanitary; ports and harbours; commerce and retail; telecommunications; education; health; hospitality; warehousing and offices; and real estate and commercial building. The company was incorporated in 1986 and is headquartered in Santiago, Chile.</t>
  </si>
  <si>
    <t>Colca Capital FTE S.A. (BVL:COLCAC1)</t>
  </si>
  <si>
    <t>Colca Capital FTE S.A.</t>
  </si>
  <si>
    <t>COLCAC1</t>
  </si>
  <si>
    <t>Colca Capital FTE S.A. is a private equity firm specializing in the lower-middle market and mid-sized businesses in the Andean region. the firm invests primarily in B2B service industries with recurring revenue and blue-chip customers. It focuses on companies with $3 million - $10 million in EBITDA. Colca Capital FTE S.A. was founded in 2019 and is based in Lima, Peru.</t>
  </si>
  <si>
    <t>Colombia Telecomunicaciones S. A. E.S.P. BIC (BVC:COLTEL)</t>
  </si>
  <si>
    <t>Colombia Telecomunicaciones S. A. E.S.P. BIC</t>
  </si>
  <si>
    <t>COLTEL</t>
  </si>
  <si>
    <t>Alternative Carriers</t>
  </si>
  <si>
    <t>Colombia Telecomunicaciones S. A. E.S.P. BIC, together with its subsidiary, provides telecommunication services in Colombia, Europe, and Latin America. The company offers mobile telephony and connectivity; broadband services; and fiber optics services to the home, pay television, fixed telephony, and a range of digital solutions for small, medium, and large companies and corporations. It also provides fixed and mobile connectivity services, as well as a range of digital services for individuals and companies. The company was incorporated in 2003 and is based in Bogotá, Colombia. Colombia Telecomunicaciones S. A. E.S.P. BIC operates as a subsidiary of Telefónica Hispanoamérica, S.A.U. As of February 6, 2026, Colombia Telecomunicaciones S. A. E.S.P. BIC operates as a subsidiary of Millicom International Cellular S.A..</t>
  </si>
  <si>
    <t>Colombina S.A. (BVC:COLOMBINA)</t>
  </si>
  <si>
    <t>Colombina S.A.</t>
  </si>
  <si>
    <t>COLOMBINA</t>
  </si>
  <si>
    <t>Colombina S.A. produces and sells food products in Colombia and internationally. The company operates through Candy Store; Chocolate Shop; Cookie Shop; Preserves; Ice Cream; and Represented segments. It offers sweets, chewing gum, marshmallows, chocolates, snacks, sweet and salty cookies, cakes, sauces and preserves, icecream, creams for cones, palettes, cakes and cookies of frozen, tuna and sardines, coffee, drinks, oil of olive, alcohol, and others imported products. The company was founded in 1918 and is based in Cali, Colombia.</t>
  </si>
  <si>
    <t>Compañía Agricola San Felipe S.A. (BVC:SANFELIPE)</t>
  </si>
  <si>
    <t>Compañía Agricola San Felipe S.A.</t>
  </si>
  <si>
    <t>SANFELIPE</t>
  </si>
  <si>
    <t>Compañía Agricola San Felipe S.A. engages in the cultivation and sales of sugarcane in Palmira. The company was founded in 1976 and is based in Palmira, Colombia.</t>
  </si>
  <si>
    <t>Compañía Agropecuaria Copeval S.A. (SNSE:COPEVAL)</t>
  </si>
  <si>
    <t>Compañía Agropecuaria Copeval S.A.</t>
  </si>
  <si>
    <t>COPEVAL</t>
  </si>
  <si>
    <t>Trading Companies and Distributors</t>
  </si>
  <si>
    <t>Compañía Agropecuaria Copeval S.A. distributes and markets agricultural machinery and products in Chile. It offers food products, such as alfalfa, cereals, corn, soya flour, and mineral salts and additives, as well as pet and horse food, and substitutes; veterinary products; environmental health products; and hardware products, such as of wires and accessories, bags, ties and cord, cleaning and disinfectant, harvest and pruning implements, crop and fruit trees protection, and safety and hygiene products, as well as electric fences, soaps, disinfectants, and papers. The company also provides spare parts, consisting of lubricants, tires, batteries, fuel ponds, original and alternative spare parts implement, motorized spare part, and tractor accessories; irrigation products, such as pumps, fittings, pipelines, valves, issuers, system controllers, sprinkler irrigation equipment, filters, and accessories; phosphates, mixtures, potassium muriate, soluble, urea, nitrates, and specialties fertilizers; and phytosanitary products. In addition, it offers oats, onions, grass and legume forages, Solanaceae, Cucurbitaceae, rootstock, legume, and brassic vegetables seeds, as well as meadow, inoculants and peat, forage mixtures, wheat, bulbs and roots, and corn seeds; fruit and crop implements and tractors; home and garden tools, such as garden irrigation, pets, toys and merchandise, and construction tools; and fuel products. The company was formerly known as Cooperativa Agrícola Lechera Valle Central Limitada. and changed its name to Compañía Agropecuaria Copeval S.A. in 2003. Compañía Agropecuaria Copeval S.A. was founded in 1956 and is headquartered in San Fernando, Chile.</t>
  </si>
  <si>
    <t>Compañía Cervecerías Unidas S.A. (SNSE:CCU)</t>
  </si>
  <si>
    <t>Compañía Cervecerías Unidas S.A.</t>
  </si>
  <si>
    <t>CCU</t>
  </si>
  <si>
    <t>Compañía Cervecerías Unidas S.A., together with its subsidiaries, operates as a diversified beverage company in Chile, Argentina, Bolivia, Colombia, Paraguay, and Uruguay. It operates through three segments: Chile, International Business, and Wine. The company offers wines, soft, isotonic, and sports drinks, nectars, iced tea, pisco, rum, cider, liquors, beers, spirits, cocktails, coolers, and cockail wines; and spring, bottled, mineral, and saborized water. It provides its products under the Cristal, Escudo, Royal Guard, Morenita, Dorada, Andes, Bavaria, Stones, Heineken, Sol, Coors, Austral, Polar Imperial, Patagonia, Kunstmann, Guayacán, D´olbek, Mahina, Volcanes del Sur, Bilz, Pap, Kem, Kem Xtreme, Nobis, Pop, Cachantun, Mas, Mas Woman, Porvenir, Manantial, Red Bull, Rockstar, Perrier, Mistral, Tres Erres, Campanario, Horcón Quemado, Control Valle del Encanto, Espíritu de los Andes, La Serena, Iceberg, Hard Fresh, Ruta, Cocktail, Sabor Andino Sour, Horcón Quemado Sour, Sierra Morena, Cabo Viejo, Kantal, Fehrenberg, Barsol, Puklaro, Pernod Ricard, Fratelli Branca, Sidra 1888, La Pizka, Palermo, Santa Fé, Salta, Córdoba, Isenbeck, Norte, Iguana, Miller Genuine Draft, Amstel, Warsteiner, Grolsch, Blue Moon, Sidra Real, La Victoria, Pehuenia, El Abuelo, Eugenio Bustos, La Celia, Colón, Graffina, Santa Silvia, Villavicencio, Villa del Sur, Levité, Ser, Brío, Altaïr, Cabo de Hornos, Sideral, 1865, Castillo de Molina, Epica, Gato, GatoNegro, Reserva, Gran Reserva, Single Vineyard, Lot series, Misiones de Rengo Varietal, Reserva, Cuvée, Gran Reserva Black, Mision, Sparkling line, Alpaca, Reservado, Siglo de Oro Reserva de Viña Santa Helena, Viñamar, Donnaluna, Manquehuito, Graffigna, Colón, Colón Selecto, Nativa, Nix, Watt's, FullSport, 1888, Imperial, Escudo Silver, Kuntsmann, Miller, and Schneider brands. The company was founded in 1850 and is based in Santiago, Chile. Compañía Cervecerías Unidas S.A. operates as a subsidiary of Inversiones y Rentas S.A.</t>
  </si>
  <si>
    <t>Compañía Chilena de Fósforos S.A. (SNSE:FOSFOROS)</t>
  </si>
  <si>
    <t>Compañía Chilena de Fósforos S.A.</t>
  </si>
  <si>
    <t>FOSFOROS</t>
  </si>
  <si>
    <t>Household Products Producers</t>
  </si>
  <si>
    <t>Compañía Chilena de Fósforos S.A., together with its subsidiaries, engages in the production and marketing of matches in Chile. The company provides safety matches, splints, popsicle sticks, traps, paint palettes, ice cream sticks and ties, doors, and general wooden cutlery, doors and parts and pieces of wood in general, paint palettes, wooden rules, as well as wooden cutlery products, such as spoons, forks, and knife. The company also markets fruits such as blueberries, apples, wine grapes, and cherries. In addition, it engages in the manufacture of matches, elaboration of micro wood products; and the development and exploitation of forestry, agricultural, and fruit plantations. The company also exports its products to the United States, Peru, Brazil, and Japan. The company was incorporated in 1913 and is based in Santiago, Chile. Compañía Chilena de Fósforos S.A. is a subsidiary of Inversiones San Martín S.A.</t>
  </si>
  <si>
    <t>Compania de Electricidad de Tulua S.A. E.S.P. (BVC:ELECTULUA)</t>
  </si>
  <si>
    <t>Compania de Electricidad de Tulua S.A. E.S.P.</t>
  </si>
  <si>
    <t>ELECTULUA</t>
  </si>
  <si>
    <t>Compania de Electricidad de Tulua S.A. E.S.P. engages in the generation, transmission, distribution, and sale of electric power in Colombia, Panama, Costa Rica, and Honduras. The company owns and operates hydroelectric, thermal, solar, and wind power plants with an installed capacity of approximately 2,199 megawatts. It serves residential customers. The company was incorporated in 1920 and is headquartered in Tuluá, Colombia. Compania de Electricidad de Tulua S.A. E.S.P. operates as a subsidiary of Celsia Colombia S.A. E.S.P.</t>
  </si>
  <si>
    <t>Compañía de Empaques S.A. (BVC:EMPAQUES)</t>
  </si>
  <si>
    <t>Compañía de Empaques S.A.</t>
  </si>
  <si>
    <t>EMPAQUES</t>
  </si>
  <si>
    <t>Packaging and Materials: Paper and Plastic</t>
  </si>
  <si>
    <t>Compañía de Empaques S.A., together with its subsidiaries, manufactures and sells natural fibers and plastic products in Colombia, Ecuador, and Mexico. The company offers packaging and packing products comprising polypropylene and fique sacks, flexible stowage, cartonplast, mesh packaging, agricultural and advertising bags, and bigbags; duramalla products consisting of chicken coop, protection, signage, plant support, rockshield, geomesh, veneer, bird exclusion, anti-insects, strainer, enclosure, square, and diamond; duratela products, such as enclosure, harvester, anti-weeds, matero pp, anti-hail, windbreaker, geotextiles, shade, and fique fabrics; and duracordel products, including monofilament and fique ropes, braids, PP yarn balls and ropes, fique and PP yarn, and fique yarn balls. It also provides Durazuncho, a polyproylene clamp, tape for securing packages and classifying goods; cartonplast products comprising boxes, singleface cartonplast, flexible stowage, and sheets; concrefuerte products; and short- and long-term erosion control blankets. In addition, the company engages in production, export, and import of synthetic, metallic, and non-metallic fibers and materials; packaging solutions for paints, resins, and raw materials; and financial and administrative advisory services. Further, it is involved in the acquisition, distribution, and disposal of raw materials and equipment, products, surpluses, and by-products of the textile and plastic industries. The company serves the packaging, agricultural, construction and infrastructure, and biosolution industries. Compañía de Empaques S.A. was incorporated in 1938 and is based in Itagui, Colombia.</t>
  </si>
  <si>
    <t>Compañía de Inversiones La Española S.A. (SNSE:ESPANOLA)</t>
  </si>
  <si>
    <t>Compañía de Inversiones La Española S.A.</t>
  </si>
  <si>
    <t>ESPANOLA</t>
  </si>
  <si>
    <t>Compañía de Inversiones La Española S.A. invests in financial assets and real estate. The company operates in two segments, Investments in Shares and Other Investments. Compañía de Inversiones La Española S.A. was founded in 1977 and is based in Valparaíso, Chile.</t>
  </si>
  <si>
    <t>Compañía Eléctrica del Litoral S.A. (SNSE:LITORAL)</t>
  </si>
  <si>
    <t>Compañía Eléctrica del Litoral S.A.</t>
  </si>
  <si>
    <t>LITORAL</t>
  </si>
  <si>
    <t>Compañía Eléctrica del Litoral S.A. engages in the distribution and sale of electricity in Chile. It is also involved in the provision of other services associated with the supply. The company was founded in 1949 and is headquartered in Algarrobo, Chile. Compañía Eléctrica del Litoral S.A. operates as a subsidiary of Chilquinta Energia S.A.</t>
  </si>
  <si>
    <t>Compañía Electro Metalúrgica S.A. (SNSE:ELECMETAL)</t>
  </si>
  <si>
    <t>Compañía Electro Metalúrgica S.A.</t>
  </si>
  <si>
    <t>ELECMETAL</t>
  </si>
  <si>
    <t>Compañía Electro Metalúrgica S.A. provides solutions for the mining industry in Chile, Argentina, China, the United States, Peru, and South Africa. The company offers crusher safety tooling, mainframe liners, primary mantles, concaves, bottom shell liners, rim liners, cheek plates, chock blocks, jaws, spider caps and arm guards, bowl liners, and mantles; and simulations, wear tracking, application support, and ME crushing training services. It also provides ME PolyFIT, tower mill liners, SAG/AG discharge end liners, SAG/AG shell liners, SAG/AG feed end liners, SAG/AG discharge system, ball mill FE/DE head liners, and ball mill shell liner; scrap buy-back program services; ME Grinding Rods, ME Ultra Grind II, ME Performa, ME Ultra Grind, and ME Super SAG; ME Grinding Apps, and ME tracking and training services; and field support and assistance, development projects, and process and asset monitoring services. In addition, the company offers ME FIT grinding and ME FIT crushing programs; and ME Digital Lab solutions comprising ME Uptime 4.0, operational digital twin, and grinding ball balancer. Further, it is involved in metallurgical, glass containers, wine, electricity generation, media, investments, and other businesses. Compañía Electro Metalúrgica S.A. was founded in 1917 and is based in Santiago, Chile.</t>
  </si>
  <si>
    <t>Compañía General de Electricidad S.A. (SNSE:CGE)</t>
  </si>
  <si>
    <t>Compañía General de Electricidad S.A.</t>
  </si>
  <si>
    <t>CGE</t>
  </si>
  <si>
    <t>Compañía General de Electricidad S.A., through its subsidiary, engages in the distribution and transmission of electricity business in Chile. It sells the 11,058 GWh capacity of power. The company was founded in 1905 and is based in Santiago, Chile. Compañía General de Electricidad S.A. is a subsidiary of State Grid Chile Electricity Spa.</t>
  </si>
  <si>
    <t>Compañía Industrial El Volcán S.A. (SNSE:VOLCAN)</t>
  </si>
  <si>
    <t>Compañía Industrial El Volcán S.A.</t>
  </si>
  <si>
    <t>VOLCAN</t>
  </si>
  <si>
    <t>Compañía Industrial El Volcán S.A. produces and sells construction materials in Chile and internationally. The company offers thermal insulation and acoustic absorptions; asphalt shingles, accessories and fixing, and moisture barriers; vapor barrier, manhole covers, valcanoboarding, and volcanoes; volcoglasses; invisible seam, corner pieces, septum repair, partition, plasters, putties, volcastic, and façade installation tools; and passive fire protection products, as well as pastes, compounds, and joint treatment tapes. It offers its products to residential, health, hospitality, hotel, education, industrial, commercial, and workspace sectors. Compañía Industrial El Volcán S.A. was founded in 1916 and is based in Santiago, Chile.</t>
  </si>
  <si>
    <t>Compañía Minera Poderosa S.A. (BVL:PODERC1)</t>
  </si>
  <si>
    <t>Compañía Minera Poderosa S.A.</t>
  </si>
  <si>
    <t>PODERC1</t>
  </si>
  <si>
    <t>Gold</t>
  </si>
  <si>
    <t>Compañía Minera Poderosa S.A. engages in the exploitation, extraction, storage, and precipitation of gold in Peru. The company extracts and processes gold deposits in the province of Pataz, through metallurgical plants. It is also involved in mining, cyanidation, and activities to obtain bullion gold; energy supply; and real estate leasing activities. Compañía Minera Poderosa S.A. was incorporated in 1980 and is based in Lima, Peru.</t>
  </si>
  <si>
    <t>Compañía Minera San Ignacio de Morococha S.A.A. (BVL:MOROCOI1)</t>
  </si>
  <si>
    <t>Compañía Minera San Ignacio de Morococha S.A.A.</t>
  </si>
  <si>
    <t>MOROCOI1</t>
  </si>
  <si>
    <t>Diversified Metals and Mining</t>
  </si>
  <si>
    <t>Compañía Minera San Ignacio de Morococha S.A.A. engages in the prospecting, exploration, exploitation, concentration, and marketing of mineral properties in Peru. The company explores for zinc, lead, and dolomite deposits. It holds an interest in the San Vicente Mining Unit located in the province of Chanchamayo, department of Junín; and the Monobamba Hydroelectric Plant located in the district of Monobamba, province of Jauja. Compañía Minera San Ignacio de Morococha S.A.A. was incorporated in 1942 and is based in Lima, Peru.</t>
  </si>
  <si>
    <t>Compañía Minera Santa Luisa S.A. (BVL:LUISAI1)</t>
  </si>
  <si>
    <t>Compañía Minera Santa Luisa S.A.</t>
  </si>
  <si>
    <t>LUISAI1</t>
  </si>
  <si>
    <t>Compañía Minera Santa Luisa S.A. engages in the development, exploration, exploitation, production, and metallurgical treatment, and marketing of mining in Peru. The company produces and sells zinc, lead, and copper concentrates. It also owns mining rights in the Huanzalá and Pallca mines located in the Ancash Region, Peru. Compañía Minera Santa Luisa S.A. was incorporated in 1964 and is headquartered in Lima, Peru. Compañía Minera Santa Luisa S.A. operates as a subsidiary of Mitsui Mining &amp; Smelting Co., Ltd.</t>
  </si>
  <si>
    <t>Compañía Sud Americana de Vapores S.A. (SNSE:VAPORES)</t>
  </si>
  <si>
    <t>Compañía Sud Americana de Vapores S.A.</t>
  </si>
  <si>
    <t>VAPORES</t>
  </si>
  <si>
    <t>Marine Transportation</t>
  </si>
  <si>
    <t>Compañía Sud Americana de Vapores S.A. operates as a shipping company. It operates through Maritime Shipping and Terminals and Infrastructure segments. The company engages in the container shipping business. It operates a fleet of 237 container vessels with a portfolio of 122 services in 129 countries. Compañía Sud Americana de Vapores S.A. was founded in 1864 and is based in Las Condes, Chile.</t>
  </si>
  <si>
    <t>Compañía Universal Textil S.A. (BVL:UNITEXI1)</t>
  </si>
  <si>
    <t>Compañía Universal Textil S.A.</t>
  </si>
  <si>
    <t>UNITEXI1</t>
  </si>
  <si>
    <t>Textiles Producers</t>
  </si>
  <si>
    <t>Apparel, Footwear and Textile Producers</t>
  </si>
  <si>
    <t>Compañía Universal Textil S.A. manufactures and sells fabrics in Peru. The company offers polyester, viscose, and spandex fabrics. It also exports its products. The company was founded in 1989 and is based in Lima, Peru.</t>
  </si>
  <si>
    <t>Companias CIC S.A. (SNSE:CIC)</t>
  </si>
  <si>
    <t>Companias CIC S.A.</t>
  </si>
  <si>
    <t>CIC</t>
  </si>
  <si>
    <t>Home Furnishings Producers</t>
  </si>
  <si>
    <t>Consumer Durables Producers</t>
  </si>
  <si>
    <t>Companias CIC S.A., together with its subsidiaries, produces, markets, and distributes home furnishing products in Chile and internationally. It operates in two segments, Mattresses and Furniture. The company offers beds and accessories; mattresses and protectors; bases; pillows; and beddings, including bed sheets, comforters and blankets, bedspreads and quilts, toppers and covers, and related accessories. It also provides sofas, armchairs, and chairs for living room; tables, chairs, and dining room sets for dining room; closets, chests of drawers and dresses, desks, and other bedroom and living room furniture; bathroom and kitchen furniture; and bicycles, crib mattresses, cradles, and other children’s furniture. The company sells its products through stores and online. It exports its products. The company was founded in 1912 and is headquartered in Santiago, Chile.</t>
  </si>
  <si>
    <t>Compass Capital Funds - Compass Core Equity Portfolio (SNSE:CFICGCORA)</t>
  </si>
  <si>
    <t>Compass Capital Funds - Compass Core Equity Portfolio</t>
  </si>
  <si>
    <t>CFICGCORA</t>
  </si>
  <si>
    <t>US</t>
  </si>
  <si>
    <t>Compass Deuda Plus Fondo De Inversion (SNSE:CFICOMDPA)</t>
  </si>
  <si>
    <t>Compass Deuda Plus Fondo De Inversion</t>
  </si>
  <si>
    <t>CFICOMDPA</t>
  </si>
  <si>
    <t>Compass Global Chile S.A Administradora General De Fondo - Compass Global Investments II Fund (SNSE:CFICGI2E.E)</t>
  </si>
  <si>
    <t>Compass Global Chile S.A Administradora General De Fondo - Compass Global Invest</t>
  </si>
  <si>
    <t>CFICGI2E.E</t>
  </si>
  <si>
    <t>Compass Global Chile S.A Administradora General De Fondo - Compass Global Investments III Fund (SNSE:CFICGI3E.E)</t>
  </si>
  <si>
    <t>CFICGI3E.E</t>
  </si>
  <si>
    <t>Compass Global Credit CLP Fondo de Inversión (SNSE:CFICGGCPA)</t>
  </si>
  <si>
    <t>Compass Global Credit CLP Fondo de Inversión</t>
  </si>
  <si>
    <t>CFICGGCPA</t>
  </si>
  <si>
    <t>Compass Global Credit Usd Fondo De Inversion (SNSE:CFI.CGGCUA)</t>
  </si>
  <si>
    <t>Compass Global Credit Usd Fondo De Inversion</t>
  </si>
  <si>
    <t>CFI.CGGCUA</t>
  </si>
  <si>
    <t>Compass Global Equity Fondo de Inversion (SNSE:CFICGGLOEB)</t>
  </si>
  <si>
    <t>Compass Global Equity Fondo de Inversion</t>
  </si>
  <si>
    <t>CFICGGLOEB</t>
  </si>
  <si>
    <t>Compass Global Equity Fondo de Inversion was founded in 2014 and is headquartered in Santiago, Region Metropolitana (Santiago), Chile.</t>
  </si>
  <si>
    <t>Compass Global Investments Iii Fondo De Inversion (SNSE:CFICGGI3.E)</t>
  </si>
  <si>
    <t>Compass Global Investments Iii Fondo De Inversion</t>
  </si>
  <si>
    <t>CFICGGI3.E</t>
  </si>
  <si>
    <t>Compass Global Investments Iii Fondo De Inversion is headquartered in Chile.</t>
  </si>
  <si>
    <t>Compass Group Chile S.A Administradora General De Fondos - GSO COF IV Private Debt Fondo De Inversio (SNSE:CFICOF4R.E)</t>
  </si>
  <si>
    <t>Compass Group Chile S.A Administradora General De Fondos - GSO COF IV Private De</t>
  </si>
  <si>
    <t>CFICOF4R.E</t>
  </si>
  <si>
    <t>Compass Group Chile S.A. Adm General De Fondos - Cuota Fondos De Inversion (SNSE:CFICDR3A.E)</t>
  </si>
  <si>
    <t>Compass Group Chile S.A. Adm General De Fondos - Cuota Fondos De Inversion</t>
  </si>
  <si>
    <t>CFICDR3A.E</t>
  </si>
  <si>
    <t>Compass Group Chile S.A. Admin General  Fondo- Compass Global Investments Fundo de Inversion (SNSE:CFICGGLI.E)</t>
  </si>
  <si>
    <t>Compass Group Chile S.A. Admin General  Fondo- Compass Global Investments Fundo</t>
  </si>
  <si>
    <t>CFICGGLI.E</t>
  </si>
  <si>
    <t>Compass Group Chile S.A. Admin General  Fondo- Compass Global Investments Fundo de Inversion is headquartered in Santiago, Region Metropolitana (Santiago), Chile.</t>
  </si>
  <si>
    <t>Compass Group Chile S.A. Administradora General de Fondos - CCLA Desarrollo Rentas Fund (SNSE:CFICDIMUPF)</t>
  </si>
  <si>
    <t>Compass Group Chile S.A. Administradora General de Fondos - CCLA Desarrollo Rent</t>
  </si>
  <si>
    <t>CFICDIMUPF</t>
  </si>
  <si>
    <t>Compass Group Chile S.A. Administradora General de Fondos - Compass Brep EU VI Real Estate Fondo De (SNSE:CFIBRE6C.E)</t>
  </si>
  <si>
    <t>Compass Group Chile S.A. Administradora General de Fondos - Compass Brep EU VI R</t>
  </si>
  <si>
    <t>CFIBRE6C.E</t>
  </si>
  <si>
    <t>Compass Group Chile S.A. Administradora General de Fondos - Compass Brep EU VII Real Estate Fondo De (SNSE:CFIBRE7A.E)</t>
  </si>
  <si>
    <t>Compass Group Chile S.A. Administradora General de Fondos - Compass Brep EU VII</t>
  </si>
  <si>
    <t>CFIBRE7A.E</t>
  </si>
  <si>
    <t>Compass Group Chile S.A. Administradora General de Fondos - Compass BXD Private Debt Fondo de Invers (SNSE:CFICBXDA.E)</t>
  </si>
  <si>
    <t>Compass Group Chile S.A. Administradora General de Fondos - Compass BXD Private</t>
  </si>
  <si>
    <t>CFICBXDA.E</t>
  </si>
  <si>
    <t>Compass Group Chile S.A. Administradora General de Fondos - Compass BXLS VI Private Equity Fondo De (SNSE:CFICLS6A.E)</t>
  </si>
  <si>
    <t>Compass Group Chile S.A. Administradora General de Fondos - Compass BXLS VI Priv</t>
  </si>
  <si>
    <t>CFICLS6A.E</t>
  </si>
  <si>
    <t>Compass Group Chile S.A. Administradora General de Fondos - Compass COF III Private Debt Fondo de In (SNSE:CFICOF3P.E)</t>
  </si>
  <si>
    <t>Compass Group Chile S.A. Administradora General de Fondos - Compass COF III Priv</t>
  </si>
  <si>
    <t>CFICOF3P.E</t>
  </si>
  <si>
    <t>Compass Group Chile S.A. Administradora General de Fondos - Compass Global Cred Fund (SNSE:CFICGGUDVA)</t>
  </si>
  <si>
    <t>Compass Group Chile S.A. Administradora General de Fondos - Compass Global Cred</t>
  </si>
  <si>
    <t>CFICGGUDVA</t>
  </si>
  <si>
    <t>Compass Group Chile S.A. Administradora General de Fondos - Compass Latam Equity Fund (SNSE:CFICGLEA.E)</t>
  </si>
  <si>
    <t>Compass Group Chile S.A. Administradora General de Fondos - Compass Latam Equity</t>
  </si>
  <si>
    <t>CFICGLEA.E</t>
  </si>
  <si>
    <t>Compass Group Chile S.A. Administradora General de Fondos - Compass Latam Small Company fund (SNSE:CFICGLSC.A)</t>
  </si>
  <si>
    <t>Compass Group Chile S.A. Administradora General de Fondos - Compass Latam Small</t>
  </si>
  <si>
    <t>CFICGLSC.A</t>
  </si>
  <si>
    <t>Compass Group Chile S.A. Administradora General de Fondos - Compass LCP IX Private Equity Investment (SNSE:CFILCP9R.E)</t>
  </si>
  <si>
    <t>Compass Group Chile S.A. Administradora General de Fondos - Compass LCP IX Priva</t>
  </si>
  <si>
    <t>CFILCP9R.E</t>
  </si>
  <si>
    <t>Compass Group Chile S.A. Administradora General de Fondos - Compass Proteccion A - Fund (SNSE:CFMCGPROTA)</t>
  </si>
  <si>
    <t>Compass Group Chile S.A. Administradora General de Fondos - Compass Proteccion A</t>
  </si>
  <si>
    <t>CFMCGPROTA</t>
  </si>
  <si>
    <t>Compass Group Chile S.A. Administradora General de Fondos - Compass Proteccion B - Fund (SNSE:CFMCGPROTB)</t>
  </si>
  <si>
    <t>Compass Group Chile S.A. Administradora General de Fondos - Compass Proteccion B</t>
  </si>
  <si>
    <t>CFMCGPROTB</t>
  </si>
  <si>
    <t>Compass Group Chile S.A. Administradora General de Fondos - FI Compass Brazil Equity Fund (SNSE:CFICGBRB.E)</t>
  </si>
  <si>
    <t>Compass Group Chile S.A. Administradora General de Fondos - FI Compass Brazil Eq</t>
  </si>
  <si>
    <t>CFICGBRB.E</t>
  </si>
  <si>
    <t>Compass Group Chile S.A. Administradora General de Fondos - FM Compass Deuda Chilena Fund (SNSE:CFMCGDDVAI)</t>
  </si>
  <si>
    <t>Compass Group Chile S.A. Administradora General de Fondos - FM Compass Deuda Chi</t>
  </si>
  <si>
    <t>CFMCGDDVAI</t>
  </si>
  <si>
    <t>Compass Group Chile S.A. Administradora General de Fondos - Fondo de Inversión Compass DVA Multiaxis (SNSE:CFIAMDVAMA)</t>
  </si>
  <si>
    <t>Compass Group Chile S.A. Administradora General de Fondos - Fondo de Inversión C</t>
  </si>
  <si>
    <t>CFIAMDVAMA</t>
  </si>
  <si>
    <t>Compass Group Chile S.A. Administradora General de Fondos - Global Credit Fund (SNSE:CFICGGCPA)</t>
  </si>
  <si>
    <t>Compass Group Chile S.A. Administradora General de Fondos - Global Credit Fund</t>
  </si>
  <si>
    <t>Compass Group Chile S.A. Administradora General de Fondos - Vinci Compass Brazil Fixed FI Fund (SNSE:CFIVCBRA.E)</t>
  </si>
  <si>
    <t>Compass Group Chile S.A. Administradora General de Fondos - Vinci Compass Brazil</t>
  </si>
  <si>
    <t>CFIVCBRA.E</t>
  </si>
  <si>
    <t>Compass Group Chile S.A. Administradora General de Fondos - Vinci Compass BX CR Private SEM Fund (SNSE:CFIVCBXA.E)</t>
  </si>
  <si>
    <t>Compass Group Chile S.A. Administradora General de Fondos - Vinci Compass BX CR</t>
  </si>
  <si>
    <t>CFIVCBXA.E</t>
  </si>
  <si>
    <t>Compass Group Chile S.A. Administradora General de Fondos - Vinci Compass Cinven SF2 Private Fund (SNSE:CFIVSF2A.E)</t>
  </si>
  <si>
    <t>Compass Group Chile S.A. Administradora General de Fondos - Vinci Compass Cinven</t>
  </si>
  <si>
    <t>CFIVSF2A.E</t>
  </si>
  <si>
    <t>Compass Group Chile S.A. Administradora General de Fondos - Vinci Compass LC XI Pri Equity FI Fund (SNSE:CFI.L11IAE)</t>
  </si>
  <si>
    <t>Compass Group Chile S.A. Administradora General de Fondos - Vinci Compass LC XI</t>
  </si>
  <si>
    <t>CFI.L11IAE</t>
  </si>
  <si>
    <t>Compass Group Chile S.A. Administradora General de Fondos - Vinci Compass LCP XI Pri Equity FI Fund (SNSE:CFILX11R.E)</t>
  </si>
  <si>
    <t>Compass Group Chile S.A. Administradora General de Fondos - Vinci Compass LCP XI</t>
  </si>
  <si>
    <t>CFILX11R.E</t>
  </si>
  <si>
    <t>Compass Group Chile S.A. Administradora General de Fondos - Vinci Compass SP X Pri Equity FI Fund (SNSE:CFIVSPXA.E)</t>
  </si>
  <si>
    <t>Compass Group Chile S.A. Administradora General de Fondos - Vinci Compass SP X P</t>
  </si>
  <si>
    <t>CFIVSPXA.E</t>
  </si>
  <si>
    <t>Compass Group Chile S.A. Administradora General de Fondos- CCLA Deuda Inmobiliaria CP Fondo de Inver (SNSE:CFICPCPA.E)</t>
  </si>
  <si>
    <t>Compass Group Chile S.A. Administradora General de Fondos- CCLA Deuda Inmobiliar</t>
  </si>
  <si>
    <t>CFICPCPA.E</t>
  </si>
  <si>
    <t>Compass Group Chile S.A. Administradora General de Fondos- Compass Tacopps Private Debt Fondo De Inv (SNSE:CFITACOR.E)</t>
  </si>
  <si>
    <t>Compass Group Chile S.A. Administradora General de Fondos- Compass Tacopps Priva</t>
  </si>
  <si>
    <t>CFITACOR.E</t>
  </si>
  <si>
    <t>Compass Group Chile SA ADM Gen FD - CINVEN VIII Private Equity FI Fund (SNSE:CFICVN8E.E)</t>
  </si>
  <si>
    <t>Compass Group Chile SA ADM Gen FD - CINVEN VIII Private Equity FI Fund</t>
  </si>
  <si>
    <t>CFICVN8E.E</t>
  </si>
  <si>
    <t>Compass Group Chile SA ADM Gen FD - Compass LCP X Private Equity FI Fund (SNSE:CFI.LCPXAE)</t>
  </si>
  <si>
    <t>Compass Group Chile SA ADM Gen FD - Compass LCP X Private Equity FI Fund</t>
  </si>
  <si>
    <t>CFI.LCPXAE</t>
  </si>
  <si>
    <t>Compass Group Chile SA ADM Gen FD- Compass Lapco Fondo De Inversion Fund (SNSE:CFI.LAPDE)</t>
  </si>
  <si>
    <t>Compass Group Chile SA ADM Gen FD- Compass Lapco Fondo De Inversion Fund</t>
  </si>
  <si>
    <t>CFI.LAPDE</t>
  </si>
  <si>
    <t>Compass Group Chile SA ADM Gen FD-Compass Vepf VIII Private Equity FI C-Fund (SNSE:CFIVEP8C.E)</t>
  </si>
  <si>
    <t>Compass Group Chile SA ADM Gen FD-Compass Vepf VIII Private Equity FI C-Fund</t>
  </si>
  <si>
    <t>CFIVEP8C.E</t>
  </si>
  <si>
    <t>Compass Group Chile SA ADM Gen FD-Compass Vepf VIII PVT Equity FI USD A-Fund (SNSE:CFI.VEP8AE)</t>
  </si>
  <si>
    <t>Compass Group Chile SA ADM Gen FD-Compass Vepf VIII PVT Equity FI USD A-Fund</t>
  </si>
  <si>
    <t>CFI.VEP8AE</t>
  </si>
  <si>
    <t>Compass Group Chile SA ADM Gen FD-Compass Vepf VIII PVT Equity FI USD B-Fund (SNSE:CFI.VEP8BE)</t>
  </si>
  <si>
    <t>Compass Group Chile SA ADM Gen FD-Compass Vepf VIII PVT Equity FI USD B-Fund</t>
  </si>
  <si>
    <t>CFI.VEP8BE</t>
  </si>
  <si>
    <t>Compass Group Chile SA ADM Gen FD-Compass Vepf VIII PVT Equity FI USD C-Fund (SNSE:CFI.VEP8CE)</t>
  </si>
  <si>
    <t>Compass Group Chile SA ADM Gen FD-Compass Vepf VIII PVT Equity FI USD C-Fund</t>
  </si>
  <si>
    <t>CFI.VEP8CE</t>
  </si>
  <si>
    <t>Compass Group Chile SA ADM Gen FD-Compass Vepf VIII PVT Equity FI USD I-Fund (SNSE:CFI.VEP8IE)</t>
  </si>
  <si>
    <t>Compass Group Chile SA ADM Gen FD-Compass Vepf VIII PVT Equity FI USD I-Fund</t>
  </si>
  <si>
    <t>CFI.VEP8IE</t>
  </si>
  <si>
    <t>Compass Group Chile SA ADM Gen FD-Compass Vepf VIII PVT Equity FI USD R-Fund (SNSE:CFI.VEP8RE)</t>
  </si>
  <si>
    <t>Compass Group Chile SA ADM Gen FD-Compass Vepf VIII PVT Equity FI USD R-Fund</t>
  </si>
  <si>
    <t>CFI.VEP8RE</t>
  </si>
  <si>
    <t>Compass Group Chile Sa Adm General De Fondos - Compass Global Debt Fondo de Inversión (SNSE:CFICGGLODB)</t>
  </si>
  <si>
    <t>Compass Group Chile Sa Adm General De Fondos - Compass Global Debt Fondo de Inve</t>
  </si>
  <si>
    <t>CFICGGLODB</t>
  </si>
  <si>
    <t>Compass Latam High Yield Fondo De Inversion (SNSE:CFICLHUA.E)</t>
  </si>
  <si>
    <t>Compass Latam High Yield Fondo De Inversion</t>
  </si>
  <si>
    <t>CFICLHUA.E</t>
  </si>
  <si>
    <t>Compass Small Cap Chile Fondo de Inversión (SNSE:CFICGSCH.B)</t>
  </si>
  <si>
    <t>Compass Small Cap Chile Fondo de Inversión</t>
  </si>
  <si>
    <t>CFICGSCH.B</t>
  </si>
  <si>
    <t>Compass Emergente Fondo de Inversion is a closed-ended equity mutual fund launched and managed by Compass Group Chile S.A. Administradora General de Fondos. It invests in the public equity markets of Chile. The fund invests in stocks of small-cap companies. It benchmarks the performance of its portfolio against the IPSA Index. Compass Emergente Fondo de Inversion was formed on May 31, 2002 and is domiciled in Chile.</t>
  </si>
  <si>
    <t>Consorcio Cementero del Sur S.A. (BVL:CONCESI1)</t>
  </si>
  <si>
    <t>Consorcio Cementero del Sur S.A.</t>
  </si>
  <si>
    <t>CONCESI1</t>
  </si>
  <si>
    <t>Consorcio Cementero del Sur S.A., through its subsidiaries, engages in the production and sale of cement in Peru. It operates through four segments: food, cement, paper and cardboard, and agro-industry. The company is also involved in the extraction and processing of metallic and non-metallic minerals; production and marketing of ready-mixe concrete, precast concrete, and other aggregates; production, collection, and commercialization of lime, and calcium oxide; and exploitation and production of stone aggregates. In addition, it engages in the manufacture, industrialization, and commercialization of other construction materials; exploration, exploitation, transformation, and commercialization of goods derived from the cement, lime, and limestone industry; provision of concrete-processing and handling services; leasing of machinery; and paper and cardboard, and agri businesses. The company was incorporated in 2008 and is based in Lima, Peru. Consorcio Cementero del Sur S.A. operates as a subsidiary of Holding Cementero Del Peru Sociedad Anonima.</t>
  </si>
  <si>
    <t>Construcciones Civiles S.A. (BVC:CONCIVILES)</t>
  </si>
  <si>
    <t>Construcciones Civiles S.A.</t>
  </si>
  <si>
    <t>CONCIVILES</t>
  </si>
  <si>
    <t>Construcciones Civiles S.A. engages in the design and construction of all types of infrastructure works in Colombia. The company offers road and electrical infrastructure services; hydraulic works, industrial and plant services; and buildings and mining infrastructure and services. It also engages in construction of bridges, viaducts, hydro electrical plants, railways, underground excavation, urban planning, and residential and commercial building services. Construcciones Civiles S.A. was incorporated in 1950 and is based in Cali, Colombia.</t>
  </si>
  <si>
    <t>Construcciones El Condor S.A. (BVC:ELCONDOR)</t>
  </si>
  <si>
    <t>Construcciones El Condor S.A.</t>
  </si>
  <si>
    <t>ELCONDOR</t>
  </si>
  <si>
    <t>Construcciones El Condor S.A. engages in the construction and investment businesses. The company provides construction services for the public and private sector, including the construction of roads, tunnels, viaducts, bridges, dams, concrete works, mining, open cast mining, soil and rock excavation, and mass transportation systems. It invests in road, airport, and energy concession projects, and companies related to the infrastructure sector, as well as manages investments in public service and mining concessions. Construcciones El Condor S.A. was founded in 1979 and is based in Medellín, Colombia.</t>
  </si>
  <si>
    <t>Constructora Conconcreto S.A. (BVC:CONCONCRET)</t>
  </si>
  <si>
    <t>Constructora Conconcreto S.A.</t>
  </si>
  <si>
    <t>CONCONCRET</t>
  </si>
  <si>
    <t>Constructora Conconcreto S.A. operates as a construction company in Colombia and internationally. It offers construction services, including consulting services, such as pre-construction, project management, technical management, conceptualization, and auditing services for project conceptualization; construction design services, which include architectural, interior, structural, network, geotechnical, geometric, and bioclimatic designs, as well as integration of designs under BIM methodology; services for infrastructure, housing, buildings, prefabricated components, triboard panels, and aggregates; and asset management services, including specialized and public service management, maintenance and multiservices, and renovation and building adaptation services. The company also develops and sells housing and commercial units; and concessions and real investment projects. In addition, it develops, builds, designs, and manages infrastructure, building, and housing projects, such as airport facilities, logistic facilities, commercial facilities, institutions, hotelier, health facilities, industrial, corporate, and transport. The company was incorporated in 1961 and is based in Medellín, Colombia.</t>
  </si>
  <si>
    <t>Copass Group Chile - Compass Global Trends Fund (SNSE:CFICGGTB.E)</t>
  </si>
  <si>
    <t>Copass Group Chile - Compass Global Trends Fund</t>
  </si>
  <si>
    <t>CFICGGTB.E</t>
  </si>
  <si>
    <t>Coril Instrumentos de Corto Plazo 1 (BVL:FICOCMP1)</t>
  </si>
  <si>
    <t>Coril Instrumentos de Corto Plazo 1</t>
  </si>
  <si>
    <t>FICOCMP1</t>
  </si>
  <si>
    <t>Coril Instrumentos de Corto Plazo 2 (BVL:FICOCMP2)</t>
  </si>
  <si>
    <t>Coril Instrumentos de Corto Plazo 2</t>
  </si>
  <si>
    <t>FICOCMP2</t>
  </si>
  <si>
    <t>Coril Instrumentos De Corto Plazo 9 - Cuotas De Participation Fund (BVL:FICOCMP9)</t>
  </si>
  <si>
    <t>Coril Instrumentos De Corto Plazo 9 - Cuotas De Participation Fund</t>
  </si>
  <si>
    <t>FICOCMP9</t>
  </si>
  <si>
    <t>Coril Instrumentos De Corto Y Media - Coril Renta Prime Soles 17 Fund (BVL:FICCMP17)</t>
  </si>
  <si>
    <t>Coril Instrumentos De Corto Y Media - Coril Renta Prime Soles 17 Fund</t>
  </si>
  <si>
    <t>FICCMP17</t>
  </si>
  <si>
    <t>Coril Instrumentos de Corto Y Mediano Plazo 10 - Fondo de Inversion (BVL:FICCMP10)</t>
  </si>
  <si>
    <t>Coril Instrumentos de Corto Y Mediano Plazo 10 - Fondo de Inversion</t>
  </si>
  <si>
    <t>FICCMP10</t>
  </si>
  <si>
    <t>Coril Instrumentos De Corto Y Mediano Plazo 4 - Fondo De InversiÓn (BVL:FICOCMP5)</t>
  </si>
  <si>
    <t>Coril Instrumentos De Corto Y Mediano Plazo 4 - Fondo De InversiÓn</t>
  </si>
  <si>
    <t>FICOCMP5</t>
  </si>
  <si>
    <t>Coril Instrumentos De Corto Y Mediano Plazo 6 - Fondo De Inversion (BVL:FICOCMP6)</t>
  </si>
  <si>
    <t>Coril Instrumentos De Corto Y Mediano Plazo 6 - Fondo De Inversion</t>
  </si>
  <si>
    <t>FICOCMP6</t>
  </si>
  <si>
    <t>Coril Renta Prime Soles - Fondo De Inversion (BVL:FICORPS)</t>
  </si>
  <si>
    <t>Coril Renta Prime Soles - Fondo De Inversion</t>
  </si>
  <si>
    <t>FICORPS</t>
  </si>
  <si>
    <t>Coril Renta Prime Soles 11 - Fondo De Inversion (BVL:FICRPS11)</t>
  </si>
  <si>
    <t>Coril Renta Prime Soles 11 - Fondo De Inversion</t>
  </si>
  <si>
    <t>FICRPS11</t>
  </si>
  <si>
    <t>Coril Renta Prime Soles 13 - Fondo De Inversion (BVL:FICRPS13)</t>
  </si>
  <si>
    <t>Coril Renta Prime Soles 13 - Fondo De Inversion</t>
  </si>
  <si>
    <t>FICRPS13</t>
  </si>
  <si>
    <t>Coril Renta Prime Soles 14 - Fondo De Inversion (BVL:FICRPS14)</t>
  </si>
  <si>
    <t>Coril Renta Prime Soles 14 - Fondo De Inversion</t>
  </si>
  <si>
    <t>FICRPS14</t>
  </si>
  <si>
    <t>Coril Renta Prime Soles 19 - Fondo De Inversion (BVL:-)</t>
  </si>
  <si>
    <t>Coril Renta Prime Soles 19 - Fondo De Inversion</t>
  </si>
  <si>
    <t>Coril Renta Prime Soles 2 - Fondo De Inversion (BVL:FICORPS2)</t>
  </si>
  <si>
    <t>Coril Renta Prime Soles 2 - Fondo De Inversion</t>
  </si>
  <si>
    <t>FICORPS2</t>
  </si>
  <si>
    <t>Coril Renta Prime Soles 21 - Fondo De Inversion (BVL:FICRPS21)</t>
  </si>
  <si>
    <t>Coril Renta Prime Soles 21 - Fondo De Inversion</t>
  </si>
  <si>
    <t>FICRPS21</t>
  </si>
  <si>
    <t>Coril Renta Prime Soles 3 - Fondo De Inversion Fund (BVL:FICORPS3)</t>
  </si>
  <si>
    <t>Coril Renta Prime Soles 3 - Fondo De Inversion Fund</t>
  </si>
  <si>
    <t>FICORPS3</t>
  </si>
  <si>
    <t>Coril Renta Prime Soles 4 - Fondo De Inversion (BVL:FICORPS4)</t>
  </si>
  <si>
    <t>Coril Renta Prime Soles 4 - Fondo De Inversion</t>
  </si>
  <si>
    <t>FICORPS4</t>
  </si>
  <si>
    <t>Coril Renta Prime Soles 5 - Fondo De Inversion (BVL:FICORPS5)</t>
  </si>
  <si>
    <t>Coril Renta Prime Soles 5 - Fondo De Inversion</t>
  </si>
  <si>
    <t>FICORPS5</t>
  </si>
  <si>
    <t>Corporacion Aceros Arequipa S.A. (BVL:CORAREI1)</t>
  </si>
  <si>
    <t>Corporacion Aceros Arequipa S.A.</t>
  </si>
  <si>
    <t>CORAREI1</t>
  </si>
  <si>
    <t>Corporacion Aceros Arequipa S.A. engages in the manufacture and sale of steel products in Peru and internationally. It offers corrugated bars or rebars, corrugated stirrups, mechanical connectors, transfer voussoirs and baskets, nails, wires, electro-welded meshes and panels, wire rod, merchant bars, beams, flat products, calamines, tubes, mill ball bars, rock support bolts and adapters, welding, and tools and hardware. The company also provides plates for vehicle suspension spring, profiles, and dowel basket and load transfer. It serves its products to self-construction, construction, heavy and light metalworking, mining, and agroindustrial sectors. Corporacion Aceros Arequipa S.A. was founded in 1964 and is based in Lima, Peru.</t>
  </si>
  <si>
    <t>Corporación Cervesur S.A.A. (BVL:COCESUC1)</t>
  </si>
  <si>
    <t>Corporación Cervesur S.A.A.</t>
  </si>
  <si>
    <t>COCESUC1</t>
  </si>
  <si>
    <t>Corporación Cervesur S.A.A. operates in the textile, agro-industry, transportation, food production, and real estate sectors. The company produces knitted fabrics, threads, garments, and animal feed products; and transports hazardous materials, as well as goods of mining and hydrocarbon sectors. It also grows various products, including green asparagus, organic pecans, hybrid seeds, corns, cottons, etc. In addition, the company constructs apartment buildings. Corporación Cervesur S.A.A. was founded in 1898 and is headquartered in Arequipa, Peru.</t>
  </si>
  <si>
    <t>Corporación de Ferias y Exposiciones S.A. Usuario Operador de Zona Franca (BVC:CORFERIAS)</t>
  </si>
  <si>
    <t>Corporación de Ferias y Exposiciones S.A. Usuario Operador de Zona Franca</t>
  </si>
  <si>
    <t>CORFERIAS</t>
  </si>
  <si>
    <t>Advertising</t>
  </si>
  <si>
    <t>Corporación de Ferias y Exposiciones S.A. Usuario Operador de Zona Franca, together with its subsidiaries, engages in the industrial, social, cultural, and commercial development in Colombia. The company organizes fairs, exhibitions, events, and conventions. It is also involved in the operation of restaurants and bars, and fairgrounds; cafeteria and fast-food services; and parking lot management. The company was founded in 1954 and is based in Bogotá, Colombia. Corporación de Ferias y Exposiciones S.A. Usuario Operador de Zona Franca operates as a subsidiary of Cámara de Comercio de Bogotá.</t>
  </si>
  <si>
    <t>Corporación Financiera Colombiana S.A. (BVC:CORFICOLCF)</t>
  </si>
  <si>
    <t>Corporación Financiera Colombiana S.A.</t>
  </si>
  <si>
    <t>CORFICOLCF</t>
  </si>
  <si>
    <t>Holding Companies, Patent Owners, and Trusts or Estates</t>
  </si>
  <si>
    <t>Corporación Financiera Colombiana S.A. operates as a private financial institution in Columbia and Central America. The company offers investment banking services, including mergers and acquisitions, syndicated contracts, capital markets, project financing, and consulting; and fundraising services. It also provides treasury products, consisting of legal tender, foreign currency, and investment and money market products; and commercial banking services. In addition, the company operates road concessions, and hotels; produces and commercializes palm oil, palm kernel oil, palm kernel cake, technically specified rubber, certified rice seed, and bio-inputs; and manufactures synthetic fabrics, products specialized in providing shadow, and enclosure solutions under the Polisombra brand, as well as bonding and fastening media for agro-industrial and home use. Further, the company distributes natural gas to users. Corporación Financiera Colombiana S.A. was incorporated in 1961 and is based in Bogotá, Colombia.</t>
  </si>
  <si>
    <t>Credicorp Cap Asset Mgmt Sa Administra - Fondo de Inversión Credicorp Capital Alto Rendimiento CLP (SNSE:CFICCARB.E)</t>
  </si>
  <si>
    <t>Credicorp Cap Asset Mgmt Sa Administra - Fondo de Inversión Credicorp Capital Al</t>
  </si>
  <si>
    <t>CFICCARB.E</t>
  </si>
  <si>
    <t>Credicorp Capital Asset Management Fund SICAV - Fundo De Investimento Credicorp Capital AIX Fully Fu (SNSE:CFICCAIXFF)</t>
  </si>
  <si>
    <t>Credicorp Capital Asset Management Fund SICAV - Fundo De Investimento Credicorp</t>
  </si>
  <si>
    <t>CFICCAIXFF</t>
  </si>
  <si>
    <t>Credicorp Capital Asset Management S.A. Administradora General De Fondos - Fondo de Inversion Credic (SNSE:CFICCAED.E)</t>
  </si>
  <si>
    <t>Credicorp Capital Asset Management S.A. Administradora General De Fondos - Fondo</t>
  </si>
  <si>
    <t>CFICCAED.E</t>
  </si>
  <si>
    <t>Credicorp Capital Asset Management S.A. Administradora General De Fondos - Fondo de Inversion Credic (SNSE:CFICCRSB.E)</t>
  </si>
  <si>
    <t>CFICCRSB.E</t>
  </si>
  <si>
    <t>Credicorp Capital Asset Management Sa - FI Credicorp Capital - Private Debt IV Fund (SNSE:CFI.CPD4BE)</t>
  </si>
  <si>
    <t>Credicorp Capital Asset Management Sa - FI Credicorp Capital - Private Debt IV F</t>
  </si>
  <si>
    <t>CFI.CPD4BE</t>
  </si>
  <si>
    <t>Credicorp Capital Asset Management Sa - FI Credicorp Capital - Private Debt VI Fund (SNSE:CFI.CPD6BE)</t>
  </si>
  <si>
    <t>Credicorp Capital Asset Management Sa - FI Credicorp Capital - Private Debt VI F</t>
  </si>
  <si>
    <t>CFI.CPD6BE</t>
  </si>
  <si>
    <t>Credicorp Capital Asset Management Sa - FI Credicorp Capital ICG SE I Fund (SNSE:CFI.CICGIE)</t>
  </si>
  <si>
    <t>Credicorp Capital Asset Management Sa - FI Credicorp Capital ICG SE I Fund</t>
  </si>
  <si>
    <t>CFI.CICGIE</t>
  </si>
  <si>
    <t>Credicorp Capital Asset Management SA - FI Credicorp Capital Renta Residencial Fund (SNSE:CFICCRES.E)</t>
  </si>
  <si>
    <t>Credicorp Capital Asset Management SA - FI Credicorp Capital Renta Residencial F</t>
  </si>
  <si>
    <t>CFICCRES.E</t>
  </si>
  <si>
    <t>Credicorp Capital Asset Management SA - Fondo de Inversión Credicorp Capital Plaza Fund (SNSE:CFICCPZE.E)</t>
  </si>
  <si>
    <t>Credicorp Capital Asset Management SA - Fondo de Inversión Credicorp Capital Pla</t>
  </si>
  <si>
    <t>CFICCPZE.E</t>
  </si>
  <si>
    <t>Credicorp Capital Asset Management SA - Fondo Mutuo Estructurado Credicorp Capital Renta UF 2029 (SNSE:CFMCC2029B)</t>
  </si>
  <si>
    <t>Credicorp Capital Asset Management SA - Fondo Mutuo Estructurado Credicorp Capit</t>
  </si>
  <si>
    <t>CFMCC2029B</t>
  </si>
  <si>
    <t>Credicorp Capital Asset Management SA ADM - FI Credicorp  Inmobiliario Aconcagua Fund (SNSE:CFICCACB.E)</t>
  </si>
  <si>
    <t>Credicorp Capital Asset Management SA ADM - FI Credicorp  Inmobiliario Aconcagua</t>
  </si>
  <si>
    <t>CFICCACB.E</t>
  </si>
  <si>
    <t>Credicorp Capital Asset Management SA Adm - FI Renta Residencial Fund (SNSE:CFICCREB.E)</t>
  </si>
  <si>
    <t>Credicorp Capital Asset Management SA Adm - FI Renta Residencial Fund</t>
  </si>
  <si>
    <t>CFICCREB.E</t>
  </si>
  <si>
    <t>Credicorp Capital Asset Management SA Adm - Fondo de Inversión Credicorp Subsidio Habita I Fund (SNSE:CFICSUBB.E)</t>
  </si>
  <si>
    <t>Credicorp Capital Asset Management SA Adm - Fondo de Inversión Credicorp Subsidi</t>
  </si>
  <si>
    <t>CFICSUBB.E</t>
  </si>
  <si>
    <t>Credicorp Capital Asset MGNT SA Adm - Fi Credicorp Cap Renta Industrial FPA (SNSE:CFICCFPA.E)</t>
  </si>
  <si>
    <t>Credicorp Capital Asset MGNT SA Adm - Fi Credicorp Cap Renta Industrial FPA</t>
  </si>
  <si>
    <t>CFICCFPA.E</t>
  </si>
  <si>
    <t>Credicorp Capital Asset Mgnt Sa Adm-FME Credicorp Capital Renta UF 2027 (SNSE:CFMCCERUFB)</t>
  </si>
  <si>
    <t>Credicorp Capital Asset Mgnt Sa Adm-FME Credicorp Capital Renta UF 2027</t>
  </si>
  <si>
    <t>CFMCCERUFB</t>
  </si>
  <si>
    <t>Credicorp Capital Peru S.A.A. (BVL:CRECAPC1)</t>
  </si>
  <si>
    <t>Credicorp Capital Peru S.A.A.</t>
  </si>
  <si>
    <t>CRECAPC1</t>
  </si>
  <si>
    <t>Investment Banks, Brokers and Capital Markets</t>
  </si>
  <si>
    <t>Credicorp Capital Peru S.A.A. provides financial and corporate advisory services in Peru. It engages in the management of mutual funds, securities, and investment funds. The company is also involved in the purchasing and selling of securities that are subject to negotiation in the stock market and non-stock market, as well as in advising investors in the securities market and other operations and services. In addition, it acts as the trustee in securitization processes; and acquire assets to establish trust estates. The company was formerly known as BCP Capital S.A.A. Credicorp Capital Peru S.A.A. was incorporated in 2012 and is based in Lima, Peru. Credicorp Capital Peru S.A.A. is a subsidiary of Credicorp Capital Holding Peru S.A.</t>
  </si>
  <si>
    <t>Credifamilia Compañía de Financiamiento S.A. (BVC:CREDIFAMI)</t>
  </si>
  <si>
    <t>Credifamilia Compañía de Financiamiento S.A.</t>
  </si>
  <si>
    <t>CREDIFAMI</t>
  </si>
  <si>
    <t>Mortgage Banks and Brokers</t>
  </si>
  <si>
    <t>Credifamilia Compañía de Financiamiento S.A., a financing company, specializes in providing credit and savings solutions in Colombia. It offers mortgage loans for acquiring or remodeling new or used houses; investment services; insurance products; and savings accounts. The company was founded in 2011 and is based in Bogotá, Colombia.</t>
  </si>
  <si>
    <t>Creditex S.A.A. (BVL:CRETEXI1)</t>
  </si>
  <si>
    <t>Creditex S.A.A.</t>
  </si>
  <si>
    <t>CRETEXI1</t>
  </si>
  <si>
    <t>Creditex S.A.A. operates as a textile company in Peru. It provides combed and carded pima, tangüis, and upland cotton, as well as organic yarns. The company also produces fine cotton fabrics for shirts, sport clothing, trousers, and decorations, as well as manufactures woven apparels. In addition, it operates various retail points of sale outlets under the M.bö, Norman &amp; Taylor, and Marc Boehler names. The company also exports its products. Creditex S.A.A. is based in Lima, Peru. Creditex S.A.A. is a subsidiary of Corporación Cervesur S.A.A.</t>
  </si>
  <si>
    <t>Cristalerías de Chile S.A. (SNSE:CRISTALES)</t>
  </si>
  <si>
    <t>Cristalerías de Chile S.A.</t>
  </si>
  <si>
    <t>CRISTALES</t>
  </si>
  <si>
    <t>Containers and Packaging: Metal, Glass, and Plastic</t>
  </si>
  <si>
    <t>Cristalerías de Chile S.A. manufactures and sells glass containers for wine, beer, non-alcoholic beverages, liquors, and food applications in Chile and internationally. It operates through Glass Packaging; Wine; Communications; Electric Generation; and Investment and Other segments. The company is also involved in the production and sale of wines and spirits; generation of electricity; investment; and written press, digital, and publishing activities. In addition, it provides sales room; customer and after-sales services, which include evaluation in packaging lines and behavior, technical support and development of new implementations in client processes, assistance on production lines, online collaboration during the filling process, and customer complaint management and resolution; and product development services, such as market research, development of new packaging, 3D prototypes and samples, functional models, color testing and development, screen printed decoration, and chemical satin services. The company was incorporated in 1904 and is based in Padre Hurtado, Chile. Cristalerías de Chile S.A. is a subsidiary of Compañía Electro Metalúrgica S.A.</t>
  </si>
  <si>
    <t>Cruzados SADP (SNSE:CRUZADOS)</t>
  </si>
  <si>
    <t>Cruzados SADP</t>
  </si>
  <si>
    <t>CRUZADOS</t>
  </si>
  <si>
    <t>Cruzados SADP organizes, produces, markets, and participates in professional sports activities related to football in Chile. It operates in two segments, Collection and Commercial. The company was incorporated in 2009 and is based in Santiago, Chile.</t>
  </si>
  <si>
    <t>Cuotas De Participacion (BVL:FICOIF5)</t>
  </si>
  <si>
    <t>Cuotas De Participacion</t>
  </si>
  <si>
    <t>FICOIF5</t>
  </si>
  <si>
    <t>Custas De Participacion Fund (BVL:FICOIF7)</t>
  </si>
  <si>
    <t>Custas De Participacion Fund</t>
  </si>
  <si>
    <t>FICOIF7</t>
  </si>
  <si>
    <t>Davivienda Group S.A. (BVC:PFDAVIGRP)</t>
  </si>
  <si>
    <t>Davivienda Group S.A.</t>
  </si>
  <si>
    <t>PFDAVIGRP</t>
  </si>
  <si>
    <t>Davivienda Group S.A. operates as a holding company which provides integration of Scotiabank's operations in Colombia, Costa Rica, and Panama. The company was founded in 1972 and is based in Bogota, Colombia.</t>
  </si>
  <si>
    <t>Duncan Fox S.A. (SNSE:DUNCANFOX)</t>
  </si>
  <si>
    <t>Duncan Fox S.A.</t>
  </si>
  <si>
    <t>DUNCANFOX</t>
  </si>
  <si>
    <t>Duncan Fox S.A., together with its subsidiaries, engages in the agro-industrial, hotel, and real estate businesses in Chile. It produces and markets frozen fruits and vegetables under the Minuto Verde, La Cabaña, Pura Hoja, and Punto Azul brand names; imports and distributes prepared food, develops and operates a chain of hotels under the Holiday Inn and Holiday Inn Express brand names; and develops housing, office, and commercial projects. Duncan Fox S.A. was incorporated in 1995 and is based in Santiago, Chile.</t>
  </si>
  <si>
    <t>Echeverría Izquierdo S.A. (SNSE:EISA)</t>
  </si>
  <si>
    <t>Echeverría Izquierdo S.A.</t>
  </si>
  <si>
    <t>EISA</t>
  </si>
  <si>
    <t>Echeverría Izquierdo S.A., together with its subsidiaries, operates as a construction company in Chile and Peru. It offers building and civil works, including residential projects, office buildings, hotels, and retail projects, as well as public and private infrastructure projects; and construction and industrial assembly of highly complex heavy structures, and turnkey projects. The company also offers earthmoving projects, mechanical maintenance, and specialized services; and engages in real estate business. In addition, it is involved in energy, pulp and paper, mining, petrochemicals, steel, and cement. The company was formerly known as Echeverría Izquierdo, Ingeníeria y Construcción and changed its name to Echeverría Izquierdo S.A. in January 2007. Echeverría Izquierdo S.A. was founded in 1978 and is based in Las Condes, Chile.</t>
  </si>
  <si>
    <t>Ecopetrol S.A. (BVC:ECOPETROL)</t>
  </si>
  <si>
    <t>Ecopetrol S.A.</t>
  </si>
  <si>
    <t>ECOPETROL</t>
  </si>
  <si>
    <t>Integrated Oil and Gas</t>
  </si>
  <si>
    <t>Oil, Gas and Coal</t>
  </si>
  <si>
    <t>Ecopetrol S.A. operates as an integrated energy company. It operates through four segments: Exploration and Production; Transport and Logistics; Refining and Petrochemicals; and Energy transmission and Toll Roads Concessions. The Exploration and Production segment engages in the exploration and production of oil and gas. The Transport and Logistics segment is involved in the transportation of crude oil, motor fuels, fuel oil, and other refined products, including diesel, jet, and biofuels. The Refining and Petrochemicals segment refines and processes crude oil at the Barrancabermeja and Cartagena refineries; and distributes natural gas and LPG. The energy Transmission and Toll Roads Concessions segment supplies transmission and information technology and telecommunications services, as well as designs, develops, constructs, operates, and maintains road and energy infrastructure projects. The company operates in Colombia, the United States, China, Brazil, India, Singapore and other Asian countries, Peru, Chile, Other South America countries, Central America and the Caribbean, and Europe. The company was formerly known as Empresa Colombiana de Petróleos and changed its name to Ecopetrol S.A. in June 2003. Ecopetrol S.A. was incorporated in 1948 and is based in Bogotá, Colombia.</t>
  </si>
  <si>
    <t>Eléctrica Puntilla S.A. (SNSE:PUNTILLA)</t>
  </si>
  <si>
    <t>Eléctrica Puntilla S.A.</t>
  </si>
  <si>
    <t>PUNTILLA</t>
  </si>
  <si>
    <t>Renewable Electricity</t>
  </si>
  <si>
    <t>Eléctrica Puntilla S.A. engages in the generation and marketing of electric energy and power in Chile. It operates various hydroelectric plants. The company was founded in 1906 and is based in Santiago, Chile. Eléctrica Puntilla S.A. is a subsidiary of Sociedad del Canal del Maipo S.A.</t>
  </si>
  <si>
    <t>Electro Dunas S.A.A. (BVL:EDUNASC1)</t>
  </si>
  <si>
    <t>Electro Dunas S.A.A.</t>
  </si>
  <si>
    <t>EDUNASC1</t>
  </si>
  <si>
    <t>Electro Dunas S.A.A. engages in the distribution of electricity in South-Middle region of Peru. It also undertakes electrical transformation substation; lines of transmission; network of medium and low voltage; public lightning system; civil works; and other projects. The company was formerly known as Regional Public Electricity Service Sur Medio SAA - Electro Sur Medio and changed its name to Electro Dunas S.A.A. in November 2009. Electro Dunas S.A.A. was incorporated in 1912 and is based in Ica, Peru.</t>
  </si>
  <si>
    <t>Electro Sur Este S.A.A. (BVL:ESUREBC1)</t>
  </si>
  <si>
    <t>Electro Sur Este S.A.A.</t>
  </si>
  <si>
    <t>ESUREBC1</t>
  </si>
  <si>
    <t>Electro Sur Este S.A.A. engages in the distribution of electricity in Peru. The company has operations in the regions of Cusco, Apurimac, and Madre de Dios, as well as district of Cayarani and province of Cayarani in the Arequipa region. Electro Sur Este S.A.A. was incorporated in 1983 and is based in Cusco, Peru.</t>
  </si>
  <si>
    <t>Embotelladora Andina S.A. (SNSE:ANDINA.B)</t>
  </si>
  <si>
    <t>Embotelladora Andina S.A.</t>
  </si>
  <si>
    <t>ANDINA.B</t>
  </si>
  <si>
    <t>Embotelladora Andina S.A., together with its subsidiaries, produces, bottles, commercializes, and distributes Coca-Cola trademark beverages in Chile, Brazil, Argentina, and Paraguay. It offers fruit juices, other fruit-flavored beverages, sport drinks, flavored waters, and mineral and purified water; iced tea and matte beverages; seed-based beverages; energy drinks; pre-mixed cocktails; and polyethylene terephthalate (PET) bottles and preforms, returnable PET bottles, cases, and plastic caps. The company also distributes alcoholic beverages under the Campari, Aperol, Sagatiba, Dreher, Old Eight, Drury’S, Skyy, Bulldog, Cinzano, Cynar, Liebfraulmilch, Bickens, Espolon, Frangelico, and Wild Turkey brands; water under the labels Crystal and Crystal Flavored Water brands; ready-to-drink juices under the labels Del Valle Mais, Del Valle Frut, Del Valle 100%, and Kapo brands; energy drinks under the Monster and Reign brands; isotonic drinks under the Powerade brand; and ready-to-drink teas under the Matte Leão, Leão Ice Tea, and Guaraná Power brands; alcoholic ready-to-drink under the Jack &amp; Coke, Schweppes Mixed and Absolut Vodka &amp; Sprite; sparkling wine, spirits, wine, cider, and other alcoholic products; confectionery under the Mentos and Frutalle; ice cream and other frozen products under the Guallarauco brand; and beer under the Therezópolis, Estrella Galicia, Cerpa, and Tijuca brands. It offers its products primarily through small retailers, restaurants and bars, supermarkets, and wholesale distributors. Embotelladora Andina S.A. was incorporated in 1946 and is headquartered in Santiago, Chile.</t>
  </si>
  <si>
    <t>Empresa Agraria Azucarera Andahuasi S.A.A. (BVL:ANDAHUC1)</t>
  </si>
  <si>
    <t>Empresa Agraria Azucarera Andahuasi S.A.A.</t>
  </si>
  <si>
    <t>ANDAHUC1</t>
  </si>
  <si>
    <t>Empresa Agraria Azucarera Andahuasi S.A.A. engages in sowing, cultivation, and marketing of sugarcane. The company was formerly known as Cooperativa Agraria Azucarera Andahuasi Ltda. and changed its name to Empresa Agraria Azucarera Andahuasi S.A.A. in December 1996. The company was founded in 1970 and is based in Huacho, Peru.</t>
  </si>
  <si>
    <t>Empresa Agrícola San Juan S.A. (BVL:ASJUANC1)</t>
  </si>
  <si>
    <t>Empresa Agrícola San Juan S.A.</t>
  </si>
  <si>
    <t>ASJUANC1</t>
  </si>
  <si>
    <t>Empresa Agrícola San Juan S.A. engages in the cultivation, harvesting, and export of table grapes primarily in Peru. It also cultivates avocado and others. In addition, the company provides red globe, crimson, thompson, sweet globe, and sweet sapphire. The company was incorporated in 1998 and is based in Lambayeque, Peru. Empresa Agrícola San Juan S.A. is a subsidiary of Corporacion Perhusa S.A.</t>
  </si>
  <si>
    <t>Empresa Agroindustrial Pomalca S.A.A. (BVL:POMALCC1)</t>
  </si>
  <si>
    <t>Empresa Agroindustrial Pomalca S.A.A.</t>
  </si>
  <si>
    <t>POMALCC1</t>
  </si>
  <si>
    <t>Empresa Agroindustrial Pomalca S.A.A. produces and sells sugar in Peru. It offers sugar derivative products, such as molasses. The company also provides third-party sugarcane milling services, real estate and other products. Empresa Agroindustrial Pomalca S.A.A. was incorporated in 1993 and is based in Chiclayo, Peru.</t>
  </si>
  <si>
    <t>Empresa Agroindustrial Tuman S.A.A. (BVL:TUMANC1)</t>
  </si>
  <si>
    <t>Empresa Agroindustrial Tuman S.A.A.</t>
  </si>
  <si>
    <t>TUMANC1</t>
  </si>
  <si>
    <t>Empresa Agroindustrial Tuman S.A.A. engages in the cultivation, agro-industrial transformation, and commercialization of sugar cane and other agricultural products in Peru. It offers white sugar, refined sugar, and other by-products, such as sugar cane pulp. The company was formerly known as Cooperativa Agraria Azucarera Tumán. and changed its name to Empresa Agroindustrial Tuman S.A.A. in 1996. Empresa Agroindustrial Tuman S.A.A. is based in Pueblo Libre, Peru.</t>
  </si>
  <si>
    <t>Empresa Azucarera el Ingenio, S.A. (BVL:INGENIC1)</t>
  </si>
  <si>
    <t>Empresa Azucarera el Ingenio, S.A.</t>
  </si>
  <si>
    <t>INGENIC1</t>
  </si>
  <si>
    <t>Empresa Azucarera el Ingenio, S.A. engages in sowing, cultivation, and harvesting of sugarcane in Peru. The company was formerly known as Cooperativa Agraria de Producción El Ingenio Ltda. No.42. and changed its name to Empresa Azucarera El Ingenio S.A. in November 1992. The company was founded in 1971 and is based in Huaura, Peru. Empresa Azucarera el Ingenio, S.A. operates as a subsidiary of Consorcio Alcoholero del Norte S.A.</t>
  </si>
  <si>
    <t>Empresa Constructora Moller y Pérez Cotapos S.A. (SNSE:MOLLER)</t>
  </si>
  <si>
    <t>Empresa Constructora Moller y Pérez Cotapos S.A.</t>
  </si>
  <si>
    <t>MOLLER</t>
  </si>
  <si>
    <t>Empresa Constructora Moller y Pérez Cotapos S.A., together with its subsidiaries, engages in the development and construction businesses in Chile. The company operates in two segments, Real Estate and Construction for Third Parties and Industrial Contractors. It develops and sells houses and apartments under the Moller &amp; Pérez-Cotapos brand; and constructs hospitals, clinics, and centers. The company was founded in 1961 and is based in Vitacura, Chile. Empresa Constructora Moller y Pérez Cotapos S.A. is a subsidiary of Inversiones 957 Spa.</t>
  </si>
  <si>
    <t>Empresa de Telecomunicaciones de Bogotá S.A. E.S.P. (BVC:ETB)</t>
  </si>
  <si>
    <t>Empresa de Telecomunicaciones de Bogotá S.A. E.S.P.</t>
  </si>
  <si>
    <t>ETB</t>
  </si>
  <si>
    <t>Integrated Telecommunication Services</t>
  </si>
  <si>
    <t>Empresa de Telecomunicaciones de Bogotá S.A. E.S.P., operates as a telecommunication network company in Colombia. It is involved in the provision of service local telephone, long distance, and value added, including internet and broadband services; mobile, carrier, interconnection, transport and connectivity, public telephony, satellite, and telephony services; and television services. The company was founded in 1884 and is based in Bogotá, Colombia.</t>
  </si>
  <si>
    <t>Empresa Editora El Comercio S.A. (BVL:ELCOMEI1)</t>
  </si>
  <si>
    <t>Empresa Editora El Comercio S.A.</t>
  </si>
  <si>
    <t>ELCOMEI1</t>
  </si>
  <si>
    <t>Publishing</t>
  </si>
  <si>
    <t>Empresa Editora El Comercio S.A., together with its subsidiaries, engages in publishing and distribution of newspapers in Peru. The company produces and markets cardboard folding packages, self-adhesive labels; printing of magazines, catalogs, and books. It also engages in multimedia, flexographic, and video related services. In addition, the company is involved in radio broadcasting and telecommunications services, including advertising space through various channels. Empresa Editora El Comercio S.A. was founded in 1839 and is based in Lima, Peru.</t>
  </si>
  <si>
    <t>Empresa Eléctrica de Magallanes S.A. (SNSE:EDELMAG)</t>
  </si>
  <si>
    <t>Empresa Eléctrica de Magallanes S.A.</t>
  </si>
  <si>
    <t>EDELMAG</t>
  </si>
  <si>
    <t>Empresa Eléctrica de Magallanes S.A. engages in the generation, transmission, distribution, and supply of electricity in the Magallanes Region and Chilean Antarctica. The company operates thermal generating plants with capacity of 121.3 MW; and total energy of 351.7 GWh. Empresa Eléctrica de Magallanes S.A. was founded in 1897 and is based in Punta Arenas, Chile. Empresa Eléctrica de Magallanes S.A. is a subsidiary of CGE Magallanes S.A.</t>
  </si>
  <si>
    <t>Empresa Eléctrica Pehuenche S.A. (SNSE:PEHUENCHE)</t>
  </si>
  <si>
    <t>Empresa Eléctrica Pehuenche S.A.</t>
  </si>
  <si>
    <t>PEHUENCHE</t>
  </si>
  <si>
    <t>Empresa Eléctrica Pehuenche S.A. engages in the electrical energy, transmission, distribution, and supply of electrical energy in Chile. As of December 31, 2025, it has a total net capacity of 8,904 MW comprising 3,666 MW hydroelectric generation units; 1,965 MW gas or oil-fired thermal power plants; 2,084 MW solar plants; 903 MW wind generation units; 83 MW geothermal capacity; and 203 MW energy storage systems. The company was incorporated in 1986 and is based in Santiago, Chile. Empresa Eléctrica Pehuenche S.A. is a subsidiary of Enel Generación Chile S.A.</t>
  </si>
  <si>
    <t>Empresa Nacional de Telecomunicaciones S.A. (SNSE:ENTEL)</t>
  </si>
  <si>
    <t>Empresa Nacional de Telecomunicaciones S.A.</t>
  </si>
  <si>
    <t>ENTEL</t>
  </si>
  <si>
    <t>Empresa Nacional de Telecomunicaciones S.A. operates as a telecommunications company in Chile and Peru. It offers mobile telecommunications services, including voice, value added, broadband, and mobile Internet services. The company also provides fixed network services, such as data network, local telephony, internet access, long-distance public telephony, information technology services, digital and cybersecurity, network rental, and wholesale traffic businesses. It serves individuals, businesses, and large corporations. The company was incorporated in 1964 and is based in Santiago, Chile. Empresa Nacional de Telecomunicaciones S.A. operates as a subsidiary of Almendral S.A.</t>
  </si>
  <si>
    <t>Empresa Regional de Servicio Público de Electricidad Electro Norte Medio S.A. (BVL:HIDRA2C1)</t>
  </si>
  <si>
    <t>Empresa Regional de Servicio Público de Electricidad Electro Norte Medio S.A.</t>
  </si>
  <si>
    <t>HIDRA2C1</t>
  </si>
  <si>
    <t>Empresa Regional de Servicio Público de Electricidad Electro Norte Medio S.A. distributes and markets electric energy in Peru. It also carries out sub-transmission and electricity generation activities; provides electrical meter contrast consulting services; and designs, executes study or work related to electrical activities. The company was incorporated in 1946 and is based in Trujillo, Peru. Empresa Regional de Servicio Público de Electricidad Electro Norte Medio S.A. operates as a subsidiary of Fondo Nacional de Financiamiento de la Actividad Empresarial del Estado.</t>
  </si>
  <si>
    <t>Empresa Siderúrgica del Perú S.A.A. (BVL:SIDERC1)</t>
  </si>
  <si>
    <t>Empresa Siderúrgica del Perú S.A.A.</t>
  </si>
  <si>
    <t>SIDERC1</t>
  </si>
  <si>
    <t>Empresa Siderúrgica del Perú S.A.A. produces and sells steel products in Peru and internationally. The company offers structural steel, wires, sewers, structural angles, mineral grinding bars, steel balls for mineral grinding, structural channels, abrasion resistant steel, construction nails, mechanical connectors, enabled iron, construction iron, railway guards, electro welded mesh, structural profiles, reservoirs, galvanized pipes, LAC tubes, and LAF tubes. It also provides courses in metal carpentry, civil construction, road infrastructure, and mining. The company was founded in 1956 and is based in San Isidro, Peru. Empresa Siderúrgica del Perú S.A.A. is a subsidiary of Gerdau S.A.</t>
  </si>
  <si>
    <t>Empresas AquaChile S.A. (SNSE:AQUACHILE)</t>
  </si>
  <si>
    <t>Empresas AquaChile S.A.</t>
  </si>
  <si>
    <t>AQUACHILE</t>
  </si>
  <si>
    <t>Empresas AquaChile S.A., a food company, produces, processes, and markets salmon products in Chile, the United States, China, Japan, Europe, and Latin America. It offers its products under the Aqua and Verlasso brands. The company was incorporated in 1979 and is based in Puerto Montt, Chile. Empresas AquaChile S.A. is a subsidiary of AGROSUPER S.A.</t>
  </si>
  <si>
    <t>Empresas CMPC S.A. (SNSE:CMPC)</t>
  </si>
  <si>
    <t>Empresas CMPC S.A.</t>
  </si>
  <si>
    <t>CMPC</t>
  </si>
  <si>
    <t>Paper Products</t>
  </si>
  <si>
    <t>Empresas CMPC S.A. engages in the production and sale of pulp and wood products in Chile and internationally. It operates through Pulp, Biopackaging, and Softys segments. The Pulp segment produces and markets pulp, forestry, and lumber products to the industrial pulp mills, remanufactured products, and plywood plants. This segment also offers sawn lumber, remanufactured products, and plywood sheets, as well as owns forest plantations, primarily pine and eucalyptus. The Biopackaging segment provides elaborated paper products, such as bags or industrial sacks, as well as molded pulp trays, and corrugation and corrugated cardboard boxes; manufactures and retails bags; and distributes papers. The Softys segment offers tissue products, such as toilet papers, paper towels, paper napkins, and facial tissues; sanitary products comprising baby diapers, wipes, adult diapers, and sanitary napkins; and specialized hygiene products for consumption in institutions and public places. This segment sells its products through supermarkets, pharmacies, and distributors under the Elite, Confort, Nova, Higienol, Sussex, Babysec, Cotidian, Ladysoft, Duetto, Cotton, Deluxe, Cremer, PomPom, and other brand names. The company was incorporated in 1920 and is headquartered in Santiago, Chile.</t>
  </si>
  <si>
    <t>Empresas Copec S.A. (SNSE:COPEC)</t>
  </si>
  <si>
    <t>Empresas Copec S.A.</t>
  </si>
  <si>
    <t>COPEC</t>
  </si>
  <si>
    <t>Oil and Gas Refining and Marketing</t>
  </si>
  <si>
    <t>Empresas Copec S.A., together with its subsidiaries, operates in the natural resources and energy sectors in Chile and internationally. The company operates through Celulosa Arauco y Constitución S.A., Copec S.A., Abastible S.A., Sociedad Nacional de Oleoductos S.A., and Pesquera Iquique-Guanaye S.A. segments. It offers electric charging services, renewable energy, and energy storage and efficiency solutions; and operates service stations and convenience stores. The company also distributes liquid fuels, lubricants, liquefied gas, and natural gas; produces and sells kraft pulps, panels, and sawn timbers for the paper, construction, packaging, and furniture industries; transports gasoline, kerosene and diesel, and liquefied petroleum gas; and produces fishmeal, fish oil, and canned and frozen mussels. In addition, it engages in the forestry, fishing, and mining businesses; sale of beans, rice, chickpeas, and lentils under the San José brand; distribution of general mills’ products and processed avocado pears; investment in electromobility and start-ups involving energy, mobility, convenience, and other projects; and electricity generation and distribution from renewable energies. It exports its products to Asia and America. The company was incorporated in 1934 and is based in Santiago, Chile. Empresas Copec S.A. is a subsidiary of AntarChile S.A.</t>
  </si>
  <si>
    <t>Empresas Gasco S.A. (SNSE:GASCO)</t>
  </si>
  <si>
    <t>Empresas Gasco S.A.</t>
  </si>
  <si>
    <t>GASCO</t>
  </si>
  <si>
    <t>Gas Utilities</t>
  </si>
  <si>
    <t>Empresas Gasco S.A. provides energy solutions based on liquified gas in Chile and internationally. It operates through Chile Energy Solutions, International Business Energy Solutions, and Procurement segments. The company distributes and commercializes liquefied gas and liquefied natural gas to residential, commercial, industrial, and real estate customers; distributes natural gas under the concession regime; and develops and maintains photovoltaic solar energy and gas-fired power generation projects. The company was founded in 1856 and is based in Santiago, Chile.</t>
  </si>
  <si>
    <t>Empresas Hites S.A. (SNSE:HITES)</t>
  </si>
  <si>
    <t>Empresas Hites S.A.</t>
  </si>
  <si>
    <t>HITES</t>
  </si>
  <si>
    <t>Empresas Hites S.A. engages in the retail business in Chile. It is involved in the retail sale of various clothing, footwear, accessories, electronics, sporting goods, furniture, and household items through its multi-stores. It is also involved in the financial business for granting direct credits to customers through sales in its multi-stores and internet channel. The company was incorporated in 2000 and is based in Santiago, Chile.</t>
  </si>
  <si>
    <t>Empresas Iansa S.A. (SNSE:IANSA)</t>
  </si>
  <si>
    <t>Empresas Iansa S.A.</t>
  </si>
  <si>
    <t>IANSA</t>
  </si>
  <si>
    <t>Empresas Iansa S.A. manufactures and markets various food products in Chile and internationally. It offers sugar, sweeteners, delicacies, expanded cereals, premium juices and pet foods under Iansa sugar, Iansa Zero K, Iansa Agro, Tanmaya, Fellness, Cannes, and Biomaster brand name; sugar, petfood cossette, molasses, concentrated juices, fruit and vegetable pulps, tomato paste, and food ingredients under Industrial, patagoniafresh, and Icatom brand name; and beets, tomatoes, seedlings, wheat and other crops under Agricultural Supplies, Agricultural Production, Animal Nutrition brand name. Empresas Iansa S.A. was incorporated in 1952 and is based in Santiago, Chile. Empresas Iansa S.A. is a subsidiary of ED&amp;F Man Holdings Limited.</t>
  </si>
  <si>
    <t>Empresas Lipigas S.A. (SNSE:LIPIGAS)</t>
  </si>
  <si>
    <t>Empresas Lipigas S.A.</t>
  </si>
  <si>
    <t>LIPIGAS</t>
  </si>
  <si>
    <t>Oil and Gas Storage and Transportation</t>
  </si>
  <si>
    <t>Empresas Lipigas S.A. provides energy solutions through the marketing, distribution, and sale of liquefied petroleum gas (LPG), natural gas (NG), liquefied natural gas (LNG), and electricity for residential, commercial, and industrial use in Chile, Colombia, Peru, and Ecuador. The company engages in the commercialization and distribution of LPG through cylinders and bulk. It also provides compressed natural gas for vehicles and industrial clients; and natural gas based electric energy. Empresas Lipigas S.A. was founded in 1950 and is based in Las Condes, Chile.</t>
  </si>
  <si>
    <t>Empresas Tricot S.A. (SNSE:TRICOT)</t>
  </si>
  <si>
    <t>Empresas Tricot S.A.</t>
  </si>
  <si>
    <t>TRICOT</t>
  </si>
  <si>
    <t>Apparel Retail</t>
  </si>
  <si>
    <t>Empresas Tricot S.A. engages in the sale of clothing and fashion accessories in Chile. The company offers women’s, men’s, and children’s t-shirts, blouses, sweaters and vests, sweatshirts, pants, jeans, jackets, skirts, shorts, rompers, sports and maternal products, pajamas, nightshirts, slippers, robes, swimwear, jackets, formal suits, divers, and underwear products. It also provides accessories, such as hair, beauty and personal care, caps and hats, scarves and handkerchiefs, pareos, glasses, belts, wallets, backpacks and bags, jewelry, ties, and footwear products. The company was founded in 1952 and is headquartered in Macul, Chile. Empresas Tricot S.A. is a subsidiary of Inversiones Retail Chile S.A.</t>
  </si>
  <si>
    <t>Enaex S.A. (SNSE:ENAEX)</t>
  </si>
  <si>
    <t>Enaex S.A.</t>
  </si>
  <si>
    <t>ENAEX</t>
  </si>
  <si>
    <t>Commodity Chemicals</t>
  </si>
  <si>
    <t>Chemicals</t>
  </si>
  <si>
    <t>Enaex S.A., together its subsidiaries, produces and sells explosives in Chile, Argentina, Peru, Brazil, South Africa, Australia, and internationally. The company offers ammonium nitrate; non-explosive fracturer; bulk explosives, including heavy anfo pumpable and auger, pumpable emulsions with small diameter, and aquagels; emulsions and boosters; and initiation systems, such as conventional and electronic detonators, detonating cord, non-electronic initiation system, and accessories. It also provides open pit; underground; and technical mining services. In addition, the company offers courses that cover drill and blast processes; Enaex Academy, a knowledge management system; blasting and rock fragmentation services; and virtual reality training. Enaex S.A. was incorporated in 1920 and is headquartered in Las Condes, Chile. Enaex S.A. is a subsidiary of Sigdo Koppers S.A.</t>
  </si>
  <si>
    <t>Enel Américas S.A. (SNSE:ENELAM)</t>
  </si>
  <si>
    <t>Enel Américas S.A.</t>
  </si>
  <si>
    <t>ENELAM</t>
  </si>
  <si>
    <t>Enel Américas S.A., together with its subsidiaries, generates, transmits, and distributes electricity in Brazil, Colombia, Central America, Argentina. It operates through Generation &amp; Transmission, and Distribution segments. The company generates electricity from hydro, wind, solar, and thermal plants. As of September 30, 2025, it had 13.5 GW megawatts of installed capacity. The company was formerly known as Enersis Américas S.A. and changed its name to Enel Américas S.A. in December 2016. Enel Américas S.A. was founded in 1889 and is based in Santiago, Chile. Enel Américas S.A. operates as a subsidiary of Enel SpA.</t>
  </si>
  <si>
    <t>Enel Chile S.A. (SNSE:ENELCHILE)</t>
  </si>
  <si>
    <t>Enel Chile S.A.</t>
  </si>
  <si>
    <t>ENELCHILE</t>
  </si>
  <si>
    <t>Enel Chile S.A., together with its subsidiaries, engages in the exploration, development, operation, generation, distribution, transmission, transformation, and sale of electricity in Chile and internationally. It operates in two segments, Generation and Distribution and Networks. The company generates and sells energy from renewable sources, including wind, hydroelectric, solar photovoltaic, and geothermal power, as well as energy storage systems; and transports and sells fuels. It is also involved in consulting services; financial assets investments; and civil and hydraulic engineering works. The company was formerly known as Enersis Chile S.A. and changed its name to Enel Chile S.A. in October 2016. Enel Chile S.A. was incorporated in 2016 and is based in Santiago, Chile. The company operates as a subsidiary of Enel SpA.</t>
  </si>
  <si>
    <t>Enel Distribucion Chile S.A. (SNSE:ENELDXCH)</t>
  </si>
  <si>
    <t>Enel Distribucion Chile S.A.</t>
  </si>
  <si>
    <t>ENELDXCH</t>
  </si>
  <si>
    <t>Enel Distribucion Chile S.A. distributes electricity in Chile. It distributes electricity across 33 communes with concession area covering 2,105 square kilometers in the Metropolitan region. The company was formerly known as Chilectra S.A. and changed its name to Enel Distribucion Chile S.A. in October 2016. Enel Distribucion Chile S.A. was founded in 1996 and is based in Santiago, Chile. Enel Distribucion Chile S.A. operates as a subsidiary of Enel Chile S.A.</t>
  </si>
  <si>
    <t>Enel Generación Chile S.A. (SNSE:ENELGXCH)</t>
  </si>
  <si>
    <t>Enel Generación Chile S.A.</t>
  </si>
  <si>
    <t>ENELGXCH</t>
  </si>
  <si>
    <t>Enel Generación Chile S.A. engages in the generation, transmission, and distribution of energy in Chile. It generates electricity through hydro, thermal, and wind power sources. The company had 5,478 megawatts of installed capacity and 108 generation units. It supplies electricity to distribution and other generation companies. The company was formerly known as Empresa Nacional de Electricidad S.A. and changed its name to Enel Generación Chile S.A. in November 2016. The company was incorporated in 1943 and is headquartered in Santiago, Chile. Enel Generación Chile S.A. operates as a subsidiary of Enel Chile S.A.</t>
  </si>
  <si>
    <t>Enel Generacion Piura S.A. (BVL:EGEPIBC1)</t>
  </si>
  <si>
    <t>Enel Generacion Piura S.A.</t>
  </si>
  <si>
    <t>EGEPIBC1</t>
  </si>
  <si>
    <t>Multi-Utilities</t>
  </si>
  <si>
    <t>Enel Generacion Piura S.A., an energy company, generates and markets electricity in Peru. The company generates electricity from thermal, hydro, solar, and wind resources, as well as involved in the natural gas business. The company was formerly known as Empresa Electrica de Piura S.A. and changed its name to Enel Generacion Piura S.A. in October 2016. The company was incorporated in 1995 and is based in Lima, Peru. Enel Generacion Piura S.A. is a subsidiary of Enel Perú S.A.C.</t>
  </si>
  <si>
    <t>Energía de Casablanca S.A. (SNSE:CASABLANCA)</t>
  </si>
  <si>
    <t>Energía de Casablanca S.A.</t>
  </si>
  <si>
    <t>CASABLANCA</t>
  </si>
  <si>
    <t>Energía de Casablanca S.A. engages in the distribution of electricity in Chile. The company was founded in 1960 and is headquartered in Casablanca, Chile. Energía de Casablanca S.A. is a subsidiary of Chilquinta Energia SA.</t>
  </si>
  <si>
    <t>Energía del Pacífico S.A. (BVL:ENPACII1)</t>
  </si>
  <si>
    <t>Energía del Pacífico S.A.</t>
  </si>
  <si>
    <t>ENPACII1</t>
  </si>
  <si>
    <t>Energía del Pacífico S.A. engages in the generation and transmission of electricity in Peru. The company generates electricity through natural gas. It also operates a marine/LNG regasification terminal, as well as a transmission line. The company was incorporated in 2011 and is based in Lima, Peru. Energía del Pacífico S.A. is a subsidiary of Quimpac Corp SAC.</t>
  </si>
  <si>
    <t>Energía Latina S.A. (SNSE:ENLASA)</t>
  </si>
  <si>
    <t>Energía Latina S.A.</t>
  </si>
  <si>
    <t>ENLASA</t>
  </si>
  <si>
    <t>Energía Latina S.A. engages in the generation and sale of electricity in Chile. It operates energy storage solutions and distribution and generation of renewable energy. The company was incorporated in 2005 and is based in Vitacura, Chile.</t>
  </si>
  <si>
    <t>Engie Energia Chile S.A. (SNSE:ECL)</t>
  </si>
  <si>
    <t>Engie Energia Chile S.A.</t>
  </si>
  <si>
    <t>ECL</t>
  </si>
  <si>
    <t>Engie Energia Chile S.A. engages in the generation, transmission, and supply of electricity primarily in Chile and Argentina. The company transports natural gas and offers energy solutions to mining and industrial customers. It also operates solar, wind, thermal, and hydroelectric power plants with an installed capacity of 2,869 MW. The company was formerly known as E-CL S.A. and changed its name to Engie Energia Chile S.A. in June 2016. The company was founded in 1981 and is based in Las Condes, Chile. Engie Energia Chile S.A. operates as a subsidiary of ENGIE Austral S.A.</t>
  </si>
  <si>
    <t>Engie Energía Perú S.A. (BVL:ENGIEC1)</t>
  </si>
  <si>
    <t>Engie Energía Perú S.A.</t>
  </si>
  <si>
    <t>ENGIEC1</t>
  </si>
  <si>
    <t>Engie Energía Perú S.A. engages in the electricity generation, transmission, and distribution activities in Peru. The company generates electricity from various sources, such as water, natural gas, and renewable energy. It has an installed capacity of 2,694 MW and 16 transmission lines from 10 power generation plants, which include four thermoelectric plants, two hydroelectric plants, and one solar plant. In addition, the company distributes electrical power through transmission lines, as well as offers customer service. The company was formerly known as EnerSur S.A. and changed its name to Engie Energía Perú S.A. in March 2016. The company was incorporated in 1996 and is based in Lima, Peru. Engie Energía Perú S.A. operates as a subsidiary of International Power S.A.</t>
  </si>
  <si>
    <t>Enjoy S.A. (SNSE:ENJOY)</t>
  </si>
  <si>
    <t>Enjoy S.A.</t>
  </si>
  <si>
    <t>ENJOY</t>
  </si>
  <si>
    <t>Casinos and Gaming</t>
  </si>
  <si>
    <t>Enjoy S.A. operates gaming casinos, hotels, nightclubs, restaurants, event venues, and shows in Chile and internationally. The company operates through Gaming, Non-Gaming, and Real Estate segments. It engages in the marketing, leasing, importing, and exporting of slot machines and their accessories; real estate agency business; and investment and business agencies, as well as rentals business. It is also involved in the provision of consulting, management, corporate back-office, and operational services, as well as sells food and beverages. Enjoy S.A. was founded in 1975 and is based in Santiago, Chile. Enjoy S.A. is in reorganization.</t>
  </si>
  <si>
    <t>Enka de Colombia S.A. (BVC:ENKA)</t>
  </si>
  <si>
    <t>Enka de Colombia S.A.</t>
  </si>
  <si>
    <t>ENKA</t>
  </si>
  <si>
    <t>Enka de Colombia S.A. manufactures and sells resins and fibers in North America, Central America, South America, and Europe. The company offers nylon tire cord fabrics for reinforcement in automobile tire applications; high tenacity yarns and twisted yarns; and products made from recycled PET bottles under the EKO brand. It also produces and sells synthetic polyester and polyamide (nylon) fibers, filaments and yarns, polyester and polyamide (nylon) polymers, and polyester and polyamide (nylon) and recycling of PET and polyolefins. It serves chemical, tire, textile, plastics, beverages, and other industries. Enka de Colombia S.A. was founded in 1964 and is based in Medellín, Colombia.</t>
  </si>
  <si>
    <t>Envases del Pacifico S.A. (SNSE:EDELPA)</t>
  </si>
  <si>
    <t>Envases del Pacifico S.A.</t>
  </si>
  <si>
    <t>EDELPA</t>
  </si>
  <si>
    <t>Envases del Pacifico S.A., together with its subsidiaries, engages in the production and sale of flexible packaging products in Chile and internationally. The company offers pre-formed containers, structures, labels and caps, and specialty products. It exports its products. The company was founded in 1967 and is based in Santiago, Chile. Envases del Pacifico S.A. is a subsidiary of Inversiones Cabildo S.A.</t>
  </si>
  <si>
    <t>Essbio S.A. (SNSE:ESSBIO.C)</t>
  </si>
  <si>
    <t>Essbio S.A.</t>
  </si>
  <si>
    <t>ESSBIO.C</t>
  </si>
  <si>
    <t>Essbio S.A. primarily engages in the provision of sanitation services in Chile. It is involved in the construction and operation of public services for the production and distribution of drinking water; collection and disposal of wastewater; and treatment of liquid industrial waste. The company also provides laboratory services, chemical, biological, and other analysis. In addition, it is involved in design, construction, and operation of drinking water and sewage; study, construction, and operation of solution systems for rainwater management; provision of commercial and computer services; and investments in movable and immovable property. Essbio S.A. was incorporated in 1990 and is based in Concepción, Chile.</t>
  </si>
  <si>
    <t>Esval S.A. (SNSE:ESVAL.C)</t>
  </si>
  <si>
    <t>Esval S.A.</t>
  </si>
  <si>
    <t>ESVAL.C</t>
  </si>
  <si>
    <t>Esval S.A. produces and distributes drinking water in Chile. It also engages in the collection, treatment, disposal of wastewater and sewage, and related activities. The company was formerly known as Sociedad Inversiones OTPPB Chile III SA and changed its name to Esval S.A. in March 2013. Esval S.A. was founded in 2007 and is based in Viña del Mar, Chile.</t>
  </si>
  <si>
    <t>Euroamerica Administradora General - Fondo de Inversion Euroamerica Descuento Fund (SNSE:CFIEADSCUE)</t>
  </si>
  <si>
    <t>Euroamerica Administradora General - Fondo de Inversion Euroamerica Descuento Fu</t>
  </si>
  <si>
    <t>CFIEADSCUE</t>
  </si>
  <si>
    <t>Euroamerica Administradora General - Fondo de Inversión Euroamérica Investments (SNSE:CFIEAIDMCO)</t>
  </si>
  <si>
    <t>Euroamerica Administradora General - Fondo de Inversión Euroamérica Investments</t>
  </si>
  <si>
    <t>CFIEAIDMCO</t>
  </si>
  <si>
    <t>Euroamerica Administradora General De Fondos SA - FI Renta Fija Chile Index Fund (SNSE:CFIEARFCHA)</t>
  </si>
  <si>
    <t>Euroamerica Administradora General De Fondos SA - FI Renta Fija Chile Index Fund</t>
  </si>
  <si>
    <t>CFIEARFCHA</t>
  </si>
  <si>
    <t>Euroamerica Administradora General De Fondos SA - Fondo de Inversion EuroAmerica Property Fund (SNSE:CFIEAPRO.I)</t>
  </si>
  <si>
    <t>Euroamerica Administradora General De Fondos SA - Fondo de Inversion EuroAmerica</t>
  </si>
  <si>
    <t>CFIEAPRO.I</t>
  </si>
  <si>
    <t>Euroamerica Administradora General De Fondos SA - Fondo Mutuo EuroAmerica Chile Acciones Fund (SNSE:CFMEURC18D)</t>
  </si>
  <si>
    <t>Euroamerica Administradora General De Fondos SA - Fondo Mutuo EuroAmerica Chile</t>
  </si>
  <si>
    <t>CFMEURC18D</t>
  </si>
  <si>
    <t>Fabrica Nacional de Acumuladores ETNA S.A. (BVL:ETNAI1)</t>
  </si>
  <si>
    <t>Fabrica Nacional de Acumuladores ETNA S.A.</t>
  </si>
  <si>
    <t>ETNAI1</t>
  </si>
  <si>
    <t>Electrical Components and Equipment: Light</t>
  </si>
  <si>
    <t>Fabrica Nacional de Acumuladores ETNA S.A. manufactures and distributes electric accumulators and batteries in Peru. The company also exports its products. Fabrica Nacional de Acumuladores ETNA S.A. was founded in 1933 and is based in Lima, Peru.</t>
  </si>
  <si>
    <t>Fábrica Peruana Eternit S.A. (BVL:ETERNII1)</t>
  </si>
  <si>
    <t>Fábrica Peruana Eternit S.A.</t>
  </si>
  <si>
    <t>ETERNII1</t>
  </si>
  <si>
    <t>Fábrica Peruana Eternit S.A. manufactures and markets products for the construction industry. It offers fiber cement, gypsum, and plaster base, as well as related technical support services. The company also provides corrugated roofs, Andean tiles, fiber cement plates, tanks, cisterns, polyethylene biodigesters and tanks, and ridges. It serves residential, multifamily, industrial, and commercial sectors. The company was incorporated in 1940 and is based in Lima, Peru. Fábrica Peruana Eternit S.A. is a subsidiary of Etex Peru S.A.C.</t>
  </si>
  <si>
    <t>Fabricato S.A. (BVC:FABRICATO)</t>
  </si>
  <si>
    <t>Fabricato S.A.</t>
  </si>
  <si>
    <t>FABRICATO</t>
  </si>
  <si>
    <t>Fabricato S.A. engages in the manufacture and sale of textile products in Colombia. The company produces denim, drills, and poplins; knit products; and non-woven fabrics, as well as offers complete package, printing, and personalization services. It also engages in the real estate development business. In addition, the company offers its products online. It serves fashion, health, institutional, and defense sector. Fabricato S.A. was founded in 1920 and is based in Bello, Colombia.</t>
  </si>
  <si>
    <t>Falabella S.A. (SNSE:FALABELLA)</t>
  </si>
  <si>
    <t>Falabella S.A.</t>
  </si>
  <si>
    <t>FALABELLA</t>
  </si>
  <si>
    <t>Falabella S.A. engages in the retail sale of clothing, accessories, household, electronics, beauty, and other products in Chile, Argentina, Peru, Colombia, Uruguay, Mexico, and Brazil. It operates through Home Improvement, Real Estate, Supermarkets, and Other Businesses segments. The company operates multi-specialist stores, which sells various clothing and accessories, as well as products for the home, electronics, beauty products, and others under the Falabella brand; hypermarkets and supermarkets format that offers food and other non-food products under the Tottus brand. It also sells construction and home improvement products, including construction materials, hardware, tools, kitchen accessories, bathroom, garden, and decoration products under the Sodimac brand. In addition, the company engages in the construction and leasing of commercial centers; and provision of financial services, such as CMR, insurance brokers, and banking, as well as manufacturing of textiles. Further, it provides digital payments; and involved in online business superstore, as well as operates department stores; and financial retails. Falabella S.A. was founded in 1889 and is headquartered in Santiago, Chile.</t>
  </si>
  <si>
    <t>Falcom Adm General De Fondons SA - FDO Inversion Falcom Deuda Privada (SNSE:CFIFCREA.E)</t>
  </si>
  <si>
    <t>Falcom Adm General De Fondons SA - FDO Inversion Falcom Deuda Privada</t>
  </si>
  <si>
    <t>CFIFCREA.E</t>
  </si>
  <si>
    <t>Falcom Adm General De Fondons SA - Fi Falcom GTCR Private Equity Fund (SNSE:CFI.GT14AE)</t>
  </si>
  <si>
    <t>Falcom Adm General De Fondons SA - Fi Falcom GTCR Private Equity Fund</t>
  </si>
  <si>
    <t>CFI.GT14AE</t>
  </si>
  <si>
    <t>Falcom Adm General De Fondons SA - FI Falcom Portfolio Advisors MVP Private Equity - Fund (SNSE:CFI.FMVPBE)</t>
  </si>
  <si>
    <t>Falcom Adm General De Fondons SA - FI Falcom Portfolio Advisors MVP Private Equi</t>
  </si>
  <si>
    <t>CFI.FMVPBE</t>
  </si>
  <si>
    <t>Falcom Administradora General De Fondos S.A. - Fondo De Inversion Falcom Tactical Latam Equities Fun (SNSE:CFI.FALCTL)</t>
  </si>
  <si>
    <t>Falcom Administradora General De Fondos S.A. - Fondo De Inversion Falcom Tactica</t>
  </si>
  <si>
    <t>CFI.FALCTL</t>
  </si>
  <si>
    <t>Falcom Administradora General De Fondos S.A. (SNSE:CFI.GT14RE)</t>
  </si>
  <si>
    <t>Falcom Administradora General De Fondos S.A.</t>
  </si>
  <si>
    <t>CFI.GT14RE</t>
  </si>
  <si>
    <t>Falcom Administradora General De Fondos S.A.- FI Falcom Renta Inmobiliaria Fund (SNSE:CFIFRINA.E)</t>
  </si>
  <si>
    <t>Falcom Administradora General De Fondos S.A.- FI Falcom Renta Inmobiliaria Fund</t>
  </si>
  <si>
    <t>CFIFRINA.E</t>
  </si>
  <si>
    <t>Falcom Administradora General de Fondos SA  - FI Antares BDC Private Debt Fund (SNSE:CFI.FAABAE)</t>
  </si>
  <si>
    <t>Falcom Administradora General de Fondos SA  - FI Antares BDC Private Debt Fund</t>
  </si>
  <si>
    <t>CFI.FAABAE</t>
  </si>
  <si>
    <t>Falcom Administradora General de Fondos SA - FI Antares Senior Loan Fund III (SNSE:CFI.FSLFAE)</t>
  </si>
  <si>
    <t>Falcom Administradora General de Fondos SA - FI Antares Senior Loan Fund III</t>
  </si>
  <si>
    <t>CFI.FSLFAE</t>
  </si>
  <si>
    <t>Falcon ADM General De Fondos SA - Fondo De Inversion Falcom Deuda Corporativa Chile Fund (SNSE:CFIFALCDCA)</t>
  </si>
  <si>
    <t>Falcon ADM General De Fondos SA - Fondo De Inversion Falcom Deuda Corporativa Ch</t>
  </si>
  <si>
    <t>CFIFALCDCA</t>
  </si>
  <si>
    <t>Falcon ADM General De Fondos SA - Fondo De Inversion Falcom Equity Strategy Fund (SNSE:CFIFALCSCA)</t>
  </si>
  <si>
    <t>Falcon ADM General De Fondos SA - Fondo De Inversion Falcom Equity Strategy Fund</t>
  </si>
  <si>
    <t>CFIFALCSCA</t>
  </si>
  <si>
    <t>Falcon ADM General De Fondos SA - Fondo De Inversion Falcom Fixed Income Fund (SNSE:CFIFALCFIA)</t>
  </si>
  <si>
    <t>Falcon ADM General De Fondos SA - Fondo De Inversion Falcom Fixed Income Fund</t>
  </si>
  <si>
    <t>CFIFALCFIA</t>
  </si>
  <si>
    <t>Falcon ADM General De Fondos SA - Fondo De Inversion Falcom Global Strategy Fund (SNSE:CFIFALCGLA)</t>
  </si>
  <si>
    <t>Falcon ADM General De Fondos SA - Fondo De Inversion Falcom Global Strategy Fund</t>
  </si>
  <si>
    <t>CFIFALCGLA</t>
  </si>
  <si>
    <t>Falcon ADM General De Fondos SA - Fondo De Inversion Falcom Global Strategy Fund is headquartered in Chile.</t>
  </si>
  <si>
    <t>Falcon ADM General De Fondos SA - Fondo De Inversion Falcom GTCR Private Equity Fund (SNSE:CFIFGTCR.E)</t>
  </si>
  <si>
    <t>Falcon ADM General De Fondos SA - Fondo De Inversion Falcom GTCR Private Equity</t>
  </si>
  <si>
    <t>CFIFGTCR.E</t>
  </si>
  <si>
    <t>Feria de Osorno S.A. (SNSE:FERIAOSOR)</t>
  </si>
  <si>
    <t>Feria de Osorno S.A.</t>
  </si>
  <si>
    <t>FERIAOSOR</t>
  </si>
  <si>
    <t>Feria de Osorno S.A., through its subsidiaries, engages in the production, distribution, import, export, and sale of food products to farmers in Chile. The company operates in two segments, Agricultural and Investment. It is involved in the intermediation of livestock and brokerages; and markets meat and dairy products, as well as agricultural goods, vehicles, fuels, and other products. The company is involved in the real estate business. Feria de Osorno S.A. was founded in 1945 and is based in Osorno, Chile.</t>
  </si>
  <si>
    <t>Ferreycorp S.A.A. (BVL:FERREYC1)</t>
  </si>
  <si>
    <t>Ferreycorp S.A.A.</t>
  </si>
  <si>
    <t>FERREYC1</t>
  </si>
  <si>
    <t>Ferreycorp S.A.A., together with its subsidiaries, engages in the distribution of machinery, engines, equipment, spare parts, lubricants, and other goods in Peru, and Central and South America. The company is also involved in the purchase and sale of machinery, automotive, chemical equipment, and agricultural equipment, as well as related spare parts; and provision of maintenance and repair, storage, and workshop services; bulking agency; and equipment rental businesses, as well as the delivery of related services. It engages in the marketing of technology-related software and equipment, as well as operates as a representative and distributor of tires, lubricants, and safety equipment. The company was formerly known as Ferreyros S.A.A. and changed its name to Ferreycorp S.A.A. in March 2012. The company was incorporated in 1922 and is headquartered in Lima, Peru.</t>
  </si>
  <si>
    <t>Ferrocarril del Pacífico S.A. (SNSE:FEPASA)</t>
  </si>
  <si>
    <t>Ferrocarril del Pacífico S.A.</t>
  </si>
  <si>
    <t>FEPASA</t>
  </si>
  <si>
    <t>Rail Transportation</t>
  </si>
  <si>
    <t>Ferrocarril del Pacífico S.A. operates as a multimodal freight transportation solutions company in Chile. Ferrocarril del Pacífico S.A. was founded in 1993 and is headquartered in Estación Central, Chile. Ferrocarril del Pacífico S.A. operates as a subsidiary of Puerto Ventanas S.A.</t>
  </si>
  <si>
    <t>FI Activa Deuda Automotriz Peru (SNSE:CFI.LVDAFE)</t>
  </si>
  <si>
    <t>FI Activa Deuda Automotriz Peru</t>
  </si>
  <si>
    <t>CFI.LVDAFE</t>
  </si>
  <si>
    <t>Filamentos Industriales S.A. (BVL:FILAMEI1)</t>
  </si>
  <si>
    <t>Filamentos Industriales S.A.</t>
  </si>
  <si>
    <t>FILAMEI1</t>
  </si>
  <si>
    <t>Filamentos Industriales S.A. engages in the manufacture and sale of polyester and nylon yarns primarily in Peru. The company also offers viscose, cotton, polycotton, shiny yarns, and dyed polyester products. The company was incorporated in 1974 and is based in Lima, Peru.</t>
  </si>
  <si>
    <t>Financiera Confianza S.A. - Coril Renta Prime Soles 18 Fund (BVL:FICRPS18)</t>
  </si>
  <si>
    <t>Financiera Confianza S.A. - Coril Renta Prime Soles 18 Fund</t>
  </si>
  <si>
    <t>FICRPS18</t>
  </si>
  <si>
    <t>Financiera Confianza S.A. - Coril Renta Prime Soles 20 Fund (BVL:-)</t>
  </si>
  <si>
    <t>Financiera Confianza S.A. - Coril Renta Prime Soles 20 Fund</t>
  </si>
  <si>
    <t>Financiera Confianza S.A.A - Coril Renta Prime Soles 16 Closed Fund (BVL:FICRPS16)</t>
  </si>
  <si>
    <t>Financiera Confianza S.A.A - Coril Renta Prime Soles 16 Closed Fund</t>
  </si>
  <si>
    <t>FICRPS16</t>
  </si>
  <si>
    <t>Financiera Confianza S.A.A. (BVL:FCONFIC1)</t>
  </si>
  <si>
    <t>Financiera Confianza S.A.A.</t>
  </si>
  <si>
    <t>FCONFIC1</t>
  </si>
  <si>
    <t>Specialty Finance: Consumer Focused</t>
  </si>
  <si>
    <t>Specialty Finance</t>
  </si>
  <si>
    <t>Financiera Confianza S.A.A. operates as a microfinance company in Peru. It offers saving products; personal, business, and educative and agricultural credits; insurance products; and other services, such as Bim, remittance, debit card, interbank transfer, and collection services. The company was founded in 1994 and is based in Lima, Peru. Financiera Confianza S.A.A. operates as a subsidiary of Fundación BBVA para las Microfinanzas.</t>
  </si>
  <si>
    <t>Financiera Credinka S.A. (BVL:FCREDIC1)</t>
  </si>
  <si>
    <t>Financiera Credinka S.A.</t>
  </si>
  <si>
    <t>FCREDIC1</t>
  </si>
  <si>
    <t>Financiera Credinka S.A. operates as a microfinance institution in Peru. The company offers savings accounts, CTS deposits, and fixed term deposits, as well as debit cards. It also provides micro-business, consumer, and business credits; and bond letters. In addition, the company offers life micro insurance and accident protection products; and mutual fund products. The company was formerly known as Financiera Nueva Visión S.A. and changed its name to Financiera Credinka S.A. in December 2014. The company was founded in 1994 and is based in Cusco, Peru. Financiera Credinka S.A. is a subsidiary of Diviso Grupo Financiero S.A.</t>
  </si>
  <si>
    <t>Financiera ProEmpresa S.A. (BVL:FPROEMC1)</t>
  </si>
  <si>
    <t>Financiera ProEmpresa S.A.</t>
  </si>
  <si>
    <t>FPROEMC1</t>
  </si>
  <si>
    <t>Financiera ProEmpresa S.A. provides various financial products and services to micro and small enterprises in Peru. The company offers simple, scheduled, children’s, women’s, and salary savings account; CTS accounts; direct consumption, quickie, payroll deduction loan, and pro build credits; and fixed term deposits, as well as credit for business, machinery and equipment, and agricultural sectors. It also provides exchange rates, national money transfers, collection, remittances, and insurance, such as vehicular and life insurance services. Financiera ProEmpresa S.A. was founded in 1986 and is headquartered in San Borja, Peru.</t>
  </si>
  <si>
    <t>FINAsset Administradora General de Fondos S.A.- Fondo DE Inversion C2V Global Fund (SNSE:CFIC2VGLOB)</t>
  </si>
  <si>
    <t>FINAsset Administradora General de Fondos S.A.- Fondo DE Inversion C2V Global Fu</t>
  </si>
  <si>
    <t>CFIC2VGLOB</t>
  </si>
  <si>
    <t>Fondo Bursatil Global Tes Colombia Cop Gbiemid Etf (BVC:GXTESCOL)</t>
  </si>
  <si>
    <t>Fondo Bursatil Global Tes Colombia Cop Gbiemid Etf</t>
  </si>
  <si>
    <t>GXTESCOL</t>
  </si>
  <si>
    <t>Fondo Bursátil Horizons Colombia Select de S&amp;P (BVC:HCOLSEL)</t>
  </si>
  <si>
    <t>Fondo Bursátil Horizons Colombia Select de S&amp;P</t>
  </si>
  <si>
    <t>HCOLSEL</t>
  </si>
  <si>
    <t>Canada</t>
  </si>
  <si>
    <t>Fondo Bursátil Horizons Colombia Select de S&amp;P is an exchange traded fund launched by Fiduciaria Bogota S.A. It is managed by Horizons ETFs Management (Canada) Inc. It invests in the public equity markets of Colombia. The fund seeks to invest in the stocks of companies operating across diversified sectors. It invests in the stocks of large-cap companies. The fund seeks to replicate the performance of the S&amp;P Colombia Select Index, by investing in the stocks of companies as per their weightings in the index. Fondo Bursátil Horizons Colombia Select de S&amp;P was formed on May 28, 2014 and is domiciled in Colombia.</t>
  </si>
  <si>
    <t>Fondo Bursátil iShares MSCI COLCAP (BVC:ICOLCAP)</t>
  </si>
  <si>
    <t>Fondo Bursátil iShares MSCI COLCAP</t>
  </si>
  <si>
    <t>ICOLCAP</t>
  </si>
  <si>
    <t>Fondo Bursátil iShares MSCI COLCAP is an exchange traded fund launched by Cititrust-Colombia S.A. Sociedad Fiduciaria. It is managed by BlackRock Institutional Trust Company, N.A. The fund invests in the public equity markets of Colombia. It seeks to invest in the stocks of companies operating across diversified sectors. The fund invests in the stocks of companies across all market capitalizations. It seeks to replicate the performance of the COLCAP Index. Fondo Bursátil iShares MSCI COLCAP was formed on July 6, 2011 and is domiciled in Colombia.</t>
  </si>
  <si>
    <t>Fondo Bursatil Van Eck El Dorado Peru ETF (BVL:ETFPERUD)</t>
  </si>
  <si>
    <t>Fondo Bursatil Van Eck El Dorado Peru ETF</t>
  </si>
  <si>
    <t>ETFPERUD</t>
  </si>
  <si>
    <t>Fondo De Inversión - Andean Crown Working Capital Fund I (BVL:FIACWCF1)</t>
  </si>
  <si>
    <t>Fondo De Inversión - Andean Crown Working Capital Fund I</t>
  </si>
  <si>
    <t>FIACWCF1</t>
  </si>
  <si>
    <t>Fondo de Inversion Altamar Galdana Ventures II (SNSE:CFIAGIID.E)</t>
  </si>
  <si>
    <t>Fondo de Inversion Altamar Galdana Ventures II</t>
  </si>
  <si>
    <t>CFIAGIID.E</t>
  </si>
  <si>
    <t>Fondo De Inversion Altamar Secondaries Ix (SNSE:CFIASIXD.E)</t>
  </si>
  <si>
    <t>Fondo De Inversion Altamar Secondaries Ix</t>
  </si>
  <si>
    <t>CFIASIXD.E</t>
  </si>
  <si>
    <t>Fondo De Inversion Altamar X Midmarket (SNSE:CFIAXMD.E)</t>
  </si>
  <si>
    <t>Fondo De Inversion Altamar X Midmarket</t>
  </si>
  <si>
    <t>CFIAXMD.E</t>
  </si>
  <si>
    <t>Fondo De Inversion Banchile Deuda Dolar Corto Plazo (SNSE:CFIBCLATCP)</t>
  </si>
  <si>
    <t>Fondo De Inversion Banchile Deuda Dolar Corto Plazo</t>
  </si>
  <si>
    <t>CFIBCLATCP</t>
  </si>
  <si>
    <t>Fondo de Inversion Banchile Inmobiliario IX (SNSE:CFIBACH9IN)</t>
  </si>
  <si>
    <t>Fondo de Inversion Banchile Inmobiliario IX</t>
  </si>
  <si>
    <t>CFIBACH9IN</t>
  </si>
  <si>
    <t>Fondo de Inversión Banchile Rentas Inmobiliarias (SNSE:CFIBCH1REN)</t>
  </si>
  <si>
    <t>Fondo de Inversión Banchile Rentas Inmobiliarias</t>
  </si>
  <si>
    <t>CFIBCH1REN</t>
  </si>
  <si>
    <t>Fondo de Inversion Chile Blend (SNSE:CFIBCHBLEN)</t>
  </si>
  <si>
    <t>Fondo de Inversion Chile Blend</t>
  </si>
  <si>
    <t>CFIBCHBLEN</t>
  </si>
  <si>
    <t>Fondo de Inversion Chile Blend is headquartered in Santiago, Region Metropolitana (Santiago), Chile.</t>
  </si>
  <si>
    <t>Fondo de Inversión Credicorp Capital Inmobiliario - Aconcagua II (SNSE:CFICCAC2.E)</t>
  </si>
  <si>
    <t>Fondo de Inversión Credicorp Capital Inmobiliario - Aconcagua II</t>
  </si>
  <si>
    <t>CFICCAC2.E</t>
  </si>
  <si>
    <t>Fondo de Inversión Credicorp Capital RF LATAM (SNSE:CFICCLAD.E)</t>
  </si>
  <si>
    <t>Fondo de Inversión Credicorp Capital RF LATAM</t>
  </si>
  <si>
    <t>CFICCLAD.E</t>
  </si>
  <si>
    <t>Fondo de Inversión Credicorp Capital Spread Corporativo Local (SNSE:CFIIMSCLI)</t>
  </si>
  <si>
    <t>Fondo de Inversión Credicorp Capital Spread Corporativo Local</t>
  </si>
  <si>
    <t>CFIIMSCLI</t>
  </si>
  <si>
    <t>Fondo de Inversión Credicorp Capital Tierras del Sur (SNSE:CFIIMTDSUR)</t>
  </si>
  <si>
    <t>Fondo de Inversión Credicorp Capital Tierras del Sur</t>
  </si>
  <si>
    <t>CFIIMTDSUR</t>
  </si>
  <si>
    <t>Fondo De Inversion Desarrollo Inmobiliario I (SNSE:CFILVD1L.E)</t>
  </si>
  <si>
    <t>Fondo De Inversion Desarrollo Inmobiliario I</t>
  </si>
  <si>
    <t>CFILVD1L.E</t>
  </si>
  <si>
    <t>Fondo De Inversion Desarrollo Inmobiliario II (SNSE:CFILVD2L.E)</t>
  </si>
  <si>
    <t>Fondo De Inversion Desarrollo Inmobiliario II</t>
  </si>
  <si>
    <t>CFILVD2L.E</t>
  </si>
  <si>
    <t>Fondo De Inversion Desarrollo Para Renta Residencial Larrainvial - Ingevec (SNSE:CFILVRIN.O)</t>
  </si>
  <si>
    <t>Fondo De Inversion Desarrollo Para Renta Residencial Larrainvial - Ingevec</t>
  </si>
  <si>
    <t>CFILVRIN.O</t>
  </si>
  <si>
    <t>Fondo de Inversion EDR Fund Emerging Credit (SNSE:CFIBEDRA.E)</t>
  </si>
  <si>
    <t>Fondo de Inversion EDR Fund Emerging Credit</t>
  </si>
  <si>
    <t>CFIBEDRA.E</t>
  </si>
  <si>
    <t>Fondo De Inversion ETF Singular Chile Corporativo (SNSE:CFIETFCC)</t>
  </si>
  <si>
    <t>Fondo De Inversion ETF Singular Chile Corporativo</t>
  </si>
  <si>
    <t>CFIETFCC</t>
  </si>
  <si>
    <t>Fondo de Inversion ETF Singular Chile Corta Duracion (SNSE:CFIETFCD)</t>
  </si>
  <si>
    <t>Fondo de Inversion ETF Singular Chile Corta Duracion</t>
  </si>
  <si>
    <t>CFIETFCD</t>
  </si>
  <si>
    <t>Fondo De Inversion ETF Singular Chile Largo Plazo UNICA (SNSE:CFIETFLP)</t>
  </si>
  <si>
    <t>Fondo De Inversion ETF Singular Chile Largo Plazo UNICA</t>
  </si>
  <si>
    <t>CFIETFLP</t>
  </si>
  <si>
    <t>Fondo De Inversion ETF Singular Fixed Income BRL Fund (SNSE:CFI.ETFBRL)</t>
  </si>
  <si>
    <t>Fondo De Inversion ETF Singular Fixed Income BRL Fund</t>
  </si>
  <si>
    <t>CFI.ETFBRL</t>
  </si>
  <si>
    <t>Fondo De Inversion ETF Singular Fixed Income BRL Fund is headquartered in Chile.</t>
  </si>
  <si>
    <t>Fondo De Inversion ETF Singular Global Equities (SNSE:CFIETFGE)</t>
  </si>
  <si>
    <t>Fondo De Inversion ETF Singular Global Equities</t>
  </si>
  <si>
    <t>CFIETFGE</t>
  </si>
  <si>
    <t>Fondo de Inversion ETF Singular S&amp;P 500 Fund (SNSE:CFISPETF)</t>
  </si>
  <si>
    <t>Fondo de Inversion ETF Singular S&amp;P 500 Fund</t>
  </si>
  <si>
    <t>CFISPETF</t>
  </si>
  <si>
    <t>Fondo De Inversion Euroamerica Investments Deuda Global (SNSE:CFIEAIDGD)</t>
  </si>
  <si>
    <t>Fondo De Inversion Euroamerica Investments Deuda Global</t>
  </si>
  <si>
    <t>CFIEAIDGD</t>
  </si>
  <si>
    <t>Fondo de Inversion Euroamerica Investments High Yield UF (SNSE:CFIEAIHYUF)</t>
  </si>
  <si>
    <t>Fondo de Inversion Euroamerica Investments High Yield UF</t>
  </si>
  <si>
    <t>CFIEAIHYUF</t>
  </si>
  <si>
    <t>Fondo De Inversion Euroamerica Investments Renta Variable Global (SNSE:CFIEARVGD)</t>
  </si>
  <si>
    <t>Fondo De Inversion Euroamerica Investments Renta Variable Global</t>
  </si>
  <si>
    <t>CFIEARVGD</t>
  </si>
  <si>
    <t>As of June 3. 2022, Fondo De Inversion Euroamerica Investments Renta Variable Global. Fondo De Inversion Euroamerica Investments Renta Variable Global is headquartered in Las Condes, Region Metropolitana (Santiago), Chile.</t>
  </si>
  <si>
    <t>Fondo de Inversion Falcom Blackrock DLF IX (SNSE:CFIFABKB.E)</t>
  </si>
  <si>
    <t>Fondo de Inversion Falcom Blackrock DLF IX</t>
  </si>
  <si>
    <t>CFIFABKB.E</t>
  </si>
  <si>
    <t>Fondo De Inversion Falcom Tactical Chilean Equities (SNSE:CFIFALCTAC)</t>
  </si>
  <si>
    <t>Fondo De Inversion Falcom Tactical Chilean Equities</t>
  </si>
  <si>
    <t>CFIFALCTAC</t>
  </si>
  <si>
    <t>Fondo De Inversion Falcom Tactical Chilean Equities is headquartered in Chile.</t>
  </si>
  <si>
    <t>Fondo De Inversion Falcom Us Real Estate Opportunities I (SNSE:CFI.FRE1AE)</t>
  </si>
  <si>
    <t>Fondo De Inversion Falcom Us Real Estate Opportunities I</t>
  </si>
  <si>
    <t>CFI.FRE1AE</t>
  </si>
  <si>
    <t>Fondo de Inversion FYNSA Deuda Inmobiliaria (SNSE:CFIFYDIA.E)</t>
  </si>
  <si>
    <t>Fondo de Inversion FYNSA Deuda Inmobiliaria</t>
  </si>
  <si>
    <t>CFIFYDIA.E</t>
  </si>
  <si>
    <t>Fondo de Inversion Fynsa Migrante (SNSE:CFIFYNMIGC)</t>
  </si>
  <si>
    <t>Fondo de Inversion Fynsa Migrante</t>
  </si>
  <si>
    <t>CFIFYNMIGC</t>
  </si>
  <si>
    <t>Fondo De Inversion Fynsa Renta Fija Privada II (SNSE:CFIFYNDEPA)</t>
  </si>
  <si>
    <t>Fondo De Inversion Fynsa Renta Fija Privada II</t>
  </si>
  <si>
    <t>CFIFYNDEPA</t>
  </si>
  <si>
    <t>Fondo De Inversion Fynsa Renta Fija Privada Peru Fund (SNSE:CFIFYNRFPA)</t>
  </si>
  <si>
    <t>Fondo De Inversion Fynsa Renta Fija Privada Peru Fund</t>
  </si>
  <si>
    <t>CFIFYNRFPA</t>
  </si>
  <si>
    <t>Fondo de Inversión FYNSA Renta Inmobiliaria I (SNSE:CFIFYNSA1R)</t>
  </si>
  <si>
    <t>Fondo de Inversión FYNSA Renta Inmobiliaria I</t>
  </si>
  <si>
    <t>CFIFYNSA1R</t>
  </si>
  <si>
    <t>Fondo De Inversion FYNSA Upper Residencial US I (SNSE:CFI.FYNUAE)</t>
  </si>
  <si>
    <t>Fondo De Inversion FYNSA Upper Residencial US I</t>
  </si>
  <si>
    <t>CFI.FYNUAE</t>
  </si>
  <si>
    <t>Fondo De Inversion Hmc Insight Xii (SNSE:CFI.HMCIIE)</t>
  </si>
  <si>
    <t>Fondo De Inversion Hmc Insight Xii</t>
  </si>
  <si>
    <t>CFI.HMCIIE</t>
  </si>
  <si>
    <t>Fondo De Inversion IM Trust Privat (SNSE:CFIIMTPEI)</t>
  </si>
  <si>
    <t>Fondo De Inversion IM Trust Privat</t>
  </si>
  <si>
    <t>CFIIMTPEI</t>
  </si>
  <si>
    <t>Fondo de Inversion IM Trust Private Equity - PG Direct II (SNSE:CFIIMPE2.E)</t>
  </si>
  <si>
    <t>Fondo de Inversion IM Trust Private Equity - PG Direct II</t>
  </si>
  <si>
    <t>CFIIMPE2.E</t>
  </si>
  <si>
    <t>Fondo De Inversion IM Trust Private Equity - PG Secondaries II (SNSE:CFICCPGF.E)</t>
  </si>
  <si>
    <t>Fondo De Inversion IM Trust Private Equity - PG Secondaries II</t>
  </si>
  <si>
    <t>CFICCPGF.E</t>
  </si>
  <si>
    <t>Fondo De Inversion IM Trust Private Equity - PG Secondaries II is the fund of Credicorp Capital Asset Management S.A. Administradora General De Fondos</t>
  </si>
  <si>
    <t>Fondo de Inversión Independencia One Union Center (SNSE:CFIIAMCO.E)</t>
  </si>
  <si>
    <t>Fondo de Inversión Independencia One Union Center</t>
  </si>
  <si>
    <t>CFIIAMCO.E</t>
  </si>
  <si>
    <t>Fondo de Inversion Independencia Rentas Inmobiliarias (SNSE:CFINRENTAS)</t>
  </si>
  <si>
    <t>Fondo de Inversion Independencia Rentas Inmobiliarias</t>
  </si>
  <si>
    <t>CFINRENTAS</t>
  </si>
  <si>
    <t>Fondo de Inversion Independencia Rentas Inmobiliarias is a fund of Independencia S.A. Administradora de Fondos de Inversión.</t>
  </si>
  <si>
    <t>Fondo de Inversión Inmobiliaria Cimenta-Expansión (SNSE:CFINCIMENT)</t>
  </si>
  <si>
    <t>Fondo de Inversión Inmobiliaria Cimenta-Expansión</t>
  </si>
  <si>
    <t>CFINCIMENT</t>
  </si>
  <si>
    <t>Fondo de Inversión Inmobiliaria Cimenta-Expansión is a fund of Cimenta Administradora De Fondos De Inversion S.A.</t>
  </si>
  <si>
    <t>Fondo de Inversion Inmobiliaria Credicop Capital (SNSE:CFINRAICES)</t>
  </si>
  <si>
    <t>Fondo de Inversion Inmobiliaria Credicop Capital</t>
  </si>
  <si>
    <t>CFINRAICES</t>
  </si>
  <si>
    <t>Fondo de Inversion Inmobiliaria Credicop Capital is a fund of Las Américas Administradora de Fondos de Inversión Sa.</t>
  </si>
  <si>
    <t>Fondo de Inversión Inmobiliaria Las Américas-Fundacion (SNSE:CFINFUNDA)</t>
  </si>
  <si>
    <t>Fondo de Inversión Inmobiliaria Las Américas-Fundacion</t>
  </si>
  <si>
    <t>CFINFUNDA</t>
  </si>
  <si>
    <t>Fondo de Inversión Inmobiliario VIII (SNSE:CFIBACHIN8)</t>
  </si>
  <si>
    <t>Fondo de Inversión Inmobiliario VIII</t>
  </si>
  <si>
    <t>CFIBACHIN8</t>
  </si>
  <si>
    <t>Fondo de inversión Larraín Vial - BCP (SNSE:CFILVBCP.E)</t>
  </si>
  <si>
    <t>Fondo de inversión Larraín Vial - BCP</t>
  </si>
  <si>
    <t>CFILVBCP.E</t>
  </si>
  <si>
    <t>Fondo de Inversión Larraín Vial-BCP VI is a fund of Activa S.A.</t>
  </si>
  <si>
    <t>Fondo de Inversión Larraín Vial Apollo Hybrid Value (SNSE:CFIAHVR.E)</t>
  </si>
  <si>
    <t>Fondo de Inversión Larraín Vial Apollo Hybrid Value</t>
  </si>
  <si>
    <t>CFIAHVR.E</t>
  </si>
  <si>
    <t>Fondo De Inversion Larrain Vial Court Square IV (SNSE:CFILVSQI.E)</t>
  </si>
  <si>
    <t>Fondo De Inversion Larrain Vial Court Square IV</t>
  </si>
  <si>
    <t>CFILVSQI.E</t>
  </si>
  <si>
    <t>Fondo De Inversion Larrainvial Altamarcam Value Add Real Estate Espana (SNSE:CFILVESL.E)</t>
  </si>
  <si>
    <t>Fondo De Inversion Larrainvial Altamarcam Value Add Real Estate Espana</t>
  </si>
  <si>
    <t>CFILVESL.E</t>
  </si>
  <si>
    <t>Fondo de Inversion LarrainVial Chile Equity (SNSE:CFILVCHI.I)</t>
  </si>
  <si>
    <t>Fondo de Inversion LarrainVial Chile Equity</t>
  </si>
  <si>
    <t>CFILVCHI.I</t>
  </si>
  <si>
    <t>Fondo de Inversion LarrainVial Chile Equity was founded in 2015 and is headquartered in Santiago, Region Metropolitana (Santiago), Chile.</t>
  </si>
  <si>
    <t>Fondo De Inversion Larrainvial Deuda Corporativa Fund (SNSE:CFILVCOR.O)</t>
  </si>
  <si>
    <t>Fondo De Inversion Larrainvial Deuda Corporativa Fund</t>
  </si>
  <si>
    <t>CFILVCOR.O</t>
  </si>
  <si>
    <t>Fondo De Inversion Larrainvial Droia Terapias Geneticas (SNSE:CFI.DROIIE)</t>
  </si>
  <si>
    <t>Fondo De Inversion Larrainvial Droia Terapias Geneticas</t>
  </si>
  <si>
    <t>CFI.DROIIE</t>
  </si>
  <si>
    <t>Fondo De Inversion Larrainvial Facturas (SNSE:CFILVFA.L)</t>
  </si>
  <si>
    <t>Fondo De Inversion Larrainvial Facturas</t>
  </si>
  <si>
    <t>CFILVFA.L</t>
  </si>
  <si>
    <t>Fondo de Inversion LarrainVial Small Cap Chile Fund (SNSE:CFILVSCC.O)</t>
  </si>
  <si>
    <t>Fondo de Inversion LarrainVial Small Cap Chile Fund</t>
  </si>
  <si>
    <t>CFILVSCC.O</t>
  </si>
  <si>
    <t>Fondo De Inversion Latam Corporate High Yield (SNSE:CFIBCHLCHY)</t>
  </si>
  <si>
    <t>Fondo De Inversion Latam Corporate High Yield</t>
  </si>
  <si>
    <t>CFIBCHLCHY</t>
  </si>
  <si>
    <t>Fondo De Inversion Link - Pg Secondary 2020 (SNSE:CFILCPSC.E)</t>
  </si>
  <si>
    <t>Fondo De Inversion Link - Pg Secondary 2020</t>
  </si>
  <si>
    <t>CFILCPSC.E</t>
  </si>
  <si>
    <t>Fondo de Inversion Link - PG TPF (SNSE:CFI.PGTPEE)</t>
  </si>
  <si>
    <t>Fondo de Inversion Link - PG TPF</t>
  </si>
  <si>
    <t>CFI.PGTPEE</t>
  </si>
  <si>
    <t>Fondo de Inversion Link Capital Partners Deuda Privada Cumplo I (SNSE:CFILCPCA.E)</t>
  </si>
  <si>
    <t>Fondo de Inversion Link Capital Partners Deuda Privada Cumplo I</t>
  </si>
  <si>
    <t>CFILCPCA.E</t>
  </si>
  <si>
    <t>Fondo de Inversión Nevasa HMC CVC (SNSE:CFINHCVC.E)</t>
  </si>
  <si>
    <t>Fondo de Inversión Nevasa HMC CVC</t>
  </si>
  <si>
    <t>CFINHCVC.E</t>
  </si>
  <si>
    <t>Fondo De Inversion Nevasa HMC Renta Fija Local (SNSE:CFINHRFLA)</t>
  </si>
  <si>
    <t>Fondo De Inversion Nevasa HMC Renta Fija Local</t>
  </si>
  <si>
    <t>CFINHRFLA</t>
  </si>
  <si>
    <t>Fondo De Inversion Nevasa HMC Renta Fija Local was founded in 2014 and is headquartered in Santiago, Region Metropolitana (Santiago), Chile.</t>
  </si>
  <si>
    <t>Fondo de Inversión Nevasa HMC Visión Internacional (SNSE:CFINHVIS.A)</t>
  </si>
  <si>
    <t>Fondo de Inversión Nevasa HMC Visión Internacional</t>
  </si>
  <si>
    <t>CFINHVIS.A</t>
  </si>
  <si>
    <t>Fondo de Inversión Nevasa HMC Visión Internacional is headquartered in Santiago, Region Metropolitana (Santiago), Chile.</t>
  </si>
  <si>
    <t>Fondo De Inversion Picton - Apollo VIII Fund (SNSE:CFIPICAP.E)</t>
  </si>
  <si>
    <t>Fondo De Inversion Picton - Apollo VIII Fund</t>
  </si>
  <si>
    <t>CFIPICAP.E</t>
  </si>
  <si>
    <t>Fondo de Inversión Prime Infraestructura (SNSE:CFIPRMINF)</t>
  </si>
  <si>
    <t>Fondo de Inversión Prime Infraestructura</t>
  </si>
  <si>
    <t>CFIPRMINF</t>
  </si>
  <si>
    <t>Fondo de Inversión Prime Infraestructura specializes infrastructure investments. It seeks to invest in companies involved in the provision and management of road infrastructure. This includes urban or suburban, airports, ports, land transportation by rail or other means, electrical, penitentiary, medical, telecommunications and health.</t>
  </si>
  <si>
    <t>Fondo de Inversion Publico Infraestructura Global (SNSE:CFINFGLB.E)</t>
  </si>
  <si>
    <t>Fondo de Inversion Publico Infraestructura Global</t>
  </si>
  <si>
    <t>CFINFGLB.E</t>
  </si>
  <si>
    <t>Fondo de Inversion Publico Infraestructura Global specializes in infrastructure investments.</t>
  </si>
  <si>
    <t>Fondo De Inversion Security Deuda Habitacional Con Subsidio (SNSE:CFISEDFP.E)</t>
  </si>
  <si>
    <t>Fondo De Inversion Security Deuda Habitacional Con Subsidio</t>
  </si>
  <si>
    <t>CFISEDFP.E</t>
  </si>
  <si>
    <t>Fondo De Inversion Security Hy Chile - Cuota De Fondo De Inversion (SNSE:CFISECHYCD)</t>
  </si>
  <si>
    <t>Fondo De Inversion Security Hy Chile - Cuota De Fondo De Inversion</t>
  </si>
  <si>
    <t>CFISECHYCD</t>
  </si>
  <si>
    <t>Fondo De Inversion Security Hy Chile Serie F - Cuota De Fondo De Inversion (SNSE:CFISECHYCF)</t>
  </si>
  <si>
    <t>Fondo De Inversion Security Hy Chile Serie F - Cuota De Fondo De Inversion</t>
  </si>
  <si>
    <t>CFISECHYCF</t>
  </si>
  <si>
    <t>Fondo De Inversion Security Pantheon Pgco IV (SNSE:CFISECPA.E)</t>
  </si>
  <si>
    <t>Fondo De Inversion Security Pantheon Pgco IV</t>
  </si>
  <si>
    <t>CFISECPA.E</t>
  </si>
  <si>
    <t>Fondo De Inversion Security Renta Fija Nacional (SNSE:CFISECRFNA)</t>
  </si>
  <si>
    <t>Fondo De Inversion Security Renta Fija Nacional</t>
  </si>
  <si>
    <t>CFISECRFNA</t>
  </si>
  <si>
    <t>Fondo de Inversion Security Renta Nominal (SNSE:CFISECHYCA)</t>
  </si>
  <si>
    <t>Fondo de Inversion Security Renta Nominal</t>
  </si>
  <si>
    <t>CFISECHYCA</t>
  </si>
  <si>
    <t>Fondo DE Inversion Security Stepstone Real Estate Partners IV (SNSE:CFI.SESTSE)</t>
  </si>
  <si>
    <t>Fondo DE Inversion Security Stepstone Real Estate Partners IV</t>
  </si>
  <si>
    <t>CFI.SESTSE</t>
  </si>
  <si>
    <t>Fondo de Inversión Sura Renta Inmobiliaria (SNSE:CFIRE1SURA)</t>
  </si>
  <si>
    <t>Fondo de Inversión Sura Renta Inmobiliaria</t>
  </si>
  <si>
    <t>CFIRE1SURA</t>
  </si>
  <si>
    <t>Fondo de Inversión Sura Renta Inmobiliaria specializes in real estate investments.</t>
  </si>
  <si>
    <t>Fondo De Inversion Weg 2 (SNSE:CFIWEG.2E)</t>
  </si>
  <si>
    <t>Fondo De Inversion Weg 2</t>
  </si>
  <si>
    <t>CFIWEG.2E</t>
  </si>
  <si>
    <t>Fondo Ganadero Del Tolima S.A. (BVC:FGNTOLIMA)</t>
  </si>
  <si>
    <t>Fondo Ganadero Del Tolima S.A.</t>
  </si>
  <si>
    <t>FGNTOLIMA</t>
  </si>
  <si>
    <t>Fondo Ganadero Del Tolima S.A. engages in the production, industrialization, and marketing of agricultural goods and services in Colombia. The company offers beef and pork sausages, beef hamburgers, lamb and ostrich burgers, smoked pork ribs, and lamb hams, as well as beef, pork, and lamb chorizos; and fetal bovine blood, gallstones, bile, hooves, horns, and organic fertilizer. It is also involved in cattle slaughtering and processing; butchering and vacuum packing; environmental and quality management; and production of livestock, ostriches, and pigs. The company was incorporated in 1953 and is based in Ibagué, Colombia.</t>
  </si>
  <si>
    <t>Fondo I. Larrainvial Multifamily Us (SNSE:CFI.LVMFAE)</t>
  </si>
  <si>
    <t>Fondo I. Larrainvial Multifamily Us</t>
  </si>
  <si>
    <t>CFI.LVMFAE</t>
  </si>
  <si>
    <t>Fondo Investment IM Trust Private Equity PG Secondaries (SNSE:CFIIMTPES)</t>
  </si>
  <si>
    <t>Fondo Investment IM Trust Private Equity PG Secondaries</t>
  </si>
  <si>
    <t>CFIIMTPES</t>
  </si>
  <si>
    <t>Fondo Mutuo BCI Asia (SNSE:CFMBCIASAP)</t>
  </si>
  <si>
    <t>Fondo Mutuo BCI Asia</t>
  </si>
  <si>
    <t>CFMBCIASAP</t>
  </si>
  <si>
    <t>Fondo Mutuo BCI Asia is headquartered in Santiago, Region Metropolitana (Santiago), Chile.</t>
  </si>
  <si>
    <t>Fondo Mutuo Bci Cartera Corto Plazo (SNSE:CFMBCIMOCL)</t>
  </si>
  <si>
    <t>Fondo Mutuo Bci Cartera Corto Plazo</t>
  </si>
  <si>
    <t>CFMBCIMOCL</t>
  </si>
  <si>
    <t>Formerly known as Fondo Mutuo BCI Cartera Dinámica Corto Plazo. Fondo Mutuo BCI Cartera Dinámica Corto Plazo is headquartered in Santiago, Region Metropolitana (Santiago), Chile.</t>
  </si>
  <si>
    <t>Fondo Mutuo BCI Cartera Patrimonial Corto Plazo (SNSE:CFMBCIEFCZ)</t>
  </si>
  <si>
    <t>Fondo Mutuo BCI Cartera Patrimonial Corto Plazo</t>
  </si>
  <si>
    <t>CFMBCIEFCZ</t>
  </si>
  <si>
    <t>Fondo Mutuo BCI Cartera Patrimonial Corto Plazo is headquartered in Santiago, Region Metropolitana (Santiago), Chile.</t>
  </si>
  <si>
    <t>Fondo Mutuo BCI Emergente Global (SNSE:CFMBCIEGLP)</t>
  </si>
  <si>
    <t>Fondo Mutuo BCI Emergente Global</t>
  </si>
  <si>
    <t>CFMBCIEGLP</t>
  </si>
  <si>
    <t>Fondo Mutuo BCI Emergente Global is headquartered in Santiago, Region Metropolitana (Santiago), Chile.</t>
  </si>
  <si>
    <t>Fondo Mutuo BCI Estados Unidos (SNSE:CFMBCIEUNP)</t>
  </si>
  <si>
    <t>Fondo Mutuo BCI Estados Unidos</t>
  </si>
  <si>
    <t>CFMBCIEUNP</t>
  </si>
  <si>
    <t>Fondo Mutuo BCI Estados Unidos is headquartered in Santiago, Region Metropolitana (Santiago), Chile.</t>
  </si>
  <si>
    <t>Fondo Mutuo BCI Europa (SNSE:CFMBCIEUAL)</t>
  </si>
  <si>
    <t>Fondo Mutuo BCI Europa</t>
  </si>
  <si>
    <t>CFMBCIEUAL</t>
  </si>
  <si>
    <t>Fondo Mutuo BCI Europa is headquartered in Santiago, Region Metropolitana (Santiago), Chile.</t>
  </si>
  <si>
    <t>Fondo Mutuo BCI Global Titan (SNSE:CFMBCIGTIP)</t>
  </si>
  <si>
    <t>Fondo Mutuo BCI Global Titan</t>
  </si>
  <si>
    <t>CFMBCIGTIP</t>
  </si>
  <si>
    <t>Fondo Mutuo BCI Global Titan is headquartered in Santiago, Region Metropolitana (Santiago), Chile.</t>
  </si>
  <si>
    <t>Fondo Mutuo BCI Rendimiento (SNSE:CFMBCIRCLA)</t>
  </si>
  <si>
    <t>Fondo Mutuo BCI Rendimiento</t>
  </si>
  <si>
    <t>CFMBCIRCLA</t>
  </si>
  <si>
    <t>Fondo Mutuo BCI Usa (SNSE:CFM.BCIUSA)</t>
  </si>
  <si>
    <t>Fondo Mutuo BCI Usa</t>
  </si>
  <si>
    <t>CFM.BCIUSA</t>
  </si>
  <si>
    <t>Fondo Mutuo BCI Usa is headquartered in Santiago, Region Metropolitana (Santiago), Chile.</t>
  </si>
  <si>
    <t>Fondo Mutuo BICE Acciones Chile Activo (SNSE:CFMBICCHAI)</t>
  </si>
  <si>
    <t>Fondo Mutuo BICE Acciones Chile Activo</t>
  </si>
  <si>
    <t>CFMBICCHAI</t>
  </si>
  <si>
    <t>Fondo Mutuo BICE Chile Activo is headquartered in Santiago, Chile. Fondo Mutuo BICE Chile Activo has changed its name to Fondo Mutuo BICE Acciones Chile Activo</t>
  </si>
  <si>
    <t>Fondo Mutuo Bice Estructurado 108 (SNSE:CFMBESTUF)</t>
  </si>
  <si>
    <t>Fondo Mutuo Bice Estructurado 108</t>
  </si>
  <si>
    <t>CFMBESTUF</t>
  </si>
  <si>
    <t>As of April 30, 2021, Fondo Mutuo Bice Estructurado 108 has gone out of business.</t>
  </si>
  <si>
    <t>Fondo Mutuo BTG Pactual Estructurado Nominal 2030 'O' Fund (SNSE:CFMEN2030O)</t>
  </si>
  <si>
    <t>Fondo Mutuo BTG Pactual Estructurado Nominal 2030 'O' Fund</t>
  </si>
  <si>
    <t>CFMEN2030O</t>
  </si>
  <si>
    <t>Fondo Mutuo Btg Pactual Estructurado Proteccion UF (SNSE:CFMEUFVO)</t>
  </si>
  <si>
    <t>Fondo Mutuo Btg Pactual Estructurado Proteccion UF</t>
  </si>
  <si>
    <t>CFMEUFVO</t>
  </si>
  <si>
    <t>Fondo Mutuo BTG Pactual Estructurado UF V (SNSE:CFMEUFVIO)</t>
  </si>
  <si>
    <t>Fondo Mutuo BTG Pactual Estructurado UF V</t>
  </si>
  <si>
    <t>CFMEUFVIO</t>
  </si>
  <si>
    <t>Fondo Mutuo BTG Pactual Litio+ (SNSE:CFMBTGLITA)</t>
  </si>
  <si>
    <t>Fondo Mutuo BTG Pactual Litio+</t>
  </si>
  <si>
    <t>CFMBTGLITA</t>
  </si>
  <si>
    <t>Fondo Mutuo Compass Acciones Chilenas (SNSE:CFMCGACHA)</t>
  </si>
  <si>
    <t>Fondo Mutuo Compass Acciones Chilenas</t>
  </si>
  <si>
    <t>CFMCGACHA</t>
  </si>
  <si>
    <t>Fondo Mutuo Compass Acciones Chilenas was founded in 2016 and is headquartered in Santiago, Region Metropolitana (Santiago), Chile.</t>
  </si>
  <si>
    <t>Fondo Mutuo Compass Deuda Chilena (SNSE:CFMCGDCHA)</t>
  </si>
  <si>
    <t>Fondo Mutuo Compass Deuda Chilena</t>
  </si>
  <si>
    <t>CFMCGDCHA</t>
  </si>
  <si>
    <t>Fondo Mutuo Compass Latam Corporate Debt (SNSE:CFICLCDA)</t>
  </si>
  <si>
    <t>Fondo Mutuo Compass Latam Corporate Debt</t>
  </si>
  <si>
    <t>CFICLCDA</t>
  </si>
  <si>
    <t>Fondo Mutuo Compass Liquidez (SNSE:CFMCGLQZA)</t>
  </si>
  <si>
    <t>Fondo Mutuo Compass Liquidez</t>
  </si>
  <si>
    <t>CFMCGLQZA</t>
  </si>
  <si>
    <t>Fondo Mutuo Compass Protección (SNSE:CFMCGPROTC)</t>
  </si>
  <si>
    <t>Fondo Mutuo Compass Protección</t>
  </si>
  <si>
    <t>CFMCGPROTC</t>
  </si>
  <si>
    <t>Fondo Mutuo Credicorp Capital Brave Disco (SNSE:CFMCCBRADB)</t>
  </si>
  <si>
    <t>Fondo Mutuo Credicorp Capital Brave Disco</t>
  </si>
  <si>
    <t>CFMCCBRADB</t>
  </si>
  <si>
    <t>Fondo Mutuo Credicorp Capital Deuda 360 (SNSE:CFMIMTDEUE)</t>
  </si>
  <si>
    <t>Fondo Mutuo Credicorp Capital Deuda 360</t>
  </si>
  <si>
    <t>CFMIMTDEUE</t>
  </si>
  <si>
    <t>Fondo Mutuo Credicorp Capital Globales I (SNSE:CFMCCGLOBI)</t>
  </si>
  <si>
    <t>Fondo Mutuo Credicorp Capital Globales I</t>
  </si>
  <si>
    <t>CFMCCGLOBI</t>
  </si>
  <si>
    <t>Fondo Mutuo IM TRUST Globales I is headquartered in Santiago, Region Metropolitana (Santiago), Chile. Fondo Mutuo IM TRUST Globales I has changed its name to Fondo Mutuo Credicorp Capital Globales I</t>
  </si>
  <si>
    <t>Fondo Mutuo Credicorp Capital Innovacion Latam (SNSE:CFMCCINNA)</t>
  </si>
  <si>
    <t>Fondo Mutuo Credicorp Capital Innovacion Latam</t>
  </si>
  <si>
    <t>CFMCCINNA</t>
  </si>
  <si>
    <t>Fondo Mutuo Credicorp Capital Mediano Plazo (SNSE:CFMCCMPLZB)</t>
  </si>
  <si>
    <t>Fondo Mutuo Credicorp Capital Mediano Plazo</t>
  </si>
  <si>
    <t>CFMCCMPLZB</t>
  </si>
  <si>
    <t>Fondo de Inversión Credicorp Capital E Plus haschanged its name to Fondo Mutuo Credicorp Capital Mediano Plazo. Formerly known as Fondo de Inversión Credicorp Capital E Plus.</t>
  </si>
  <si>
    <t>Fondo Mutuo Credicorp Capital Power Pop (SNSE:CFMCCPOWPB)</t>
  </si>
  <si>
    <t>Fondo Mutuo Credicorp Capital Power Pop</t>
  </si>
  <si>
    <t>CFMCCPOWPB</t>
  </si>
  <si>
    <t>Fondo Mutuo Credicorp Capital Risky Rock (SNSE:CFMCCRISRB)</t>
  </si>
  <si>
    <t>Fondo Mutuo Credicorp Capital Risky Rock</t>
  </si>
  <si>
    <t>CFMCCRISRB</t>
  </si>
  <si>
    <t>Fondo Mutuo ETF IT NOW S&amp;P IPSA (SNSE:CFMITNIPSA)</t>
  </si>
  <si>
    <t>Fondo Mutuo ETF IT NOW S&amp;P IPSA</t>
  </si>
  <si>
    <t>CFMITNIPSA</t>
  </si>
  <si>
    <t>Fondo Mutuo ETF IT NOW S&amp;P IPSA is an exchange traded fund launched and managed by Itau Chile Administradora General de Fondos S.A. It invests in the public equity markets of Chile. The fund invests in stocks of companies operating across diversified sectors. It primarily invests in stocks of companies across all market capitalizations. The fund seeks to replicate the performance of the Selective Index Share Prices excluding dividends, by using representative sampling technique. Fondo Mutuo ETF IT NOW S&amp;P IPSA was formed on January 12, 2012 is domiciled in Chile. Formerly Known as Fondo Mutuo ETF IT Now IPSA.</t>
  </si>
  <si>
    <t>Fondo Mutuo ETF Zurich MSCI Small Cap Chile (SNSE:CFMEASCCHI)</t>
  </si>
  <si>
    <t>Fondo Mutuo ETF Zurich MSCI Small Cap Chile</t>
  </si>
  <si>
    <t>CFMEASCCHI</t>
  </si>
  <si>
    <t>As of January 5, 2024, Fondo Mutuo ETF Zurich MSCI Small Cap Chile has gone out of Business. Fondo Mutuo ETF Zurich MSCI Small Cap Chile is headquartered in Las Condes, Region Metropolitana (Santiago), Chile.</t>
  </si>
  <si>
    <t>Fondo Mutuo Itau Dinamico (SNSE:CFMITAFD4F)</t>
  </si>
  <si>
    <t>Fondo Mutuo Itau Dinamico</t>
  </si>
  <si>
    <t>CFMITAFD4F</t>
  </si>
  <si>
    <t>Fondo Mutuo Itau Dinamico Plus (SNSE:CFMITADPF5)</t>
  </si>
  <si>
    <t>Fondo Mutuo Itau Dinamico Plus</t>
  </si>
  <si>
    <t>CFMITADPF5</t>
  </si>
  <si>
    <t>Fondo Mutuo Security Deuda Corporativa Latinoamericana (SNSE:CFMSECDCLH)</t>
  </si>
  <si>
    <t>Fondo Mutuo Security Deuda Corporativa Latinoamericana</t>
  </si>
  <si>
    <t>CFMSECDCLH</t>
  </si>
  <si>
    <t>Fondo Mutuo Security Global (SNSE:CFM.SEGLFO)</t>
  </si>
  <si>
    <t>Fondo Mutuo Security Global</t>
  </si>
  <si>
    <t>CFM.SEGLFO</t>
  </si>
  <si>
    <t>Fondo Mutuo Security Global is headquartered in Santiago, Chile.</t>
  </si>
  <si>
    <t>Fondo Mutuo Security Gold (SNSE:CFMSECGLDA)</t>
  </si>
  <si>
    <t>Fondo Mutuo Security Gold</t>
  </si>
  <si>
    <t>CFMSECGLDA</t>
  </si>
  <si>
    <t>Fondo Mutuo Security Index Fund US (SNSE:CFMSECIF1A)</t>
  </si>
  <si>
    <t>Fondo Mutuo Security Index Fund US</t>
  </si>
  <si>
    <t>CFMSECIF1A</t>
  </si>
  <si>
    <t>Fondo Mutuo Security Index Fund US is headquartered in Santiago, Chile.</t>
  </si>
  <si>
    <t>Fondo Mutuo Toesca Chile Equities (SNSE:CFMTOEEQUB)</t>
  </si>
  <si>
    <t>Fondo Mutuo Toesca Chile Equities</t>
  </si>
  <si>
    <t>CFMTOEEQUB</t>
  </si>
  <si>
    <t>Fondo Mutuo Toesca Chile Equities was founded in 2016 and is headquartered in Santiago, Region Metropolitana (Santiago), Chile.</t>
  </si>
  <si>
    <t>Fondo Mutuo Zurich Chile Acciones (SNSE:CFMZCHACCR)</t>
  </si>
  <si>
    <t>Fondo Mutuo Zurich Chile Acciones</t>
  </si>
  <si>
    <t>CFMZCHACCR</t>
  </si>
  <si>
    <t>Fondo Mutuo EuroAmerica Chile Acciones is headquartered in Las Condes, Region Metropolitana (Santiago), Chile. Fondo Mutuo EuroAmerica Chile Acciones has changed its name to Fondo Mutuo Zurich Chile Acciones</t>
  </si>
  <si>
    <t>Fondo Mutuo Zurich Esg Latam (SNSE:CFMZCELCUI)</t>
  </si>
  <si>
    <t>Fondo Mutuo Zurich Esg Latam</t>
  </si>
  <si>
    <t>CFMZCELCUI</t>
  </si>
  <si>
    <t>Fondo Mutuo Zurich Patrimonio (SNSE:CFMZURZIOA)</t>
  </si>
  <si>
    <t>Fondo Mutuo Zurich Patrimonio</t>
  </si>
  <si>
    <t>CFMZURZIOA</t>
  </si>
  <si>
    <t>Fondos Mutuos - Latin American Corporate Bonds Serie Alto Patrimonio (SNSE:CFMBCILCAP)</t>
  </si>
  <si>
    <t>Fondos Mutuos - Latin American Corporate Bonds Serie Alto Patrimonio</t>
  </si>
  <si>
    <t>CFMBCILCAP</t>
  </si>
  <si>
    <t>Fontal Trust Rendimiento Con Liquidez Fondo De Inversion (SNSE:CFIFTRLP.E)</t>
  </si>
  <si>
    <t>Fontal Trust Rendimiento Con Liquidez Fondo De Inversion</t>
  </si>
  <si>
    <t>CFIFTRLP.E</t>
  </si>
  <si>
    <t>Forestal Constructora y Comercial del Pacifico Sur SA (SNSE:PASUR)</t>
  </si>
  <si>
    <t>Forestal Constructora y Comercial del Pacifico Sur SA</t>
  </si>
  <si>
    <t>PASUR</t>
  </si>
  <si>
    <t>Forestal Constructora y Comercial del Pacifico Sur SA engages in the purchase, sell, and distribute materials and construction products. It promotes construction activities; and acquires land for forestry. The company was formerly known as Inmobiliaria Colon SA and changed its name to Forestal Constructora y Comercial del Pacifico Sur SA in October 1974. The company was incorporated in 1954 and is based in Santiago, Chile.</t>
  </si>
  <si>
    <t>Forus S.A. (SNSE:FORUS)</t>
  </si>
  <si>
    <t>Forus S.A.</t>
  </si>
  <si>
    <t>FORUS</t>
  </si>
  <si>
    <t>Footwear Producers</t>
  </si>
  <si>
    <t>Forus S.A. designs, develops, markets, and distributes footwear, apparel, accessories, and beauty/ personal care products in Chile, Peru, Colombia, and Uruguay. The company offers its products under the CAT, RKF, Columbia, Under Armour, Merrell, BSoul, VANS, Hush Puppies, Azaleia, Norseg and, as of this year, Crocs, and L’OCCITANE en Provence brand names. It serves its customers through sales channels which include physical stores, e-commerce websites, and wholesale and third-party marketplaces. The company was formerly known as Comercial Hush Puppies Chile Limitada and changed its name to Forus S.A. in December 1991. Forus S.A. was founded in 1980 and is headquartered in Santiago, Chile. Forus S.A. is a subsidiary of Inversiones Costanera Limitada.</t>
  </si>
  <si>
    <t>Fossal S.A.A. (BVL:FOSSALC1)</t>
  </si>
  <si>
    <t>Fossal S.A.A.</t>
  </si>
  <si>
    <t>FOSSALC1</t>
  </si>
  <si>
    <t>Fossal S.A.A., through its subsidiary, engages in the extraction of diatomite in the northern region of Peru. It holds rights to use a non-metallic mining concession in Bayovar 9, which contains phosphate rock, diatomites, and other minerals. The company was incorporated in 2016 and is based in Lima, Peru. Fossal S.A.A. is a subsidiary of Inversiones ASPI S.A.</t>
  </si>
  <si>
    <t>FRONTAL TRUST ADM GEN DE FONDOS SA - FRONTAL TRUST FUNDA DEU INMOB XVI Fund (SNSE:CFIFT16P.E)</t>
  </si>
  <si>
    <t>FRONTAL TRUST ADM GEN DE FONDOS SA - FRONTAL TRUST FUNDA DEU INMOB XVI Fund</t>
  </si>
  <si>
    <t>CFIFT16P.E</t>
  </si>
  <si>
    <t>FRONTAL TRUST ADM GEN DE FONDOS SA - FRONTAL TRUST FUNDA DEU INMOB XVII Fund (SNSE:CFIFT17A.E)</t>
  </si>
  <si>
    <t>FRONTAL TRUST ADM GEN DE FONDOS SA - FRONTAL TRUST FUNDA DEU INMOB XVII Fund</t>
  </si>
  <si>
    <t>CFIFT17A.E</t>
  </si>
  <si>
    <t>Frontal Trust Adm. Gen De Fondos SA - Cordada Rendimiento Con Liquidez FI Fund (SNSE:CFIFTRPI.E)</t>
  </si>
  <si>
    <t>Frontal Trust Adm. Gen De Fondos SA - Cordada Rendimiento Con Liquidez FI Fund</t>
  </si>
  <si>
    <t>CFIFTRPI.E</t>
  </si>
  <si>
    <t>Frontal Trust Adm. General De Fondos SA - Frontal Trust Desarrollo Inmobiliario Indu Fund (SNSE:CFIFTSBP.E)</t>
  </si>
  <si>
    <t>Frontal Trust Adm. General De Fondos SA - Frontal Trust Desarrollo Inmobiliario</t>
  </si>
  <si>
    <t>CFIFTSBP.E</t>
  </si>
  <si>
    <t>Frontal Trust Adm. General De Fondos SA - Frontal Trust Desarrollo Inmobiliario Industrial España Fo (SNSE:CFI.FTDIAE)</t>
  </si>
  <si>
    <t>CFI.FTDIAE</t>
  </si>
  <si>
    <t>Frontal Trust Administradora General de Fondos S.A. - Deuda Privada con garantías Inmobiliaria Fondo (SNSE:CFIFTDGA.E)</t>
  </si>
  <si>
    <t>Frontal Trust Administradora General de Fondos S.A. - Deuda Privada con garantía</t>
  </si>
  <si>
    <t>CFIFTDGA.E</t>
  </si>
  <si>
    <t>Frontal Trust Administradora General De Fondos S.A. - Financiamiento Gaigo Fund (SNSE:CFI.FTGFE)</t>
  </si>
  <si>
    <t>Frontal Trust Administradora General De Fondos S.A. - Financiamiento Gaigo Fund</t>
  </si>
  <si>
    <t>CFI.FTGFE</t>
  </si>
  <si>
    <t>Frontal Trust Administradora General de Fondos S.A. - Fondos de inversión Renta Com Prin BIC Fund (SNSE:CFIPRRFFB)</t>
  </si>
  <si>
    <t>Frontal Trust Administradora General de Fondos S.A. - Fondos de inversión Renta</t>
  </si>
  <si>
    <t>CFIPRRFFB</t>
  </si>
  <si>
    <t>Frontal Trust Administradora General De Fondos S.A. - Frontal Trust Desarrollos Indus Fondo Inversio (SNSE:CFIFTDLP.E)</t>
  </si>
  <si>
    <t>Frontal Trust Administradora General De Fondos S.A. - Frontal Trust Desarrollos</t>
  </si>
  <si>
    <t>CFIFTDLP.E</t>
  </si>
  <si>
    <t>Frontal Trust Administradora General De Fondos SA - Frontal Trust Fundamenta Desarrollo Inmobiliario (SNSE:CFIFTXXA.E)</t>
  </si>
  <si>
    <t>Frontal Trust Administradora General De Fondos SA - Frontal Trust Fundamenta Des</t>
  </si>
  <si>
    <t>CFIFTXXA.E</t>
  </si>
  <si>
    <t>Frontal Trust Administradora General De Fondos SA - Frontal Trust Xepelin Deuda Mexico Fund (SNSE:CFI.FTXDFE)</t>
  </si>
  <si>
    <t>Frontal Trust Administradora General De Fondos SA - Frontal Trust Xepelin Deuda</t>
  </si>
  <si>
    <t>CFI.FTXDFE</t>
  </si>
  <si>
    <t>Frontal Trust Financiamiento Estructurado Exxacon Fondo De Inversion (SNSE:CFIFTFEX.E)</t>
  </si>
  <si>
    <t>Frontal Trust Financiamiento Estructurado Exxacon Fondo De Inversion</t>
  </si>
  <si>
    <t>CFIFTFEX.E</t>
  </si>
  <si>
    <t>Frontal Trust Financiamiento Hipotecario Habitacional Evoluciona Fondo de Inversion (SNSE:CFIFTHSH.E)</t>
  </si>
  <si>
    <t>Frontal Trust Financiamiento Hipotecario Habitacional Evoluciona Fondo de Invers</t>
  </si>
  <si>
    <t>CFIFTHSH.E</t>
  </si>
  <si>
    <t>Frontal Trust Mixed Private Debt Investment Fund (SNSE:CFIFTDMA.E)</t>
  </si>
  <si>
    <t>Frontal Trust Mixed Private Debt Investment Fund</t>
  </si>
  <si>
    <t>CFIFTDMA.E</t>
  </si>
  <si>
    <t>Frontal Trust U.S. Real Estate NNN Medical Fondo de Inversion (SNSE:CFI.FTNNAE)</t>
  </si>
  <si>
    <t>Frontal Trust U.S. Real Estate NNN Medical Fondo de Inversion</t>
  </si>
  <si>
    <t>CFI.FTNNAE</t>
  </si>
  <si>
    <t>Frontal Trust U.S. Residential Credit Opportunity I Fondo De Inversion (SNSE:CFI.FTRCOE)</t>
  </si>
  <si>
    <t>Frontal Trust U.S. Residential Credit Opportunity I Fondo De Inversion</t>
  </si>
  <si>
    <t>CFI.FTRCOE</t>
  </si>
  <si>
    <t>Frutícola Viconto S.A. (SNSE:VICONTO)</t>
  </si>
  <si>
    <t>Frutícola Viconto S.A.</t>
  </si>
  <si>
    <t>VICONTO</t>
  </si>
  <si>
    <t>Frutícola Viconto S.A. engages in the production, distribution, and marketing of fruits under the Viconto brand in Chile. It operates through Fresh Fruit and Services to Third Parties segments. The company offers walnuts, cherries, wine grapes, red apples, nectarines, and green kiwis. It also engages in real estate leasing activities. The company exports its products. Frutícola Viconto S.A. was incorporated in 1986 and is headquartered in Buin, Chile.</t>
  </si>
  <si>
    <t>Futura Consorcio Inmobiliario S.A. (BVL:FUTURAI1)</t>
  </si>
  <si>
    <t>Futura Consorcio Inmobiliario S.A.</t>
  </si>
  <si>
    <t>FUTURAI1</t>
  </si>
  <si>
    <t>Real Estate Development</t>
  </si>
  <si>
    <t>Futura Consorcio Inmobiliario S.A. engages in real estate development activities. It is also involved in the managing real estate investments. The company was founded in 1988 and is based in San Isidro, Peru. Futura Consorcio Inmobiliario S.A. operates as a subsidiary of Breca Inmobiliaria S.A.C.</t>
  </si>
  <si>
    <t>FYNSA Adm Gen De FDOS SA - FI FYNSA Global Core Beta Fund (SNSE:CFI.FYNGCA)</t>
  </si>
  <si>
    <t>FYNSA Adm Gen De FDOS SA - FI FYNSA Global Core Beta Fund</t>
  </si>
  <si>
    <t>CFI.FYNGCA</t>
  </si>
  <si>
    <t>FYNSA Adm Gen De FDOS SA - FI FYNSA Plusvalia Fund (SNSE:CFIFYNPLAM)</t>
  </si>
  <si>
    <t>FYNSA Adm Gen De FDOS SA - FI FYNSA Plusvalia Fund</t>
  </si>
  <si>
    <t>CFIFYNPLAM</t>
  </si>
  <si>
    <t>FYNSA Adm Gen De FDOS SA - FI FYNSA Private Debt Fund (SNSE:CFI.FYNPDE)</t>
  </si>
  <si>
    <t>FYNSA Adm Gen De FDOS SA - FI FYNSA Private Debt Fund</t>
  </si>
  <si>
    <t>CFI.FYNPDE</t>
  </si>
  <si>
    <t>FYNSA ADM Gen De Fdos SA - Fondo de Inversión FYNSA Pantheon Global Co-Investment Fund (SNSE:CFI.FYPGAE)</t>
  </si>
  <si>
    <t>FYNSA ADM Gen De Fdos SA - Fondo de Inversión FYNSA Pantheon Global Co-Investmen</t>
  </si>
  <si>
    <t>CFI.FYPGAE</t>
  </si>
  <si>
    <t>FYNSA Adm Gen De FDOS SA - FYNSA  Galgo Fund (SNSE:CFIFYNGIIA)</t>
  </si>
  <si>
    <t>FYNSA Adm Gen De FDOS SA - FYNSA  Galgo Fund</t>
  </si>
  <si>
    <t>CFIFYNGIIA</t>
  </si>
  <si>
    <t>FYNSA ADM Gen De Fdos SA-Fdo Inv Fynsa Deuda Privada USA-Fund (SNSE:CFI.FYNDAE)</t>
  </si>
  <si>
    <t>FYNSA ADM Gen De Fdos SA-Fdo Inv Fynsa Deuda Privada USA-Fund</t>
  </si>
  <si>
    <t>CFI.FYNDAE</t>
  </si>
  <si>
    <t>FYNSA Adm Gen De Fondos Sa - Fondo De Inversión Fynsa Desarollo Inmobiliario (SNSE:CFIFYNUF24)</t>
  </si>
  <si>
    <t>FYNSA Adm Gen De Fondos Sa - Fondo De Inversión Fynsa Desarollo Inmobiliario</t>
  </si>
  <si>
    <t>CFIFYNUF24</t>
  </si>
  <si>
    <t>FYNSA Adm Gen De Fondos SA - Fondo De Inversion FYNSA Pomona Capital X (SNSE:CFI.FYNPAE)</t>
  </si>
  <si>
    <t>FYNSA Adm Gen De Fondos SA - Fondo De Inversion FYNSA Pomona Capital X</t>
  </si>
  <si>
    <t>CFI.FYNPAE</t>
  </si>
  <si>
    <t>FYNSA Adm General De Fundos Sa - FI Pantheon PGPE Fund (SNSE:CFI.FPPGGE)</t>
  </si>
  <si>
    <t>FYNSA Adm General De Fundos Sa - FI Pantheon PGPE Fund</t>
  </si>
  <si>
    <t>CFI.FPPGGE</t>
  </si>
  <si>
    <t>Fynsa Administradora General De Fondos S A -  Finanzas Y Negocios S.A. Corredores de Bolsa (SNSE:CFIFYNTORB)</t>
  </si>
  <si>
    <t>Fynsa Administradora General De Fondos S A -  Finanzas Y Negocios S.A. Corredore</t>
  </si>
  <si>
    <t>CFIFYNTORB</t>
  </si>
  <si>
    <t>FYNSA Administradora General De Fondos S.A - Fondo de Inversión FYNSA Deuda Táctica Fund (SNSE:CFIFYNDETA)</t>
  </si>
  <si>
    <t>FYNSA Administradora General De Fondos S.A - Fondo de Inversión FYNSA Deuda Táct</t>
  </si>
  <si>
    <t>CFIFYNDETA</t>
  </si>
  <si>
    <t>FYNSA Administradora General De Fondos S.A. - Falcom Tactical Latam Equities Fund (SNSE:CFIFALCTLP)</t>
  </si>
  <si>
    <t>FYNSA Administradora General De Fondos S.A. - Falcom Tactical Latam Equities Fun</t>
  </si>
  <si>
    <t>CFIFALCTLP</t>
  </si>
  <si>
    <t>FYNSA Administradora General De Fondos S.A. - FI FYNSA Monarch Cap Partner VI Fund (SNSE:CFI.FYNMAE)</t>
  </si>
  <si>
    <t>FYNSA Administradora General De Fondos S.A. - FI FYNSA Monarch Cap Partner VI Fu</t>
  </si>
  <si>
    <t>CFI.FYNMAE</t>
  </si>
  <si>
    <t>FYNSA Administradora General De Fondos S.A.- Fondo De Inversion Fynsa Deuda Chil (SNSE:CFIFYNSADA)</t>
  </si>
  <si>
    <t>FYNSA Administradora General De Fondos S.A.- Fondo De Inversion Fynsa Deuda Chil</t>
  </si>
  <si>
    <t>CFIFYNSADA</t>
  </si>
  <si>
    <t>FYNSA Administradora General De Fondos S.A.- Fondo De Inversion FYNSA Energia (SNSE:CFIFYNSAEB)</t>
  </si>
  <si>
    <t>FYNSA Administradora General De Fondos S.A.- Fondo De Inversion FYNSA Energia</t>
  </si>
  <si>
    <t>CFIFYNSAEB</t>
  </si>
  <si>
    <t>FYNSA Administradora General DE Fundos SA - Fundo Inversion Albion portfolio Fund (SNSE:CFIALBIONA)</t>
  </si>
  <si>
    <t>FYNSA Administradora General DE Fundos SA - Fundo Inversion Albion portfolio Fun</t>
  </si>
  <si>
    <t>CFIALBIONA</t>
  </si>
  <si>
    <t>FYSNA Adm Gen De FDOS SA - FI FYNSA UF 2025 (SNSE:CFIFYNUF25)</t>
  </si>
  <si>
    <t>FYSNA Adm Gen De FDOS SA - FI FYNSA UF 2025</t>
  </si>
  <si>
    <t>CFIFYNUF25</t>
  </si>
  <si>
    <t>Gas Natural del Oriente S.A., ESP (BVC:GASORIENTE)</t>
  </si>
  <si>
    <t>Gas Natural del Oriente S.A., ESP</t>
  </si>
  <si>
    <t>GASORIENTE</t>
  </si>
  <si>
    <t>Gas Natural del Oriente S.A., ESP engages in the commercialization, transport, and distribution of fuel gas in Colombia. The company is also involved in the exploration, exploitation, storage, import, use, transportation, regasification, refining, purchase, sale, and distribution of hydrocarbons, as well as its derivatives and representations. In addition, it engages in the engineering, advisory, construction, auditing, manufacturing, and consulting work related to hydrocarbons; construction, operation and maintenance of gas pipelines for public or private use, oil pipelines, poleo pipelines, pipelines, multi-product pipelines, polyducts, storage, packaging, filling or transfer plants, liquefaction, gasification or compression stations, tanks, and for transportation and storage; and marketing of hydrocarbons and its derivatives. The company was founded in 1977 and is based in Bucaramanga, Colombia. Gas Natural del Oriente S.A., ESP operates as a subsidiary of Vanti S.A. ESP.</t>
  </si>
  <si>
    <t>Gasco Inversiones S.A. (SNSE:GASCOINV)</t>
  </si>
  <si>
    <t>Gasco Inversiones S.A.</t>
  </si>
  <si>
    <t>GASCOINV</t>
  </si>
  <si>
    <t>Gasco Inversiones S.A. develops and sells real estate properties in Chile. It also engages in the real estate investment and leasing businesses. Gasco Inversiones S.A. was incorporated in 2021 and is headquartered in Santiago, Chile.</t>
  </si>
  <si>
    <t>GR Holding S.A. (BVL:GRHOLDC1)</t>
  </si>
  <si>
    <t>GR Holding S.A.</t>
  </si>
  <si>
    <t>GRHOLDC1</t>
  </si>
  <si>
    <t>GR Holding S.A. is a publicly owned investment manager. The firm manages equity and mutual Funds for its clients. It invests in equity markets. GR Holding S.A. is based in Lima, Peru.</t>
  </si>
  <si>
    <t>Granadilla Country Club S.A. (SNSE:GRANADILLA)</t>
  </si>
  <si>
    <t>Granadilla Country Club S.A.</t>
  </si>
  <si>
    <t>GRANADILLA</t>
  </si>
  <si>
    <t>Granadilla Country Club S.A. builds, installs, and manages sports fields in Chile. It operates golf courses; paddle tennis courts; squash courts; and swimming pool, as well as social facilities with sauna and lockers, game room, event room, dining rooms, bar, and restaurants. The company was founded in 1897 and is based in Viña Del Mar, Chile.</t>
  </si>
  <si>
    <t>Grupo Argos S.A. (BVC:GRUPOARGOS)</t>
  </si>
  <si>
    <t>Grupo Argos S.A.</t>
  </si>
  <si>
    <t>GRUPOARGOS</t>
  </si>
  <si>
    <t>Grupo Argos S.A., an infrastructure holding company, engages in cement business. The company is involved in the production of cement and concrete; and road and airport concessions businesses. It generates, transmits, markets, and distributes power through hydro, solar, thermal, and wind plants. In addition, the company engages in real estate business. Grupo Argos S.A. was founded in 1934 and is based in Medellín, Colombia.</t>
  </si>
  <si>
    <t>Grupo Aval Acciones y Valores S.A. (BVC:GRUPOAVAL)</t>
  </si>
  <si>
    <t>Grupo Aval Acciones y Valores S.A.</t>
  </si>
  <si>
    <t>GRUPOAVAL</t>
  </si>
  <si>
    <t>Grupo Aval Acciones y Valores S.A. provides a range of financial services and products in Colombia and Central America. The company offers traditional deposit services and products, including checking accounts, savings accounts, time deposits, and other deposits. It also provides commercial loans comprising general purpose loans, working capital loans, leases, loans funded by development banks, corporate credit cards, and overdraft loans; consumer loans, such as payroll loans, personal loans, automobile and other vehicle loans, credit cards, overdrafts, leases, and general-purpose loans; and microcredit and mortgage loans. In addition, the company offers pension and severance fund management services; investment banking services, including services relating to capital markets, mergers and acquisitions, and delivering financial consulting services; mobile and online banking services; and bancassurance, insurance, trust, bonded warehousing, real estate escrow, merchandise and document storage and deposit, customs agency, cargo management, surety bond and merchandise distribution, and payment and collection services, as well as provides deposit and lending operations in foreign currencies. Further, it is involved in equity investments in various sectors, including infrastructure, energy and gas, agribusiness, and hotels; and providing treasury operations. The company was incorporated in 1994 and is headquartered in Bogotá, Colombia.</t>
  </si>
  <si>
    <t>Grupo Bolívar S.A. (BVC:GRUBOLIVAR)</t>
  </si>
  <si>
    <t>Grupo Bolívar S.A.</t>
  </si>
  <si>
    <t>GRUBOLIVAR</t>
  </si>
  <si>
    <t>Grupo Bolívar S.A. invests in, administers, and manages a portfolio of investments. It invests in shares, corporate quotas, and interest on national or foreign companies; equity or investment securities, bonds issued by public or private entities, and other securities with credit content or tradable shares in the market; bonds and other debentures; and trademarks and other forms of industrial properties. Grupo Bolívar S.A. was founded in 1939 and is based in Bogotá, Colombia.</t>
  </si>
  <si>
    <t>Grupo Bvl S.A.A. (BVL:GBVLAC1)</t>
  </si>
  <si>
    <t>Grupo Bvl S.A.A.</t>
  </si>
  <si>
    <t>GBVLAC1</t>
  </si>
  <si>
    <t>Grupo Bvl S.A.A. provides stock market services in Peru. The company offers stock market trading, clearing and settlement, securities brokerage, digital, and consulting services. It also facilitates the trading of duly registered securities through stock exchange. In addition, the company provides expansion, registration, transfer, and custody of book-entry securities; platform services for the issuance, signature, management, and custody of electronic documents linked to commercial transactions; and consulting services in various areas related to the financial and securities markets. Additionally, it offers educational services for promoting the development of the securities market, as well as invests in financial assets. The company was formerly known as Bolsa de Valores de Lima S.A.A. and changed its name to Grupo Bvl S.A.A. in June 2021. The company was founded in 1860 and is based in San Isidro, Peru. Grupo Bvl S.A.A. operates as a subsidiary of Holding Bursátil Regional S.A.</t>
  </si>
  <si>
    <t>Grupo Cibest S.A. (BVC:CIBEST)</t>
  </si>
  <si>
    <t>Grupo Cibest S.A.</t>
  </si>
  <si>
    <t>CIBEST</t>
  </si>
  <si>
    <t>Grupo Cibest S.A., together with its subsidiaries, provides various banking products and services in Colombia and internationally. It offers deposit products, including checking and savings accounts, fixed-term deposits, and investment products; credit alternatives solutions such as trade financing, working capital loans, mortgages, credit cards, personal, vehicle, payroll, and small business loans, and overdrafts; and factoring. It also provides financial and operating leases; capital markets, such as hedging instruments; trading, including interbank lending, repurchase agreements, foreign exchange transactions, and sovereign and corporate securities trading, brokerage and investment advisory services, access to local and international capital markets, and third-party asset management, as well as cash management, payables and receivables solutions, real-time web services, and SWIFT Net solutions. In addition, it provides foreign currency investment and trade finance solutions such as letters of credit and bills collection; bancassurance and insurance; and investment banking services include project finance, acquisition finance, large corporate loans, loan syndication, debt and equity capital markets, principal investments, mergers and acquisitions, and advisory on hedging strategies and restructurings. Further, it offers trust and fiduciary services, escrow accounts, investment funds, and real estate funds; and Nequi digital platform. Additionally, it provides roadside and medical assistance services; and BRE-b, mortgage lending innovations, payments through wompi, inflation-indexed sustainability loans, and Salud para ti. It serves physical branches, mobile branches, ATMs, online, computer, telephone, and mobile banking, banking correspondents, kiosks, and direct business connections. The company was formerly known as Bancolombia S.A. and changed its name to Grupo Cibest S.A. in May 2025. The company was founded in 1875 and is based in Medellín, Colombia.</t>
  </si>
  <si>
    <t>Grupo de Inversiones Suramericana S.A. (BVC:GRUPOSURA)</t>
  </si>
  <si>
    <t>Grupo de Inversiones Suramericana S.A.</t>
  </si>
  <si>
    <t>GRUPOSURA</t>
  </si>
  <si>
    <t>Grupo de Inversiones Suramericana S.A., through its subsidiaries, invests in the financial services sector in Colombia. The company offers pension funds, savings, investment, and asset management services; life, non-life, and health insurance; reinsurance; pension insurance and annuities; risk management; and investment in vehicles. It also offers trend and risk management; general, life, and health insurance services; reinsurance services; and banking, transactional services, and capital markets. The company was formerly known as Suramericana de Inversiones SA and changed its name to Grupo de Inversiones Suramericana S.A. in April 2009. The company was founded in 1944 and is headquartered in Medellín, Colombia.</t>
  </si>
  <si>
    <t>Grupo Empresas Navieras S.A. (SNSE:NAVIERA)</t>
  </si>
  <si>
    <t>Grupo Empresas Navieras S.A.</t>
  </si>
  <si>
    <t>NAVIERA</t>
  </si>
  <si>
    <t>Grupo Empresas Navieras S.A., an investment company, engages in the maritime, logistics, port, and cargo distribution businesses in Chile, Spain, Peru, Ecuador, the United States Gulf of Mexico, Europe, and Asia. The company operates through Shipbuilding, Agency, Logistics, Airports, Ports, and Other segments. It provides management and operation of full container vessels; ferries for people, vehicles, and cargo; pilot boats and services; wellboats to support the salmon industry; and tugboats. It also operates and airports terminal; and provides agency services for coordinating pilotage services, passengers and tourism service, bunkering, back office, and other services. In addition, the company offers logistics services, including supply chain support services for products; and export, import and internal replenishment of a country, such as freight, forwarding, warehousing, distribution, last mile delivery, reverse logistics and services, and courier services. Grupo Empresas Navieras S.A. was incorporated in 1983 and is headquartered in Santiago, Chile.</t>
  </si>
  <si>
    <t>Grupo Energía Bogotá S.A. E.S.P. (BVC:GEB)</t>
  </si>
  <si>
    <t>Grupo Energía Bogotá S.A. E.S.P.</t>
  </si>
  <si>
    <t>GEB</t>
  </si>
  <si>
    <t>Grupo Energía Bogotá S.A. E.S.P., together with its subsidiaries, operates in the electric energy and natural gas sectors in Colombia, Peru, Guatemala, and Brazil. It engages in the generation, transmission, distribution, and commercialization of electric energy, including gas and liquid fuels. The company also provides natural gas transportation services through pipelines covering an area of 3,957 kilometers; and natural gas distribution services. In addition, it offers engineering services; acts an investment vehicle; and captive Insurance services. The company was formerly known as Empresa de Energia de Bogotá S.A. E.S.P. and changed its name to Grupo Energía Bogotá S.A. E.S.P. in October 2017. Grupo Energía Bogotá S.A. E.S.P. is headquartered in Bogotá, Colombia.</t>
  </si>
  <si>
    <t>Grupo IMSA S.A. (BVC:GRUPOIMSA)</t>
  </si>
  <si>
    <t>Grupo IMSA S.A.</t>
  </si>
  <si>
    <t>GRUPOIMSA</t>
  </si>
  <si>
    <t>Grupo IMSA S.A. engages in the composite materials, massive consume, pipes and poles, and food additives businesses in Columbia and internationally. It manufactures and sells composite materials for use in the civil construction, infrastructure, transportation, and recreation sectors; personal care, home, vehicle, and industrial products; fiberglass-reinforced polyester piping and pole systems; property management and food additives. The company was incorporated in 2021 and is based in Medellín, Colombia.</t>
  </si>
  <si>
    <t>Grupo Nutresa S. A. (BVC:NUTRESA)</t>
  </si>
  <si>
    <t>Grupo Nutresa S. A.</t>
  </si>
  <si>
    <t>NUTRESA</t>
  </si>
  <si>
    <t>Grupo Nutresa S. A., together with its subsidiaries, operates in the food industry in Colombia, Latin America, and internationally. The company produces and sells cold cuts, matured meats, sausages, canned food, ready-to-eat dishes, and mushrooms; biscuits and cookies comprising, cream and wafers; salty crackers; and snacks. It also produces and sells chocolate bars, chocolate candies, cereal bars, milk modifiers, and nuts; instant cold drinks, pastas, coffee, snacks, edible oil, juices, soups, desserts, and teas, as well as roasted and ground, instant powdered, granulated, and coffee extracts. In addition, the company offers hamburger products, prepared meats, pizza, ice cream, and yogurt through restaurants and ice cream parlors. Further, it provides ice cream products, including desserts, water and milk-based ice cream pops, cones, and ice cream by the liters, as well as ice cream cups and biscuits with ice cream; and short, long, and egg pasta with vegetables and butter, and instant pasta. Grupo Nutresa S. A. was incorporated in 1920 and is headquartered in Medellín, Colombia.</t>
  </si>
  <si>
    <t>Hermes Transportes Blindados S.A. (BVL:HERMESC1)</t>
  </si>
  <si>
    <t>Hermes Transportes Blindados S.A.</t>
  </si>
  <si>
    <t>HERMESC1</t>
  </si>
  <si>
    <t>Security and Alarm Services</t>
  </si>
  <si>
    <t>Commercial and Professional Services</t>
  </si>
  <si>
    <t>Hermes Transportes Blindados S.A. provides money and securities transfer, custody and processing, and document transfer services in Peru. The company offers sending and collecting banknotes, coins, precious metals, jewelry and other high-value items to and/or from the requested destination; prepare and transfer the banknotes to supply the indicated ATM; administration of premises and agencies; vault management; and specialized services for mining sector. It also provides Hermeticase, a device that allows receiving, validating, accounting for deposits made, viewing movements online, and generating reports for accounting closings. In addition, the company offers corporate messaging services, including transport of documents and national packages, local distribution, internal messaging, and custody of documents and back ups; business processing services, such as digitization and digitalization of documents, verification and validation, attention to commercial requirements, accounting registration and analysis of invoices, and card insertion services. The company was founded in 1983 and is based in Chorrillos, Peru. Hermes Transportes Blindados S.A. operates as a subsidiary of Maiz Jersey Limited.</t>
  </si>
  <si>
    <t>Hidrostal S.A. (BVL:HIDROSI1)</t>
  </si>
  <si>
    <t>Hidrostal S.A.</t>
  </si>
  <si>
    <t>HIDROSI1</t>
  </si>
  <si>
    <t>Machinery and Supplies and Components: Industrial</t>
  </si>
  <si>
    <t>Hidrostal S.A. engages in the manufacture and sale of centrifugal pumps, cast, and machined parts and components in Peru. The company offers pumps, such as general-purpose pumps, vertical turbine type pumps, and special pumps for suspended solids and other fluids; electric motors; special equipment products; foundry and machining products; and technical applications, including installation of pumping systems, commissioning, preventive maintenance of pumping equipment, pump repair, supervision of electro-mechanical assemblies, and hydraulic-mechanical upgrade of centrifugal pumps. It also imports and sells electric motors, transformers, and other products. The company was founded in 1953 and is headquartered in Lima, Peru. Hidrostal S.A. operates as a subsidiary of Hidrostal Holding AG.</t>
  </si>
  <si>
    <t>Hipermarc S.A. (SNSE:HIPERMARC)</t>
  </si>
  <si>
    <t>Hipermarc S.A.</t>
  </si>
  <si>
    <t>HIPERMARC</t>
  </si>
  <si>
    <t>Food Retail</t>
  </si>
  <si>
    <t>Hipermarc S.A. distributes and commercializes light and medium vehicles, and motorcycles in Chile and Argentina. It operates through Real Investments and Leases; Agro-industrial, Automotive, and Fishing segments. The company also produces and markets frozen fruits and vegetables; invests and leases real estate properties; and offers cargo transportation services. In addition, it produces and markets fishmeal and fish oil. The company was formerly known as Supermercados Unimarc S.A. and changed its name to Hipermarc S.A. in 2008. Hipermarc S.A. was founded in 1961 and is based in Santiago, Chile.</t>
  </si>
  <si>
    <t>HMC S.A. Administradora General de Fondos - FI HMC US Venture 'X' (SNSE:CFI.HMCUSX)</t>
  </si>
  <si>
    <t>HMC S.A. Administradora General de Fondos - FI HMC US Venture 'X'</t>
  </si>
  <si>
    <t>CFI.HMCUSX</t>
  </si>
  <si>
    <t>HMC S.A. Administradora General de Fondos - FI HMC US Venture 'X' is headquartered in Chile.</t>
  </si>
  <si>
    <t>HMC SA Administradora General De FO - FI Guardian Balanceado (SNSE:CFIPATGBA)</t>
  </si>
  <si>
    <t>HMC SA Administradora General De FO - FI Guardian Balanceado</t>
  </si>
  <si>
    <t>CFIPATGBA</t>
  </si>
  <si>
    <t>HMC SA ADMINISTRADORA GENERAL DE FO - FI HMC Mezzanine Inmobil IV Fund (SNSE:CFIHMI4I.E)</t>
  </si>
  <si>
    <t>HMC SA ADMINISTRADORA GENERAL DE FO - FI HMC Mezzanine Inmobil IV Fund</t>
  </si>
  <si>
    <t>CFIHMI4I.E</t>
  </si>
  <si>
    <t>HMC SA ADMINISTRADORA GENERAL DE FO - FI HMC Renta Global Fund (SNSE:CFI.HRGDI)</t>
  </si>
  <si>
    <t>HMC SA ADMINISTRADORA GENERAL DE FO - FI HMC Renta Global Fund</t>
  </si>
  <si>
    <t>CFI.HRGDI</t>
  </si>
  <si>
    <t>HMC SA Administradora General De Fondos - Class USD Currency Series Fund (SNSE:CFI.REDAA)</t>
  </si>
  <si>
    <t>HMC SA Administradora General De Fondos - Class USD Currency Series Fund</t>
  </si>
  <si>
    <t>CFI.REDAA</t>
  </si>
  <si>
    <t>HMC SA Administradora General De Fondos - FI HMC Rendi Estra Dolar Acc Fund (SNSE:CFI.REDAA)</t>
  </si>
  <si>
    <t>HMC SA Administradora General De Fondos - FI HMC Rendi Estra Dolar Acc Fund</t>
  </si>
  <si>
    <t>HMC SA Administradora General De Fondos - FI HMC Secondar CDR X Fund (SNSE:CFI.HMCBPE)</t>
  </si>
  <si>
    <t>HMC SA Administradora General De Fondos - FI HMC Secondar CDR X Fund</t>
  </si>
  <si>
    <t>CFI.HMCBPE</t>
  </si>
  <si>
    <t>HMC SA Administradora General De Fondos - Fondo de Inversión HMC AXI Fund (SNSE:CFI.HAXIEE)</t>
  </si>
  <si>
    <t>HMC SA Administradora General De Fondos - Fondo de Inversión HMC AXI Fund</t>
  </si>
  <si>
    <t>CFI.HAXIEE</t>
  </si>
  <si>
    <t>HMC SA Administradora General De Fondos - Fondo de Inversión HMC Balanceado Global Fund (SNSE:CFI.HMCBGB)</t>
  </si>
  <si>
    <t>HMC SA Administradora General De Fondos - Fondo de Inversión HMC Balanceado Glob</t>
  </si>
  <si>
    <t>CFI.HMCBGB</t>
  </si>
  <si>
    <t>HMC SA Administradora General De Fondos - Fondo de Inversión HMC Bitcoin Fund (SNSE:CFI.BITCOA)</t>
  </si>
  <si>
    <t>HMC SA Administradora General De Fondos - Fondo de Inversión HMC Bitcoin Fund</t>
  </si>
  <si>
    <t>CFI.BITCOA</t>
  </si>
  <si>
    <t>Hmc Sa Administradora General De Fondos - Fondo de Inversion HMC CD&amp;R Fund XI (SNSE:CFI.HMCDAE)</t>
  </si>
  <si>
    <t>Hmc Sa Administradora General De Fondos - Fondo de Inversion HMC CD&amp;R Fund XI</t>
  </si>
  <si>
    <t>CFI.HMCDAE</t>
  </si>
  <si>
    <t>HMC SA Administradora General De Fondos - Fondo de Inversión HMC CLP Fund (SNSE:CFIHMI4I.E)</t>
  </si>
  <si>
    <t>HMC SA Administradora General De Fondos - Fondo de Inversión HMC CLP Fund</t>
  </si>
  <si>
    <t>HMC SA Administradora General De Fondos - Fondo de Inversión HMC Deuda Privada Global Fund (SNSE:CFIHMCDPGP)</t>
  </si>
  <si>
    <t>HMC SA Administradora General De Fondos - Fondo de Inversión HMC Deuda Privada G</t>
  </si>
  <si>
    <t>CFIHMCDPGP</t>
  </si>
  <si>
    <t>HMC SA Administradora General De Fondos - Fondo de Inversión HMC Mezzanine Inmobiliario IV (SNSE:CFIHMI4X.E)</t>
  </si>
  <si>
    <t>HMC SA Administradora General De Fondos - Fondo de Inversión HMC Mezzanine Inmob</t>
  </si>
  <si>
    <t>CFIHMI4X.E</t>
  </si>
  <si>
    <t>HMC SA Administradora General De Fondos - Fondo de Inversión HMC Multifamily US Fund (SNSE:CFIMFUS.E)</t>
  </si>
  <si>
    <t>HMC SA Administradora General De Fondos - Fondo de Inversión HMC Multifamily US</t>
  </si>
  <si>
    <t>CFIMFUS.E</t>
  </si>
  <si>
    <t>HMC SA Administradora General De Fondos - Fondo de Inversión HMC Privada Pesos Fund (SNSE:CFIHMCDPPA)</t>
  </si>
  <si>
    <t>HMC SA Administradora General De Fondos - Fondo de Inversión HMC Privada Pesos F</t>
  </si>
  <si>
    <t>CFIHMCDPPA</t>
  </si>
  <si>
    <t>HMC SA Administradora General De Fondos - Fondo de Inversión HMC Retorno Estrategico Fund (SNSE:CFI.HMREDA)</t>
  </si>
  <si>
    <t>HMC SA Administradora General De Fondos - Fondo de Inversión HMC Retorno Estrate</t>
  </si>
  <si>
    <t>CFI.HMREDA</t>
  </si>
  <si>
    <t>HMC SA Administradora General De Fondos - Fondo de Inversión HMC RV Global (SNSE:CFI.HMCRGE)</t>
  </si>
  <si>
    <t>HMC SA Administradora General De Fondos - Fondo de Inversión HMC RV Global</t>
  </si>
  <si>
    <t>CFI.HMCRGE</t>
  </si>
  <si>
    <t>HMC SA Administradora General De Fondos - Fondo de Inversion Rendimiento Estrategico Fund (SNSE:CFI.REDAI)</t>
  </si>
  <si>
    <t>HMC SA Administradora General De Fondos - Fondo de Inversion Rendimiento Estrate</t>
  </si>
  <si>
    <t>CFI.REDAI</t>
  </si>
  <si>
    <t>HMC SA Administradora General De Fondos - HMC Carval Credit Value Fund V (SNSE:CFI.HMCVIE)</t>
  </si>
  <si>
    <t>HMC SA Administradora General De Fondos - HMC Carval Credit Value Fund V</t>
  </si>
  <si>
    <t>CFI.HMCVIE</t>
  </si>
  <si>
    <t>IM Trust S.A., Administradora General de Fondos- Fondo De Inversion Credicorp Capital RF Latam Fund (SNSE:CFICCLAB.E)</t>
  </si>
  <si>
    <t>IM Trust S.A., Administradora General de Fondos- Fondo De Inversion Credicorp Ca</t>
  </si>
  <si>
    <t>CFICCLAB.E</t>
  </si>
  <si>
    <t>IM TRUST SA ADMIN GENERAL DE FONDOS - FDO INV IMT SPREAD CORPORATIVO LOCAL 'R' (SNSE:CFIIMSCLR)</t>
  </si>
  <si>
    <t>IM TRUST SA ADMIN GENERAL DE FONDOS - FDO INV IMT SPREAD CORPORATIVO LOCAL 'R'</t>
  </si>
  <si>
    <t>CFIIMSCLR</t>
  </si>
  <si>
    <t>IM TRUST SA ADMIN GENERAL DE FONDOS - FDO INVER CREDICORP CAP RF LATAM 'SER R' (SNSE:CFICCLAR.E)</t>
  </si>
  <si>
    <t>IM TRUST SA ADMIN GENERAL DE FONDOS - FDO INVER CREDICORP CAP RF LATAM 'SER R'</t>
  </si>
  <si>
    <t>CFICCLAR.E</t>
  </si>
  <si>
    <t>Industria Textil Piura S.A. (BVL:PIURAC1)</t>
  </si>
  <si>
    <t>Industria Textil Piura S.A.</t>
  </si>
  <si>
    <t>PIURAC1</t>
  </si>
  <si>
    <t>Industria Textil Piura S.A. manufactures and markets cotton yarns and spun goods in Peru. It offers fine, single end, twisted, compact, and gassed yarns for manufacturing textile garments. The company also exports its products to Italy, Spain, Taiwan, Switzerland, Japan, the United States, Brazil, Israel, Canada, Argentina, Chile, Bolivia, and Colombia. Industria Textil Piura S.A. was founded in 1976 and is based in Sullana, Peru. As of August 3, 2016, Industria Textil Piura S.A. operates as a subsidiary of Axxion Asset Management SAC.</t>
  </si>
  <si>
    <t>Industrias del Cobre Sociedad Anónima (BVL:INDECOI1)</t>
  </si>
  <si>
    <t>Industrias del Cobre Sociedad Anónima</t>
  </si>
  <si>
    <t>INDECOI1</t>
  </si>
  <si>
    <t>Industrias del Cobre Sociedad Anónima engages in the manufacture and sale of wires, and electrical and telecommunication cables and conductors in Peru and internationally. The company offers low voltage conductors, cords, fire safety cables, and bare copper conductors; and low voltage aerial distribution cables, medium voltage low fire hazard sheathed cables, medium voltage PVC sheathed cables, medium voltage PE sheathed cables, and bare conductors. It also provides mining cables, such as medium voltage cables for fixed installations, and low voltage infrastructure cables; and cables for solar farms and rooftops. The company was incorporated in 1952 and is based in Lima, Peru. Industrias del Cobre Sociedad Anónima operates as a subsidiary of Invercable S.A.</t>
  </si>
  <si>
    <t>Industrias Electro Químicas S.A. (BVL:IEQSAI1)</t>
  </si>
  <si>
    <t>Industrias Electro Químicas S.A.</t>
  </si>
  <si>
    <t>IEQSAI1</t>
  </si>
  <si>
    <t>Industrias Electro Químicas S.A. engages in the production and sale of metallurgical zinc derivatives in South America. It offers rolled zinc, chemical products, such as zinc oxide, plates, sheets, coils, and zinc alloys; anodes for electroplating; and zinc callots for batteries. The company was founded in 1963 and is based in Callao, Peru.</t>
  </si>
  <si>
    <t>Industrias Estra S.A. (BVC:ESTRA)</t>
  </si>
  <si>
    <t>Industrias Estra S.A.</t>
  </si>
  <si>
    <t>ESTRA</t>
  </si>
  <si>
    <t>Housewares and Specialties Producers</t>
  </si>
  <si>
    <t>Industrias Estra S.A. manufactures, distributes, and marketing of plastic products in Colombia. The company offers containers, such as basic, glass, hermetic, and freezing containers; buckets and punch bowls, clothes baskets, cleaning carts, warning signs, and bathroom accessories; storage and transport boxes; non-slip floor covers, industrial filters, anti-waste feeders, and gallon drinkers; kitchen accessories, trays, trolleys, drainers, measuring containers, bowls and jugs, and utensils; boxes with clasps and multipurpose boxes; chests of drawers and cabinets, baskets, yards, lockers, and multi shelves; lunchboxes, insulated refrigerators, insulated thermos, and thermos and jugs; and bathtubs for children. It also provides industrial boxes, poultry, and horeca products; and waste management products, including bags, containers, sharps, bins, and ecological points. Industrias Estra S.A. was incorporated in 1953 and is based in Medellín, Colombia.</t>
  </si>
  <si>
    <t>InFinance XP S.A. (BVL:INFIXPC1)</t>
  </si>
  <si>
    <t>InFinance XP S.A.</t>
  </si>
  <si>
    <t>INFIXPC1</t>
  </si>
  <si>
    <t>InFinance XP S.A., a finance company, provides financial products and services in Peru. The company offers fixed-term deposit, CTS, and savings accounts; cash credit and other loans; credit cards; and insurance against card protection. The company was formerly known as Financiera Oh! S.A and changed its name to InFinance XP S.A. on February 2026. InFinance XP S.A. was founded in 2009 and is based in Lima, Peru. InFinance XP S.A. operates as a former subsidiary of IFH Retail Corporation. As of April 1, 2026, InFinance XP S.A. operates as a joint venture between Intercorp Financial Services Inc. and InRetail Perú Corp.</t>
  </si>
  <si>
    <t>Infodema S.A. (SNSE:INFODEMA)</t>
  </si>
  <si>
    <t>Infodema S.A.</t>
  </si>
  <si>
    <t>INFODEMA</t>
  </si>
  <si>
    <t>Infodema S.A. manufactures, markets, and sells foliated sheets, coiled sheets, plywood or plywood boards, and veneered boards in Chile and internationally. The company was founded in 1942 and is based in Valdivia, Chile.</t>
  </si>
  <si>
    <t>Ingevec S.A. (SNSE:INGEVEC)</t>
  </si>
  <si>
    <t>Ingevec S.A.</t>
  </si>
  <si>
    <t>INGEVEC</t>
  </si>
  <si>
    <t>Ingevec S.A., together with its subsidiaries, engages in the engineering and construction business in Chile. The company operates through Engineering and Construction; Real Estate; and Investment and Income segments. It is involved in the study, promotion, administration, and execution of real estate projects and developments, which includes homes, buildings, civil, and other related works, as well as offers architecture and engineering services; and provision of professional and consultancy services. The company also invests in hotel and office projects located in Chile and Peru. Ingevec S.A. was founded in 1983 and is based in Santiago, Chile.</t>
  </si>
  <si>
    <t>Inmobiliaria Central de Estacionamientos Agustinas S.A. (SNSE:ESTACIONAM)</t>
  </si>
  <si>
    <t>Inmobiliaria Central de Estacionamientos Agustinas S.A.</t>
  </si>
  <si>
    <t>ESTACIONAM</t>
  </si>
  <si>
    <t>Environmental and Facilities Services</t>
  </si>
  <si>
    <t>Inmobiliaria Central de Estacionamientos Agustinas S.A. provides and manages rental services for car parking lots. The company was founded in 1972 and is based in Santiago, Chile.</t>
  </si>
  <si>
    <t>Inmobiliaria IDE S.A. (BVL:IIDEI1)</t>
  </si>
  <si>
    <t>Inmobiliaria IDE S.A.</t>
  </si>
  <si>
    <t>IIDEI1</t>
  </si>
  <si>
    <t>Inmobiliaria IDE S.A. primarily engages in the real estate business in Peru. It is involved in the purchase, sale, and marketing of movable and immovable properties; and brokerage, purchase, sale, import, export, leasing, subletting, administration, and investment in real estate. The company was incorporated in 2011 and is based in Lima, Peru. Inmobiliaria IDE S.A. operates as a subsidiary of Unión de Cervecerías Peruanas Backus y Johnston S.A.A.</t>
  </si>
  <si>
    <t>Inmobiliaria Manquehue S.A. (SNSE:MANQUEHUE)</t>
  </si>
  <si>
    <t>Inmobiliaria Manquehue S.A.</t>
  </si>
  <si>
    <t>MANQUEHUE</t>
  </si>
  <si>
    <t>Homebuilding Producers</t>
  </si>
  <si>
    <t>Inmobiliaria Manquehue S.A. engages in real estate development business in Chile. The company develops homes and apartments in the metropolitan and VI region. In addition, it also sells panels for residential development and equipment. The company was formerly known as Inmobiliaria y Urbanizadora and changed its name to Inmobiliaria Manquehue S.A. in 2007. Inmobiliaria Manquehue S.A. was founded in 1978 and is based in Vitacura, Chile.</t>
  </si>
  <si>
    <t>Inmobiliaria San Patricio S.A. (SNSE:ISANPA)</t>
  </si>
  <si>
    <t>Inmobiliaria San Patricio S.A.</t>
  </si>
  <si>
    <t>ISANPA</t>
  </si>
  <si>
    <t>Inmobiliaria San Patricio S.A. engages in the real estate business in Chile. The company acquires, manages, exploits, markets, leases, subleases, buys, and sell real estate properties for residential, commercial, industrial, agricultural, and forestry. It also involved in production, processing, industrialization, and marketing of forest goods and related wood products. The company was founded in 2004 and is based in Las Condes, Chile. Inmobiliaria San Patricio S.A. is a subaisiary of Inversiones Cordillera Inmobiliaria Spa.</t>
  </si>
  <si>
    <t>Inmobiliaria SIC S.A. (BVL:ISICC1)</t>
  </si>
  <si>
    <t>Inmobiliaria SIC S.A.</t>
  </si>
  <si>
    <t>ISICC1</t>
  </si>
  <si>
    <t>Inmobiliaria Sic S.A. engages in the real estate activities in Peru. The company was founded in 2019 and is based in San Isidro, Peru.</t>
  </si>
  <si>
    <t>InRetail Perú Corp. (BVL:INRETC1)</t>
  </si>
  <si>
    <t>InRetail Perú Corp.</t>
  </si>
  <si>
    <t>INRETC1</t>
  </si>
  <si>
    <t>InRetail Perú Corp., together with its subsidiaries, operates as a multi-format retailer primarily in Peru. It operates through five segments: Food Retail, Pharmacies, Distribution, Shopping Malls, and Digital, and Others. The company operates hypermarkets; pharmacies under the Inkafarma and Mifarma brand names; shopping centers under the Real Plaza brand; and supermarkets under the Plaza Vea Hiper, Plaza Vea Super, Vivanda, Makro, and Mass brand names. It also engages in development of real estate; distribution of pharmaceutical products; commercialization of cosmetic and pharmaceutical products, as well as food for medical use; leasing of space; and provision of digital services. InRetail Perú Corp. was incorporated in 2011 and is headquartered in Lima, Peru. InRetail Perú Corp. is a subsidiary of Intercorp Retail Inc.</t>
  </si>
  <si>
    <t>Instituto de Diagnóstico S.A. (SNSE:INDISA)</t>
  </si>
  <si>
    <t>Instituto de Diagnóstico S.A.</t>
  </si>
  <si>
    <t>INDISA</t>
  </si>
  <si>
    <t>Instituto de Diagnóstico S.A. provides health services in Chile. It offers patient information and exams instruction, and online services; specialties services; and outpatient services including urgency, laboratory, imaging, vaccination, blood bank, outpatient procedures, and reproductive medicine unit. The company also provides hospitalization services, such as maternity, adult and pediatric hospitalization, adult critical patient unit, pavilion and surgical procedures, neonatology, and robotic surgery; and telemedicine services comprising online consultation and rehabilitation. In addition, it operates health centers, which includes metabolic surgery and nutrition, thyroid and parathyroid, physical medicine and rehabilitation, endometriosis, hemodynamics service, and dialysis centers, as well as provide insurance products. Further, the company offers research and training services, as well as newborn, school, and accident agreements. Instituto de Diagnóstico S.A. was founded in 1961 and is headquartered in Providencia, Chile.</t>
  </si>
  <si>
    <t>Integratel Perú S.A.A. (BVL:INTPEBC1)</t>
  </si>
  <si>
    <t>Integratel Perú S.A.A.</t>
  </si>
  <si>
    <t>INTPEBC1</t>
  </si>
  <si>
    <t>Integratel Perú S.A.A. operates as a telecommunications company in Peru. The company offers mobile telephony, Internet, and fixed telephony services; data transmission and information technology services; national and international long distance bearer services; and mobile satellite and pay television services. The company was formerly known as Telefónica del Perú S.A.A. and changed its name to Integratel Perú S.A.A. in June 2025. The company was founded in 1920 and is based in Surquillo, Peru. As of April 13, 2025, Telefónica del Perú S.A.A. operates as a subsidiary of Integra Tec International Inc.</t>
  </si>
  <si>
    <t>Interconexión Eléctrica S.A. E.S.P. (BVC:ISA)</t>
  </si>
  <si>
    <t>Interconexión Eléctrica S.A. E.S.P.</t>
  </si>
  <si>
    <t>ISA</t>
  </si>
  <si>
    <t>Interconexión Eléctrica S.A. E.S.P. engages in the electric power, roads, and ICT and telecommunications business activities. It designs, builds, operates, and maintains high voltage power transmission systems; connects generators, operators, and consumers to electrical systems; constructs infrastructure projects; and provides maintenance services, as well as electrical and energy studies. The company also designs, builds, operates, and maintains highway infrastructure; and offers telecommunications and ICT solutions. The company was founded in 1967 and is based in Medellín, Colombia. Interconexión Eléctrica S.A. E.S.P. operates as a subsidiary of Ecopetrol S.A.</t>
  </si>
  <si>
    <t>Intercorp Financial Services Inc. (BVL:IFS)</t>
  </si>
  <si>
    <t>Intercorp Financial Services Inc.</t>
  </si>
  <si>
    <t>IFS</t>
  </si>
  <si>
    <t>Intercorp Financial Services Inc., together with its subsidiaries, provides banking, insurance, wealth management, and payment services for retail and commercial clients in Peru. The company offers loans, credit facilities, deposits, and current accounts; life annuity products with single payment and life insurance products, as well as other retail insurance products; and brokerage and investment management services. It also engages in the development, management, operation, and processing of credit and debit cards; facilitation of payments and services through commercial stores; and installation and maintenance of infrastructure for transactions through electronic commerce modality and networks of payment methods processors. In addition, the company manages mutual funds and investment funds; and provides investment consultancy and related services. The company was incorporated in 1897 and is headquartered in Lima, Peru. Intercorp Financial Services Inc. operates as a subsidiary of Intercorp Perú Ltd.</t>
  </si>
  <si>
    <t>Invercap S.A. (SNSE:INVERCAP)</t>
  </si>
  <si>
    <t>Invercap S.A.</t>
  </si>
  <si>
    <t>INVERCAP</t>
  </si>
  <si>
    <t>Invercap S.A. operates in the mining and non-steel businesses in Chile, Argentina, and Peru. It operates through three segments: Mining, Industrial, and Infrastructure. The company is involved in extraction and sale of limestone, development of port, iron mining, and logistics activities, including the unloading of caustic soda, as well as provision of engineering and project operation services. It also exports its products in the United States, Asia, and Oceania. Invercap S.A. was founded in 1994 and is based in Santiago, Chile.</t>
  </si>
  <si>
    <t>Inverfal Perú S.A.A. (BVL:INVFALC1)</t>
  </si>
  <si>
    <t>Inverfal Perú S.A.A.</t>
  </si>
  <si>
    <t>INVFALC1</t>
  </si>
  <si>
    <t>Inverfal Perú S.A.A. engages in investing in fixed or variable income securities in Peru. It operates through Retail Activity, Financial Activity, and Other Services segments. It is involved in the operation of department stores, supermarkets, hypermarkets, and home improvement stores; banking; and real estate management and investment activities. In addition, the company acts as an insurance broker; and provides sundry, administrative, information technology, and call center services. The company was incorporated in 2019 and is based in San Isidro, Peru. Inverfal Perú S.A.A. is a subsidiary of Inversora Falken S.A.</t>
  </si>
  <si>
    <t>Invernova S.A. (SNSE:INVERNOVA)</t>
  </si>
  <si>
    <t>Invernova S.A.</t>
  </si>
  <si>
    <t>INVERNOVA</t>
  </si>
  <si>
    <t>Invernova S.A. engages in the investment, purchase, sale, disposal, and marketing of movable and immovable property, commercial papers, shares, bonds, and other securities. The company invests, develops, builds, and sells real estate projects. It also invests in associated companies. The company was founded in 1998 and is based in Santiago, Chile. Invernova S.A. is a subsidiary of P Y S S.A.</t>
  </si>
  <si>
    <t>Inversiones Aguas Metropolitanas S.A. (SNSE:IAM)</t>
  </si>
  <si>
    <t>Inversiones Aguas Metropolitanas S.A.</t>
  </si>
  <si>
    <t>IAM</t>
  </si>
  <si>
    <t>Inversiones Aguas Metropolitanas S.A., through its subsidiaries, engages in the sanitation business in Chile. The company operates through Water and Non-Water segments. The Water Utility segment production and distribution of drinking water; and collects and treats sewage water. The Non-Water segment is involved in e industrial waste treatment, comprehensive industrial waste, engineering services, energy projects, and biogas. The company was incorporated in 1999 and is based in Las Condes, Chile. Inversiones Aguas Metropolitanas S.A. operates as a subsidiary of Suez Inversiones Aguas del Gran Santiago Limitada.</t>
  </si>
  <si>
    <t>Inversiones Centenario S.A.A. (BVL:INVCENC1)</t>
  </si>
  <si>
    <t>Inversiones Centenario S.A.A.</t>
  </si>
  <si>
    <t>INVCENC1</t>
  </si>
  <si>
    <t>Inversiones Centenario S.A.A., together with its subsidiaries, operates as a real estate company in Peru. It operates through Urban Development and Real Estate Rental segments. It owns a portfolio of urban development, industrial development, and offices. The company also develops and markets residential and industrial lots. In addition, it operates hotels; and invests in housing. Inversiones Centenario S.A.A. was founded in 1929 and is based in Lima, Peru.</t>
  </si>
  <si>
    <t>Inversiones Corporativas A1 S.A. (BVL:INVCORI1)</t>
  </si>
  <si>
    <t>Inversiones Corporativas A1 S.A.</t>
  </si>
  <si>
    <t>INVCORI1</t>
  </si>
  <si>
    <t>Inversiones Corporativas A1 S.A. markets tires and related accessories in Peru. The company is based in Lima, Peru.</t>
  </si>
  <si>
    <t>Inversiones Covadonga S.A. (SNSE:COVADONGA)</t>
  </si>
  <si>
    <t>Inversiones Covadonga S.A.</t>
  </si>
  <si>
    <t>COVADONGA</t>
  </si>
  <si>
    <t>Inversiones Covadonga S.A. engages in the investment activities. It invests in shares, rights in, companies, and securities. in Chile. The company was incorporated in 1989 and is based in Santiago, Chile.</t>
  </si>
  <si>
    <t>Inversiones en Turismo S.A. (BVL:INVERTC1)</t>
  </si>
  <si>
    <t>Inversiones en Turismo S.A.</t>
  </si>
  <si>
    <t>INVERTC1</t>
  </si>
  <si>
    <t>Inversiones en Turismo S.A., together with its subsidiaries, engages in administration, economic exploitation, and operation of hotels in Peru. The company operates hotels under the Las Dunas name. Its hotels provide rooms, experiences, gastronomy, and packages, as well as events, including conventions, weddings, special events, and request for proposals. Inversiones en Turismo S.A. was incorporated in 1975 and is based in Ica, Peru.</t>
  </si>
  <si>
    <t>Inversiones Equipos Y Servicios S.A. (BVC:INESA)</t>
  </si>
  <si>
    <t>Inversiones Equipos Y Servicios S.A.</t>
  </si>
  <si>
    <t>INESA</t>
  </si>
  <si>
    <t>Inversiones Equipos Y Servicios S.A. is involved in the cultivation and sales of sugar cane for sugar mills in Colombia. The company was founded in 1975 and is based in Palmira, Colombia.</t>
  </si>
  <si>
    <t>Inversiones La Construcción S.A. (SNSE:ILC)</t>
  </si>
  <si>
    <t>Inversiones La Construcción S.A.</t>
  </si>
  <si>
    <t>ILC</t>
  </si>
  <si>
    <t>Inversiones La Construcción S.A. operates in the financial and health sectors in Chile, Peru, and Colombia. It operates through six segments: AFP, Ispare, Insurance, Health, Banking, and Other segments. The company is involved in the management of products related to savings and retirement, including mandatory individual retirement savings; individual and group voluntary retirement savings; voluntary individual savings; management and payment of pensions under scheduled or temporary withdrawal programs through a network of branches and digital platforms, such as websites, call centers, and mobile applications; and provision of health insurance solutions, plans, and supplementary products and collective credit life insurance for mortgages, as well as educational and information technology services. It also provides savings and retirement products, such as annuities, individual life insurance, consumer loans for pensioners, and credit life insurance; and corporate and retail banking products comprising checking accounts, lines of credit, insurance, financing, state guarantees, foreign trade, leasing, factoring, investments, cash management, treasury, mortgages, investments, and online time deposits. In addition, the company operates inpatient, outpatient, and dental networks; and manages financial and real estate assets. Inversiones La Construcción S.A. was founded in 1980 and is based in Santiago, Chile. Inversiones La Construcción S.A. operates as a subsidiary of Cámara Chilena de La Construcción A.G., Endowment Arm.</t>
  </si>
  <si>
    <t>Inversiones Nutravalor S.A. (SNSE:NUTRAVALOR)</t>
  </si>
  <si>
    <t>Inversiones Nutravalor S.A.</t>
  </si>
  <si>
    <t>NUTRAVALOR</t>
  </si>
  <si>
    <t>Inversiones Nutravalor S.A., an investment company, engages in the production and sale of fishmeal and fish oil in Chile and internationally. It also provides canned fish, jack mackerel and mackerel, tuna, and mussel’s products; frozen fruits comprising berries; food products, such as pasta, tomato sauces, canned fruits and vegetables, rice, and oil; and coffee and tea products. The company was formerly known as Empresa Pesquera Eperva S.A. and changed its name to Inversiones Nutravalor S.A. in August 2021. Inversiones Nutravalor S.A. was founded in 1956 and is based in Santiago, Chile.</t>
  </si>
  <si>
    <t>Inversiones Portuarias Chancay S.A.A. (BVL:IPCHAC1)</t>
  </si>
  <si>
    <t>Inversiones Portuarias Chancay S.A.A.</t>
  </si>
  <si>
    <t>IPCHAC1</t>
  </si>
  <si>
    <t>Inversiones Portuarias Chancay S.A.A. invests in, develops, constructs, maintains, expands, administers, manages, and operates Chancay port and maritime terminals in Peru. It also provides advisory services. The company was founded in 2023 and is based in Lima, Peru.</t>
  </si>
  <si>
    <t>Inversiones Siemel S.A. (SNSE:SIEMEL)</t>
  </si>
  <si>
    <t>Inversiones Siemel S.A.</t>
  </si>
  <si>
    <t>SIEMEL</t>
  </si>
  <si>
    <t>Inversiones Siemel S.A., an investment holding company, operates in the agribusiness and agriculture, real estate, finance, and information technology sectors in Chile. The company offers flexible solutions for renting storage spaces and offices for individuals and companies; rents warehouses, integrated offices, and commercial premises; develops livestock, as well as fruit plantations, such as cherries, plums, and almonds; and produces and markets  beef, sheep meat, and wool, as well as cheese under the Boladero brand. It also manages hotels and car rental business; and is involved in exploitation of agricultural properties, plantations, and olive production. The company was formerly known as Agricultural Investment and Industrial Siemel SA. Inversiones Siemel S.A. was founded in 1980 and is based in Las Condes, Chile. Inversiones Siemel S.A. is a subsidiary of Inversiones Angelini Y Compania Limitada.</t>
  </si>
  <si>
    <t>Inversiones Tricahue S.A. (SNSE:TRICAHUE)</t>
  </si>
  <si>
    <t>Inversiones Tricahue S.A.</t>
  </si>
  <si>
    <t>TRICAHUE</t>
  </si>
  <si>
    <t>Inversiones Tricahue S.A. operates as an investment company in Chile. It acquires and sells shares of Empresa Eléctrica Pehuenche SA. The company is based in Santiago, Chile.</t>
  </si>
  <si>
    <t>Inversiones Unespa S.A. (SNSE:UNESPA)</t>
  </si>
  <si>
    <t>Inversiones Unespa S.A.</t>
  </si>
  <si>
    <t>UNESPA</t>
  </si>
  <si>
    <t>Inversiones Unespa S.A. invests in personal and real properties. It also invests in tangible and intangible assets, shares, rights in companies, and other securities. The company was founded in 1918 and is based in Santiago, Chile.</t>
  </si>
  <si>
    <t>Inversiones Unión Española S.A. (SNSE:INVIESPA)</t>
  </si>
  <si>
    <t>Inversiones Unión Española S.A.</t>
  </si>
  <si>
    <t>INVIESPA</t>
  </si>
  <si>
    <t>Inversiones Unión Española S.A. engages in investment activities. The company invests in furniture and properties; tangible and intangible assets; and shares, corporate rights, and securities. Inversiones Unión Española S.A. is headquartered in Santiago, Chile.</t>
  </si>
  <si>
    <t>Inversiones Venecia S.A. (BVC:INVENSA)</t>
  </si>
  <si>
    <t>Inversiones Venecia S.A.</t>
  </si>
  <si>
    <t>INVENSA</t>
  </si>
  <si>
    <t>Inversiones Venecia S.A. engages in cultivation and sale of sugarcane in Colombia. The company was incorporated in 1985 and is based in Palmira, Colombia.</t>
  </si>
  <si>
    <t>Invertec Foods S.A. (SNSE:INVERFOODS)</t>
  </si>
  <si>
    <t>Invertec Foods S.A.</t>
  </si>
  <si>
    <t>INVERFOODS</t>
  </si>
  <si>
    <t>Invertec Foods S.A. grows and processes fruits and vegetables in Chile. It offers dehydrated vegetables, juices and purees, and frozen fruits and vegetables. The company also provides apple chips and crunch coins, and apple instant purees to the retail industry. It also exports its products to approximately 40 countries. The company was founded in 1988 and is headquartered in Santiago, Chile. Invertec Foods S.A. is a subsidiary of Invertec Ltda.</t>
  </si>
  <si>
    <t>Ipal S.A. (SNSE:IPAL)</t>
  </si>
  <si>
    <t>Ipal S.A.</t>
  </si>
  <si>
    <t>IPAL</t>
  </si>
  <si>
    <t>Ipal S.A., together with its subsidiaries, engages in food business in Chile. The company operates through two segments, Food Business and Tourism Business. It is involved in the production of cereals, cereal bars, snacks, dehydrated products, dairy blends, and functional food under the Proalsa brand; develops products for third parties and concessionaires; provides prepared meals and customized catering solutions for casinos, restaurants, dealerships, airlines, and hospitals under the Innovalim brand; invests and develops real estate projects; developing tourism experiences; and agricultural business. The company offers breakfasts, lunches, and snacks services to educational establishments under the Hendaya brand. Ipal S.A. was incorporated in 1952 and is headquartered in Santiago, Chile.</t>
  </si>
  <si>
    <t>Itau Administradora General De Fondos S.A. - Fondo De Inversion Brazil Index (SNSE:CFI.ITABRI)</t>
  </si>
  <si>
    <t>Itau Administradora General De Fondos S.A. - Fondo De Inversion Brazil Index</t>
  </si>
  <si>
    <t>CFI.ITABRI</t>
  </si>
  <si>
    <t>La Positiva Seguros y Reaseguros S.A. (BVL:POSITIC1)</t>
  </si>
  <si>
    <t>La Positiva Seguros y Reaseguros S.A.</t>
  </si>
  <si>
    <t>POSITIC1</t>
  </si>
  <si>
    <t>Multiline</t>
  </si>
  <si>
    <t>Insurance Underwriter</t>
  </si>
  <si>
    <t>La Positiva Seguros y Reaseguros S.A. provides insurance and reinsurance products and services to individuals and business customers in Peru. The company offers vehicle, home, card and credit, health, oncology, accident, family life, life, funeral, life and savings, and travel insurance products. It also provides property, equipment and machinery, and agricultural insurance products, as well as insurance products for negotiations and guarantees. La Positiva Seguros y Reaseguros S.A. was incorporated in 1937 and is headquartered in San Isidro, Peru. La Positiva Seguros y Reaseguros S.A. is a subsidiary of Fidelidade - Companhia de Seguros, S.A.</t>
  </si>
  <si>
    <t>Laive S.A. (BVL:LAIVEBC1)</t>
  </si>
  <si>
    <t>Laive S.A.</t>
  </si>
  <si>
    <t>LAIVEBC1</t>
  </si>
  <si>
    <t>Laive S.A. engages in the provision of healthy and nutritious food products in Peru. The company provides milks, yogurts and fermented foods, cheeses, sausages, spreads, vegetables, culinary, fruit and dairy drinks, and ready desserts. It offers its products under the Laive, Velarde Spleen, Swiss, Watts, Laive Nutrilac, Laive Sbelt, Greek Laive, Laive Vio, Laive Biodefense, Laive Protein, Laive Yopi, Laive Deliavena, Laive Swiss, Laive Lactose Free, The preferred one, and Laive Muuushake brand names. The company serves wineries, bakeries, markets and wholesalers, restaurants, pastry shops, caterings, and hotels, as well as other sectors. Laive S.A. was founded in 1910 and is based in Ate, Peru.</t>
  </si>
  <si>
    <t>Larrain Vial Act. Sa AGF - Fondo De Inversion Activa Deuda Hipotecaria Con Subsidio Habitacional I (SNSE:CFID1HS)</t>
  </si>
  <si>
    <t>Larrain Vial Act. Sa AGF - Fondo De Inversion Activa Deuda Hipotecaria Con Subsi</t>
  </si>
  <si>
    <t>CFID1HS</t>
  </si>
  <si>
    <t>Larrain Vial Activos S A - Baring Asia Private Equity Fund VIII Fund (SNSE:CFI.BAP8FE)</t>
  </si>
  <si>
    <t>Larrain Vial Activos S A - Baring Asia Private Equity Fund VIII Fund</t>
  </si>
  <si>
    <t>CFI.BAP8FE</t>
  </si>
  <si>
    <t>Larrain Vial Activos S A - Cuota De Fondo De Inversion (SNSE:CFIAFESA)</t>
  </si>
  <si>
    <t>Larrain Vial Activos S A - Cuota De Fondo De Inversion</t>
  </si>
  <si>
    <t>CFIAFESA</t>
  </si>
  <si>
    <t>Larrain Vial Activos S A Administradora General De Fondos - Cuota De Fondo De Inversion (SNSE:CFIDHS2.A)</t>
  </si>
  <si>
    <t>Larrain Vial Activos S A Administradora General De Fondos - Cuota De Fondo De In</t>
  </si>
  <si>
    <t>CFIDHS2.A</t>
  </si>
  <si>
    <t>Larrain Vial Activos S.A. - Fondo de Inversion Sembrador IV (SNSE:CFISMB4F.E)</t>
  </si>
  <si>
    <t>Larrain Vial Activos S.A. - Fondo de Inversion Sembrador IV</t>
  </si>
  <si>
    <t>CFISMB4F.E</t>
  </si>
  <si>
    <t>Larrain Vial Activos S.A. Administradora General - FI Larrain Vial Mexico Mezzanine (SNSE:CFILVMXA.E)</t>
  </si>
  <si>
    <t>Larrain Vial Activos S.A. Administradora General - FI Larrain Vial Mexico Mezzan</t>
  </si>
  <si>
    <t>CFILVMXA.E</t>
  </si>
  <si>
    <t>Larrain Vial Activos S.A. Administradora General - Fondo De Inversion Marathon Eco III Fund (SNSE:CFIMECOP.E)</t>
  </si>
  <si>
    <t>Larrain Vial Activos S.A. Administradora General - Fondo De Inversion Marathon E</t>
  </si>
  <si>
    <t>CFIMECOP.E</t>
  </si>
  <si>
    <t>Larrain Vial Activos S.A. Administradora General de Fondos - Fondo De Inversion Activa Deuda Hipotec (SNSE:CFIDHS4B.E)</t>
  </si>
  <si>
    <t>Larrain Vial Activos S.A. Administradora General de Fondos - Fondo De Inversion</t>
  </si>
  <si>
    <t>CFIDHS4B.E</t>
  </si>
  <si>
    <t>Larrain Vial Activos S.A. Administradora General De Fondos- Fondo De Inversión Activa Auto Cartera P (SNSE:CFICPR2.E)</t>
  </si>
  <si>
    <t>Larrain Vial Activos S.A. Administradora General De Fondos- Fondo De Inversión A</t>
  </si>
  <si>
    <t>CFICPR2.E</t>
  </si>
  <si>
    <t>Larrain Vial Activos S.A. Administradora General De Fondos- Fondo De Inversión T (SNSE:CFILVTPL)</t>
  </si>
  <si>
    <t>Larrain Vial Activos S.A. Administradora General De Fondos- Fondo De Inversión T</t>
  </si>
  <si>
    <t>CFILVTPL</t>
  </si>
  <si>
    <t>LARRAIN VIAL ACTIVOS SA ADMIN GEN  - FI Larrain Vial ACP Secondaries 4 Fund (SNSE:CFIACP4F.E)</t>
  </si>
  <si>
    <t>LARRAIN VIAL ACTIVOS SA ADMIN GEN  - FI Larrain Vial ACP Secondaries 4 Fund</t>
  </si>
  <si>
    <t>CFIACP4F.E</t>
  </si>
  <si>
    <t>Larrain Vial Activos Sa Admin Gen -  FI Larrain Vial ACP Secondaries 5 Fund (SNSE:CFIACP5F.E)</t>
  </si>
  <si>
    <t>Larrain Vial Activos Sa Admin Gen -  FI Larrain Vial ACP Secondaries 5 Fund</t>
  </si>
  <si>
    <t>CFIACP5F.E</t>
  </si>
  <si>
    <t>Larrain Vial Activos Sa Admin Gen - Activa Opn CASA SGL Fam Rental U.S.A Fund (SNSE:CFI.AOCSAE)</t>
  </si>
  <si>
    <t>Larrain Vial Activos Sa Admin Gen - Activa Opn CASA SGL Fam Rental U.S.A Fund</t>
  </si>
  <si>
    <t>CFI.AOCSAE</t>
  </si>
  <si>
    <t>Larrain Vial Activos Sa Admin Gen - Fi Activa Estrategis Automotrix - Fund (SNSE:CFIAEAB.E)</t>
  </si>
  <si>
    <t>Larrain Vial Activos Sa Admin Gen - Fi Activa Estrategis Automotrix - Fund</t>
  </si>
  <si>
    <t>CFIAEAB.E</t>
  </si>
  <si>
    <t>Larrain Vial Activos Sa Admin Gen - FI Activa Pagos Digitales Fund (SNSE:CFIPADIA)</t>
  </si>
  <si>
    <t>Larrain Vial Activos Sa Admin Gen - FI Activa Pagos Digitales Fund</t>
  </si>
  <si>
    <t>CFIPADIA</t>
  </si>
  <si>
    <t>Larrain Vial Activos Sa Admin Gen - FI Equity Automotriz Fund (SNSE:CFIEQAUP.E)</t>
  </si>
  <si>
    <t>Larrain Vial Activos Sa Admin Gen - FI Equity Automotriz Fund</t>
  </si>
  <si>
    <t>CFIEQAUP.E</t>
  </si>
  <si>
    <t>Larrain Vial Activos Sa Admin Gen - FI Equity Automotriz I (SNSE:CFIEQAUI.E)</t>
  </si>
  <si>
    <t>Larrain Vial Activos Sa Admin Gen - FI Equity Automotriz I</t>
  </si>
  <si>
    <t>CFIEQAUI.E</t>
  </si>
  <si>
    <t>Larrain Vial Activos Sa Admin Gen - FI Equity Automotriz UNICA (SNSE:CFIEQAUR.E)</t>
  </si>
  <si>
    <t>Larrain Vial Activos Sa Admin Gen - FI Equity Automotriz UNICA</t>
  </si>
  <si>
    <t>CFIEQAUR.E</t>
  </si>
  <si>
    <t>Larrain Vial Activos Sa Admin Gen - FI Larrain Vial BCP (SNSE:CFIDRE4C.E)</t>
  </si>
  <si>
    <t>Larrain Vial Activos Sa Admin Gen - FI Larrain Vial BCP</t>
  </si>
  <si>
    <t>CFIDRE4C.E</t>
  </si>
  <si>
    <t>Larrain Vial Activos Sa Admin Gen - Fi Larrain Vial Fibra (SNSE:CFILVDXI.E)</t>
  </si>
  <si>
    <t>Larrain Vial Activos Sa Admin Gen - Fi Larrain Vial Fibra</t>
  </si>
  <si>
    <t>CFILVDXI.E</t>
  </si>
  <si>
    <t>Larrain Vial Activos SA Admin Gen - FI Larrain Vial Harbouvest US Fund (SNSE:CFIHVUAE.E)</t>
  </si>
  <si>
    <t>Larrain Vial Activos SA Admin Gen - FI Larrain Vial Harbouvest US Fund</t>
  </si>
  <si>
    <t>CFIHVUAE.E</t>
  </si>
  <si>
    <t>Larrain Vial Activos Sa Admin Gen - Fi Larrain Vial Marathon Dcf Fund (SNSE:CFI.LVMDCE)</t>
  </si>
  <si>
    <t>Larrain Vial Activos Sa Admin Gen - Fi Larrain Vial Marathon Dcf Fund</t>
  </si>
  <si>
    <t>CFI.LVMDCE</t>
  </si>
  <si>
    <t>Larrain Vial Activos Sa Admin Gen - Fi Larrain Vial Private Debt Midmarket US Fund (SNSE:CFI.PDUEE)</t>
  </si>
  <si>
    <t>Larrain Vial Activos Sa Admin Gen - Fi Larrain Vial Private Debt Midmarket US Fu</t>
  </si>
  <si>
    <t>CFI.PDUEE</t>
  </si>
  <si>
    <t>Larrain Vial Activos SA Admin Gen - FI Larrain Vial Programa DE Alt Fund (SNSE:CFI.PRALLE)</t>
  </si>
  <si>
    <t>Larrain Vial Activos SA Admin Gen - FI Larrain Vial Programa DE Alt Fund</t>
  </si>
  <si>
    <t>CFI.PRALLE</t>
  </si>
  <si>
    <t>Larrain Vial Activos SA Admin Gen - Fi Multifamily Fund (SNSE:CFI.LVMFPE)</t>
  </si>
  <si>
    <t>Larrain Vial Activos SA Admin Gen - Fi Multifamily Fund</t>
  </si>
  <si>
    <t>CFI.LVMFPE</t>
  </si>
  <si>
    <t>Larrain Vial Activos SA Admin Gen - Fondo De Inversion Activa Deuda Hipotecaria (SNSE:CFIDHS4A)</t>
  </si>
  <si>
    <t>Larrain Vial Activos SA Admin Gen - Fondo De Inversion Activa Deuda Hipotecaria</t>
  </si>
  <si>
    <t>CFIDHS4A</t>
  </si>
  <si>
    <t>Larrain Vial Activos SA Admin Gen - Fondo de Inversion Activa Leasing Habitacional Deuda Hipotecaria (SNSE:CFIALHDA.E)</t>
  </si>
  <si>
    <t>Larrain Vial Activos SA Admin Gen - Fondo de Inversion Activa Leasing Habitacion</t>
  </si>
  <si>
    <t>CFIALHDA.E</t>
  </si>
  <si>
    <t>Larrain Vial Activos Sa Admin Gen - Fondo de Inversión Activa Rentas ERNC I Fund (SNSE:CFIARE1A.E)</t>
  </si>
  <si>
    <t>Larrain Vial Activos Sa Admin Gen - Fondo de Inversión Activa Rentas ERNC I Fund</t>
  </si>
  <si>
    <t>CFIARE1A.E</t>
  </si>
  <si>
    <t>Larrain Vial Activos Sa Admin Gen - Fondo De Inversion Larrain Vial Landmark Equity XVI Fund (SNSE:CFILVLEQ.E)</t>
  </si>
  <si>
    <t>Larrain Vial Activos Sa Admin Gen - Fondo De Inversion Larrain Vial Landmark Equ</t>
  </si>
  <si>
    <t>CFILVLEQ.E</t>
  </si>
  <si>
    <t>Larrain Vial Activos Sa Admin Gen - Fondo de Inversión Olive Tree Ventures Fund (SNSE:CFIOTVA.E)</t>
  </si>
  <si>
    <t>Larrain Vial Activos Sa Admin Gen - Fondo de Inversión Olive Tree Ventures Fund</t>
  </si>
  <si>
    <t>CFIOTVA.E</t>
  </si>
  <si>
    <t>Larrain Vial Activos Sa Admin Gen - Fondo de Inversión Sembrador Fund (SNSE:CFISMB4A.E)</t>
  </si>
  <si>
    <t>Larrain Vial Activos Sa Admin Gen - Fondo de Inversión Sembrador Fund</t>
  </si>
  <si>
    <t>CFISMB4A.E</t>
  </si>
  <si>
    <t>Larrain Vial Activos Sa Admin Gen - Fondo Inversion Activa Estrategia Auto Fund (SNSE:CFIAEAA.E)</t>
  </si>
  <si>
    <t>Larrain Vial Activos Sa Admin Gen - Fondo Inversion Activa Estrategia Auto Fund</t>
  </si>
  <si>
    <t>CFIAEAA.E</t>
  </si>
  <si>
    <t>Larrain Vial Activos Sa Admin Gen - Fondo Inversion Activa Financiamiento Estruct Fund (SNSE:CFIAFE2R)</t>
  </si>
  <si>
    <t>Larrain Vial Activos Sa Admin Gen - Fondo Inversion Activa Financiamiento Estruc</t>
  </si>
  <si>
    <t>CFIAFE2R</t>
  </si>
  <si>
    <t>Larrain Vial Activos Sa Admin Gen - Fondo Inversion Activa Financiamiento Inmobiliario Fund (SNSE:CFIAFIIA.E)</t>
  </si>
  <si>
    <t>Larrain Vial Activos Sa Admin Gen - Fondo Inversion Activa Financiamiento Inmobi</t>
  </si>
  <si>
    <t>CFIAFIIA.E</t>
  </si>
  <si>
    <t>Larrain Vial Activos Sa Admin Gen - Fondo Inversion Activa Movilidad Fund (SNSE:CFIMOV2R.E)</t>
  </si>
  <si>
    <t>Larrain Vial Activos Sa Admin Gen - Fondo Inversion Activa Movilidad Fund</t>
  </si>
  <si>
    <t>CFIMOV2R.E</t>
  </si>
  <si>
    <t>Larrain Vial Activos Sa Admin Gen - Fondo Inversion Con Impacto En Educacion Fund (SNSE:CFIMEDUC.A)</t>
  </si>
  <si>
    <t>Larrain Vial Activos Sa Admin Gen - Fondo Inversion Con Impacto En Educacion Fun</t>
  </si>
  <si>
    <t>CFIMEDUC.A</t>
  </si>
  <si>
    <t>Larrain Vial Activos Sa Admin Gen - Fondo Inversion Landmark Real Estate Fund (SNSE:CFILVLRE.E)</t>
  </si>
  <si>
    <t>Larrain Vial Activos Sa Admin Gen - Fondo Inversion Landmark Real Estate Fund</t>
  </si>
  <si>
    <t>CFILVLRE.E</t>
  </si>
  <si>
    <t>Larrain Vial Activos Sa Admin Gen - Fondo Inversion Larrain Vial Apollo IX Fund (SNSE:CFILVAOP.E)</t>
  </si>
  <si>
    <t>Larrain Vial Activos Sa Admin Gen - Fondo Inversion Larrain Vial Apollo IX Fund</t>
  </si>
  <si>
    <t>CFILVAOP.E</t>
  </si>
  <si>
    <t>Larrain Vial Activos Sa Admin Gen - Fondo Inversion Larrain Vial Apollo X Fund (SNSE:CFI.APOXFE)</t>
  </si>
  <si>
    <t>Larrain Vial Activos Sa Admin Gen - Fondo Inversion Larrain Vial Apollo X Fund</t>
  </si>
  <si>
    <t>CFI.APOXFE</t>
  </si>
  <si>
    <t>Larrain Vial Activos Sa Admin Gen - Fondo Inversion Patio Industrial Unica Fund (SNSE:CFIPAINDU1)</t>
  </si>
  <si>
    <t>Larrain Vial Activos Sa Admin Gen - Fondo Inversion Patio Industrial Unica Fund</t>
  </si>
  <si>
    <t>CFIPAINDU1</t>
  </si>
  <si>
    <t>Larrain Vial Activos Sa Admin Gen - Fondo Inversion Patio Oficinas Unica (SNSE:CFIPA2OFIC)</t>
  </si>
  <si>
    <t>Larrain Vial Activos Sa Admin Gen - Fondo Inversion Patio Oficinas Unica</t>
  </si>
  <si>
    <t>CFIPA2OFIC</t>
  </si>
  <si>
    <t>Larrain Vial Activos Sa Admin Gen -Europe Pharma Online FI Fund (SNSE:CFIEPONR.E)</t>
  </si>
  <si>
    <t>Larrain Vial Activos Sa Admin Gen -Europe Pharma Online FI Fund</t>
  </si>
  <si>
    <t>CFIEPONR.E</t>
  </si>
  <si>
    <t>Larrain Vial Activos SA Admin Gen-FI Larrain Vial Deuda Automotriz Peru Fund (SNSE:CFILVDAR.E)</t>
  </si>
  <si>
    <t>Larrain Vial Activos SA Admin Gen-FI Larrain Vial Deuda Automotriz Peru Fund</t>
  </si>
  <si>
    <t>CFILVDAR.E</t>
  </si>
  <si>
    <t>Larrain Vial Activos SA Admin Gen-FI Larrain Vial Finan Estruc Peru Fund (SNSE:CFILVEPI.E)</t>
  </si>
  <si>
    <t>Larrain Vial Activos SA Admin Gen-FI Larrain Vial Finan Estruc Peru Fund</t>
  </si>
  <si>
    <t>CFILVEPI.E</t>
  </si>
  <si>
    <t>Larrain Vial Activos SA Admin Gen-Fondo de Inversión HPH II (SNSE:CFIHPH2A.E)</t>
  </si>
  <si>
    <t>Larrain Vial Activos SA Admin Gen-Fondo de Inversión HPH II</t>
  </si>
  <si>
    <t>CFIHPH2A.E</t>
  </si>
  <si>
    <t>Larrain Vial Activos SA Admin Gen-Fondo de Inversión HPH III Fund (SNSE:CFI.HPH3AE)</t>
  </si>
  <si>
    <t>Larrain Vial Activos SA Admin Gen-Fondo de Inversión HPH III Fund</t>
  </si>
  <si>
    <t>CFI.HPH3AE</t>
  </si>
  <si>
    <t>Larrain Vial Activos SA Admin Gen-Fondo Inversion Mall Pie Andino Unica Fund (SNSE:CFIMPA)</t>
  </si>
  <si>
    <t>Larrain Vial Activos SA Admin Gen-Fondo Inversion Mall Pie Andino Unica Fund</t>
  </si>
  <si>
    <t>CFIMPA</t>
  </si>
  <si>
    <t>Larrain Vial Activos Sa Admingral De Fdos - Fondo de Inversion Activa Mercado Pago (SNSE:CFIMERPA)</t>
  </si>
  <si>
    <t>Larrain Vial Activos Sa Admingral De Fdos - Fondo de Inversion Activa Mercado Pa</t>
  </si>
  <si>
    <t>CFIMERPA</t>
  </si>
  <si>
    <t>Larrain Vial Activos Sa Admingral De Fondos - Fondo de Inversion LV-Patio II Strip Centers (SNSE:CFILVP2A.E)</t>
  </si>
  <si>
    <t>Larrain Vial Activos Sa Admingral De Fondos - Fondo de Inversion LV-Patio II Str</t>
  </si>
  <si>
    <t>CFILVP2A.E</t>
  </si>
  <si>
    <t>Larrain Vial Activos Sa Admingral De Fondos - Fondo de Inversion LV-Patio II Strip Centers is an asset management company. It is based in Chile.</t>
  </si>
  <si>
    <t>Larraín Vial Activos SA Administradora General - Fondo De Inversion Activa Deuda Hipotecaria Con Sub (SNSE:CFIDHS4A)</t>
  </si>
  <si>
    <t>Larraín Vial Activos SA Administradora General - Fondo De Inversion Activa Deuda</t>
  </si>
  <si>
    <t>Larrain Vial Deuda Corporativa Chile Fondo de Inversion (SNSE:CFILVCOR.A)</t>
  </si>
  <si>
    <t>Larrain Vial Deuda Corporativa Chile Fondo de Inversion</t>
  </si>
  <si>
    <t>CFILVCOR.A</t>
  </si>
  <si>
    <t>Larrainvial Asset Management - Fondo De Inversion Deuda Retorno Absoluto Fund (SNSE:CFILVDRA.O)</t>
  </si>
  <si>
    <t>Larrainvial Asset Management - Fondo De Inversion Deuda Retorno Absoluto Fund</t>
  </si>
  <si>
    <t>CFILVDRA.O</t>
  </si>
  <si>
    <t>Larrainvial Asset Management - Fondo De Inversion Larrainvial Opportunity Argentina Fund (SNSE:CFILVOAR.A)</t>
  </si>
  <si>
    <t>Larrainvial Asset Management - Fondo De Inversion Larrainvial Opportunity Argent</t>
  </si>
  <si>
    <t>CFILVOAR.A</t>
  </si>
  <si>
    <t>Larrainvial Asset Management Adm Ge - Fi Black Salmon Us Industr Opport I - Fund (SNSE:CFI.BSINAE)</t>
  </si>
  <si>
    <t>Larrainvial Asset Management Adm Ge - Fi Black Salmon Us Industr Opport I - Fund</t>
  </si>
  <si>
    <t>CFI.BSINAE</t>
  </si>
  <si>
    <t>Larrainvial Asset Management ADM GE - Fondo de Inversion Larrainvial Deuda Latam Low Carbon ESG Fund (SNSE:CFI.LVLWCA)</t>
  </si>
  <si>
    <t>Larrainvial Asset Management ADM GE - Fondo de Inversion Larrainvial Deuda Latam</t>
  </si>
  <si>
    <t>CFI.LVLWCA</t>
  </si>
  <si>
    <t>Larrainvial Asset Management ADM GE - Fundo De Inversion Larrainvia- FI Small Mid Cap Latam Fund (SNSE:CFI.LVSMCA)</t>
  </si>
  <si>
    <t>Larrainvial Asset Management ADM GE - Fundo De Inversion Larrainvia- FI Small Mi</t>
  </si>
  <si>
    <t>CFI.LVSMCA</t>
  </si>
  <si>
    <t>Larrainvial Asset Management ADM GE - Fundo De Inversion Larrainvial Deuda Latam (SNSE:CFIHYUF.A)</t>
  </si>
  <si>
    <t>Larrainvial Asset Management ADM GE - Fundo De Inversion Larrainvial Deuda Latam</t>
  </si>
  <si>
    <t>CFIHYUF.A</t>
  </si>
  <si>
    <t>Larrainvial Asset Management ADM GE- FI Arrainivial Private Debt USD Fund (SNSE:CFI.LVPDUE)</t>
  </si>
  <si>
    <t>Larrainvial Asset Management ADM GE- FI Arrainivial Private Debt USD Fund</t>
  </si>
  <si>
    <t>CFI.LVPDUE</t>
  </si>
  <si>
    <t>Larrainvial Asset Management ADM GE- FI Larrainivial Facturas Y Pagares Fund (SNSE:CFI.LVFPAE)</t>
  </si>
  <si>
    <t>Larrainvial Asset Management ADM GE- FI Larrainivial Facturas Y Pagares Fund</t>
  </si>
  <si>
    <t>CFI.LVFPAE</t>
  </si>
  <si>
    <t>Larrainvial Asset Management ADM GE- FI Larrainivial Renta Fund (SNSE:CFI.LVRUAE)</t>
  </si>
  <si>
    <t>Larrainvial Asset Management ADM GE- FI Larrainivial Renta Fund</t>
  </si>
  <si>
    <t>CFI.LVRUAE</t>
  </si>
  <si>
    <t>Larrainvial Asset Management ADM GE- FI Larrainvial Opportunity Inmobiliaria Fund (SNSE:CFILVOPL.E)</t>
  </si>
  <si>
    <t>Larrainvial Asset Management ADM GE- FI Larrainvial Opportunity Inmobiliaria Fun</t>
  </si>
  <si>
    <t>CFILVOPL.E</t>
  </si>
  <si>
    <t>Larrainvial Asset Management ADM GE- Quote Of Mutual Global Macri Retorno Tot Fund (SNSE:CFILVRECA)</t>
  </si>
  <si>
    <t>Larrainvial Asset Management ADM GE- Quote Of Mutual Global Macri Retorno Tot Fu</t>
  </si>
  <si>
    <t>CFILVRECA</t>
  </si>
  <si>
    <t>Larrainvial Asset Management ADM GE- Quote Of Mutual Inversion Rentas Resident Fund (SNSE:CFILVRECX)</t>
  </si>
  <si>
    <t>Larrainvial Asset Management ADM GE- Quote Of Mutual Inversion Rentas Resident F</t>
  </si>
  <si>
    <t>CFILVRECX</t>
  </si>
  <si>
    <t>Larrainvial Asset Management Administra - Fondo De Inversion Larrainvial Deuda Estrategica, Serie A (SNSE:CFILVMRA.A)</t>
  </si>
  <si>
    <t>Larrainvial Asset Management Administra - Fondo De Inversion Larrainvial Deuda E</t>
  </si>
  <si>
    <t>CFILVMRA.A</t>
  </si>
  <si>
    <t>Larrainvial Asset Management Administra - Fondo De Inversion Larrainvial Deuda Estrategica, Serie I (SNSE:CFILVDE.I)</t>
  </si>
  <si>
    <t>CFILVDE.I</t>
  </si>
  <si>
    <t>LarrainVial Asset Management Administradora -Fondos De Inversion Larrainvial Retorno Local fund (SNSE:CFILVRLA)</t>
  </si>
  <si>
    <t>LarrainVial Asset Management Administradora -Fondos De Inversion Larrainvial Ret</t>
  </si>
  <si>
    <t>CFILVRLA</t>
  </si>
  <si>
    <t>Larrainvial Asset Management Administradora General - Fondo De Inversion Larrainvial Deuda Privada F (SNSE:CFILVDPU.E)</t>
  </si>
  <si>
    <t>Larrainvial Asset Management Administradora General - Fondo De Inversion Larrain</t>
  </si>
  <si>
    <t>CFILVDPU.E</t>
  </si>
  <si>
    <t>Larrainvial Asset Management Administradora General - Fondo De Inversion Larrainvial Deuda Privada I (SNSE:CFILV2PA.E)</t>
  </si>
  <si>
    <t>CFILV2PA.E</t>
  </si>
  <si>
    <t>Larrainvial Asset Management Administradora General - Fondo De Inversion Larrainvial Rentas Residenc (SNSE:CFILVRR.A)</t>
  </si>
  <si>
    <t>CFILVRR.A</t>
  </si>
  <si>
    <t>Larrainvial Asset Management Administradora General - Fundo Inversion Tasas Chile Retorno Absoluto F (SNSE:CFILVDE.O)</t>
  </si>
  <si>
    <t>Larrainvial Asset Management Administradora General - Fundo Inversion Tasas Chil</t>
  </si>
  <si>
    <t>CFILVDE.O</t>
  </si>
  <si>
    <t>LarrainVial Asset Management Administradora General de Fondos SA - FD INV LARRAINVIAL DEUDA CORPORAT (SNSE:CFILVCOR.M)</t>
  </si>
  <si>
    <t>LarrainVial Asset Management Administradora General de Fondos SA - FD INV LARRAI</t>
  </si>
  <si>
    <t>CFILVCOR.M</t>
  </si>
  <si>
    <t>LarrainVial Asset Management Administradora General de Fondos SA - FI Activa Estrategia Auto III Uni (SNSE:CFIAEA3.E)</t>
  </si>
  <si>
    <t>LarrainVial Asset Management Administradora General de Fondos SA - FI Activa Est</t>
  </si>
  <si>
    <t>CFIAEA3.E</t>
  </si>
  <si>
    <t>LarrainVial Asset Management Administradora General de Fondos SA - FI AUBREY GEM (SNSE:CFI.AGEMA)</t>
  </si>
  <si>
    <t>LarrainVial Asset Management Administradora General de Fondos SA - FI AUBREY GEM</t>
  </si>
  <si>
    <t>CFI.AGEMA</t>
  </si>
  <si>
    <t>LarrainVial Asset Management Administradora General de Fondos SA - FI AUBREY US Equity Fund (SNSE:CFI.AUSA)</t>
  </si>
  <si>
    <t>LarrainVial Asset Management Administradora General de Fondos SA - FI AUBREY US</t>
  </si>
  <si>
    <t>CFI.AUSA</t>
  </si>
  <si>
    <t>LarrainVial Asset Management Administradora General de Fondos SA - FM ENFOQUER Fund (SNSE:CFMLVENFIR)</t>
  </si>
  <si>
    <t>LarrainVial Asset Management Administradora General de Fondos SA - FM ENFOQUER F</t>
  </si>
  <si>
    <t>CFMLVENFIR</t>
  </si>
  <si>
    <t>LarrainVial Asset Management Administradora General de Fondos SA - SEC DESC FDO LARRAINVIAL CAP PRIV (SNSE:CFILVCHI.O)</t>
  </si>
  <si>
    <t>LarrainVial Asset Management Administradora General de Fondos SA - SEC DESC FDO</t>
  </si>
  <si>
    <t>CFILVCHI.O</t>
  </si>
  <si>
    <t>Las Americas Emergente Fondo Invinm (SNSE:CFIREMERGE)</t>
  </si>
  <si>
    <t>Las Americas Emergente Fondo Invinm</t>
  </si>
  <si>
    <t>CFIREMERGE</t>
  </si>
  <si>
    <t>LATAM Airlines Group S.A. (SNSE:LTM)</t>
  </si>
  <si>
    <t>LATAM Airlines Group S.A.</t>
  </si>
  <si>
    <t>LTM</t>
  </si>
  <si>
    <t>Passenger Airlines</t>
  </si>
  <si>
    <t>LATAM Airlines Group S.A., together with its subsidiaries, provides passenger and cargo air transportation services in Chile, Argentina, Peru, Colombia, Ecuador, Brazil, the United States, other Latin American countries, the Caribbean, Europe, and Oceania. As of December 31, 2024, the company provides passenger transport services to 160 destinations in 27 countries; and operated 371 fleet of aircraft. The company was formerly known as LAN Airlines S.A. and changed its name to LATAM Airlines Group S.A. in June 2012. LATAM Airlines Group S.A. was founded in 1929 and is headquartered in Santiago, Chile.</t>
  </si>
  <si>
    <t>Leche Gloria S.A. (BVL:GLORIAI1)</t>
  </si>
  <si>
    <t>Leche Gloria S.A.</t>
  </si>
  <si>
    <t>GLORIAI1</t>
  </si>
  <si>
    <t>Leche Gloria S.A. produces and sells milk and other dairy products in Peru, Bolivia, Ecuador. The company offers evaporated milk, fresh Ultra Heat Treated-UHT milk, condensed milk; dairy products comprising yogurts, cheeses, butter, among others; juices and soft drinks; and food products, such as jams, canned fish, panettone, among others. The company was incorporated in 1941 and is based in Lima, Peru. Leche Gloria S.A. is a subsidiary of Gloria Group.</t>
  </si>
  <si>
    <t>Link Capital Partners Adm Gen Fdo - Fdo Inv Deuda Privada Rentas Ernc 'F' - Fund (SNSE:CFIERNCF.E)</t>
  </si>
  <si>
    <t>Link Capital Partners Adm Gen Fdo - Fdo Inv Deuda Privada Rentas Ernc 'F' - Fund</t>
  </si>
  <si>
    <t>CFIERNCF.E</t>
  </si>
  <si>
    <t>Link Capital Partners Adm Gen Fdo - Fi Link Deuda Privada Rentas Ernc - Fund (SNSE:CFIERNCA.E)</t>
  </si>
  <si>
    <t>Link Capital Partners Adm Gen Fdo - Fi Link Deuda Privada Rentas Ernc - Fund</t>
  </si>
  <si>
    <t>CFIERNCA.E</t>
  </si>
  <si>
    <t>Link Capital Partners Adm Gen Fdo - FI Link Multifamily Metra UNICA Fund (SNSE:CFILCPMM.E)</t>
  </si>
  <si>
    <t>Link Capital Partners Adm Gen Fdo - FI Link Multifamily Metra UNICA Fund</t>
  </si>
  <si>
    <t>CFILCPMM.E</t>
  </si>
  <si>
    <t>Link Capital Partners Adm Gen Fdo - Fondo De Inversion Link Hollyport IX Fund (SNSE:CFI.LCPHAE)</t>
  </si>
  <si>
    <t>Link Capital Partners Adm Gen Fdo - Fondo De Inversion Link Hollyport IX Fund</t>
  </si>
  <si>
    <t>CFI.LCPHAE</t>
  </si>
  <si>
    <t>Link Capital Partners Administradora General De Fondos SA - FI Link-PG TPF Fund (SNSE:CFI.PGTPPE)</t>
  </si>
  <si>
    <t>Link Capital Partners Administradora General De Fondos SA - FI Link-PG TPF Fund</t>
  </si>
  <si>
    <t>CFI.PGTPPE</t>
  </si>
  <si>
    <t>Link Capital Partners Administradora General De Fondos SA - Fondo de Inversion Deuda Privada Cumplo (SNSE:CFILCCII.E)</t>
  </si>
  <si>
    <t>Link Capital Partners Administradora General De Fondos SA - Fondo de Inversion D</t>
  </si>
  <si>
    <t>CFILCCII.E</t>
  </si>
  <si>
    <t>Link Capital Partners Administradora General De Fondos SA - Fondo de Inversion Inmobiliario (SNSE:CFILCPIS.E)</t>
  </si>
  <si>
    <t>Link Capital Partners Administradora General De Fondos SA - Fondo de Inversion I</t>
  </si>
  <si>
    <t>CFILCPIS.E</t>
  </si>
  <si>
    <t>Link Capital Partners Administradora General De Fondos SA-  Fondo de Inversion Link Capital Partner (SNSE:CFILCPPG.E)</t>
  </si>
  <si>
    <t>Link Capital Partners Administradora General De Fondos SA-  Fondo de Inversion L</t>
  </si>
  <si>
    <t>CFILCPPG.E</t>
  </si>
  <si>
    <t>Link Capital Partners Administradora General De Fondos SA - Link Fundamenta Retorno Preferente Fund (SNSE:CFILFRPF.E)</t>
  </si>
  <si>
    <t>Link Capital Partners Administradora General De Fondos SA - Link Fundamenta Reto</t>
  </si>
  <si>
    <t>CFILFRPF.E</t>
  </si>
  <si>
    <t>Link Capital Partners Administradora General De Fondos SA (SNSE:CFIPGTPB.E)</t>
  </si>
  <si>
    <t>Link Capital Partners Administradora General De Fondos SA</t>
  </si>
  <si>
    <t>CFIPGTPB.E</t>
  </si>
  <si>
    <t>Litoral Transmision S.A. (SNSE:LITORALTX)</t>
  </si>
  <si>
    <t>Litoral Transmision S.A.</t>
  </si>
  <si>
    <t>LITORALTX</t>
  </si>
  <si>
    <t>Litoral Transmision S.A. engages in the production and transmission of electrical energy. The company is based in Santiago, Chile.</t>
  </si>
  <si>
    <t>Luz del Sur S.A.A. (BVL:LUSURC1)</t>
  </si>
  <si>
    <t>Luz del Sur S.A.A.</t>
  </si>
  <si>
    <t>LUSURC1</t>
  </si>
  <si>
    <t>Luz del Sur S.A.A. engages in the generation, transmission, and distribution of electricity in Peru. The company has a concession area of approximately 3,500 square kilometers which covers 30 municipalities of Metropolitan Lima and the Province of Cañete. It also involved in the purchase, sale, leasing, development, and construction of real estate properties. It serves approximately 5 million inhabitants. The company was formerly known as Edelsur. Luz del Sur S.A.A. was incorporated in 1994 and is based in San Isidro, Peru. Luz del Sur S.A.A. operates as a subsidiary of China Yangtze Power Co., Ltd.</t>
  </si>
  <si>
    <t>LXG Amazon Reforestry Fund FI (BVL:FILXGARF)</t>
  </si>
  <si>
    <t>LXG Amazon Reforestry Fund FI</t>
  </si>
  <si>
    <t>FILXGARF</t>
  </si>
  <si>
    <t>LXG Amazon Reforestry Fund FI specializes in making investments in the forestry sector.</t>
  </si>
  <si>
    <t>Lxg Latin American High Yield Fund (BVL:FILXGLAH)</t>
  </si>
  <si>
    <t>Lxg Latin American High Yield Fund</t>
  </si>
  <si>
    <t>FILXGLAH</t>
  </si>
  <si>
    <t>Manufactura de Metales y Aluminio Record S.A. (BVL:RECORDI1)</t>
  </si>
  <si>
    <t>Manufactura de Metales y Aluminio Record S.A.</t>
  </si>
  <si>
    <t>RECORDI1</t>
  </si>
  <si>
    <t>Manufactura de Metales y Aluminio Record S.A. manufactures and sells enameled iron, aluminum, and steel products in Peru and internationally. The company offers pots, sinks, pans, pressure cooker, teapots, thermos, fountains and bowls, and other products, as well as utensils and accessories. It also offers blender, air fryers, kettles and coffee makers, sandwich makers and toasters, ovens and pans, juicers and food processors, mixers, digital scales, grills, and cloth irons. In addition, the company provides accessories and spare parts; cauldrons; and ceramic utensils. Manufactura de Metales y Aluminio Record S.A. was incorporated in 1934 and is based in Lima, Peru.</t>
  </si>
  <si>
    <t>Manufacturas de Cemento S.A. (BVC:TITAN)</t>
  </si>
  <si>
    <t>Manufacturas de Cemento S.A.</t>
  </si>
  <si>
    <t>TITAN</t>
  </si>
  <si>
    <t>Manufacturas de Cemento S.A. engages in the production and marketing of various precast concrete products in Colombia. It offers pipelines, such as reinforced and unreinforced pipes, tubing, external coated pipes, highway tubes, and piling pipes, as well as pipes with internal polyethylene coating; box culverts; sinks, including pedestrian grid, vehicle grille, and drains; and inspection pits and cameras. The company also provides platforms; tiles; barriers; cobblestones and blocks; poles; and other public space products. In addition, it offers buildings and piles; alveolar plates and walls; glass fiber reinforced concrete and facade panels; and other infrastructure products. Further, the company provides transport, facility, and technical advice services. Its products are used in infrastructure, buildings, public space, and sewerage applications. The company was founded in 1916 and is based in Cota, Colombia.</t>
  </si>
  <si>
    <t>Mapfre Perú Compañía de Seguros y Reaseguros S.A. (BVL:MAPFSGC1)</t>
  </si>
  <si>
    <t>Mapfre Perú Compañía de Seguros y Reaseguros S.A.</t>
  </si>
  <si>
    <t>MAPFSGC1</t>
  </si>
  <si>
    <t>Mapfre Perú Compañía de Seguros y Reaseguros S.A. provides various insurance products. It offers SOAT, vehicle, life, home, travel, funeral, personal accident, health, digital clinic, international, savings, investment, retirement, burial, and other insurance plans. The company provides insurance for workers, including EPS, SCTR, vehicle, and group life insurance; and business, property and engineering risk, credit, and transport insurance products, as well as letter of guarantee and surety bond. The company was founded in 1998 and is based in Miraflores, Peru. Mapfre Perú Compañía de Seguros y Reaseguros S.A. operates as a subsidiary of MAPFRE Internacional SA.</t>
  </si>
  <si>
    <t>Marbella Country Club S.A. (SNSE:MARBELLACC)</t>
  </si>
  <si>
    <t>Marbella Country Club S.A.</t>
  </si>
  <si>
    <t>MARBELLACC</t>
  </si>
  <si>
    <t>Marbella Country Club S.A., together with its subsidiaries, operates in the golf club business in Chile. The company offers various sports facilities, including golf courses, tennis courts, swimming pools, game rooms, padel courts, and soccer fields. Marbella Country Club S.A. was incorporated in 1996 and is headquartered in Puchuncavi, Chile. Marbella Country Club S.A. operates as a subsidiary of Marbella Chile S.A. para Fondo de Inversiones Privado.</t>
  </si>
  <si>
    <t>Marítima de Inversiones S.A. (SNSE:MARINSA)</t>
  </si>
  <si>
    <t>Marítima de Inversiones S.A.</t>
  </si>
  <si>
    <t>MARINSA</t>
  </si>
  <si>
    <t>Maritima de Inversiones SA is a publicly owned investment manager. The firm manages equity and mutual funds. It invests in term deposits, mutual Funds and stocks. The company was founded on March 19, 1982 and is based in Santiago, Chile.</t>
  </si>
  <si>
    <t>Masisa S.A. (SNSE:MASISA)</t>
  </si>
  <si>
    <t>Masisa S.A.</t>
  </si>
  <si>
    <t>MASISA</t>
  </si>
  <si>
    <t>Masisa S.A. manufactures and sells wooden boards for furniture solutions and interior spaces in Chile, the United States, Peru, Colombia, Ecuador, Canada, China, Asia, Mexico, and internationally. It offers panels; medium density fiberboards (MDF); medium density particleboards; particle boards; one-layer boards; melamine boards; MDF moldings; sawn timber; finger joint moldings; edge banding; melamine, ripped, veneered and painted interior and exterior coverings; hardware complementary for the development and construction of furniture; and other value-added products. The company also exports its products. It serves the construction industry. The company was formerly known as Terranova SA and changed its name to Masisa S.A. in 2005. Masisa S.A. was founded in 1960 and is based in Santiago, Chile. Masisa S.A. operates as a subsidiary of GN Holding S.A.</t>
  </si>
  <si>
    <t>Mayagüez S.A. (BVC:MAYAGUEZ)</t>
  </si>
  <si>
    <t>Mayagüez S.A.</t>
  </si>
  <si>
    <t>MAYAGUEZ</t>
  </si>
  <si>
    <t>Mayagüez S.A. engages as an agro-industrial business in Colombia. The company offers white and raw sugar, and Bio-fertilizer; generates energy through fossil fuels; and bioethanol products. Mayagüez S.A. was founded in 1937 and is headquartered in Candelaria, Colombia.</t>
  </si>
  <si>
    <t>MBI Administradora General De Fondo - MBI Deuda Alternativa Fondo De Inversion (SNSE:CFIMBIDA.C)</t>
  </si>
  <si>
    <t>MBI Administradora General De Fondo - MBI Deuda Alternativa Fondo De Inversion</t>
  </si>
  <si>
    <t>CFIMBIDA.C</t>
  </si>
  <si>
    <t>MBI Administradora General De Fondo - MBI Deuda Total Fondo De Inversion (SNSE:CFIMBIDT.A)</t>
  </si>
  <si>
    <t>MBI Administradora General De Fondo - MBI Deuda Total Fondo De Inversion</t>
  </si>
  <si>
    <t>CFIMBIDT.A</t>
  </si>
  <si>
    <t>MBI Administradora General De Fondo - MBI Global Fixed Income Fondo De Inversion (SNSE:CFIMBIGF.A)</t>
  </si>
  <si>
    <t>MBI Administradora General De Fondo - MBI Global Fixed Income Fondo De Inversion</t>
  </si>
  <si>
    <t>CFIMBIGF.A</t>
  </si>
  <si>
    <t>MBI Administradora General de Fondo - Private Debt US Evergreen (SNSE:CFI.MBPDUF)</t>
  </si>
  <si>
    <t>MBI Administradora General de Fondo - Private Debt US Evergreen</t>
  </si>
  <si>
    <t>CFI.MBPDUF</t>
  </si>
  <si>
    <t>MBI Administradora General De Fondo - Renta Comercial Fund (SNSE:CFIMBIRC1A)</t>
  </si>
  <si>
    <t>MBI Administradora General De Fondo - Renta Comercial Fund</t>
  </si>
  <si>
    <t>CFIMBIRC1A</t>
  </si>
  <si>
    <t>MBI Administradora General De Fondo- Conviccion Chile FI Fund (SNSE:CFIMBICL.A)</t>
  </si>
  <si>
    <t>MBI Administradora General De Fondo- Conviccion Chile FI Fund</t>
  </si>
  <si>
    <t>CFIMBICL.A</t>
  </si>
  <si>
    <t>MBI Administradora General De Fondos - MBI DEUDA PRIVADA II FI Fund (SNSE:CFIMBD2A.E)</t>
  </si>
  <si>
    <t>MBI Administradora General De Fondos - MBI DEUDA PRIVADA II FI Fund</t>
  </si>
  <si>
    <t>CFIMBD2A.E</t>
  </si>
  <si>
    <t>MBI Administradora General De Fondos - MBI DEUDA PRIVADA III FI Fund (SNSE:CFIMBD3A.E)</t>
  </si>
  <si>
    <t>MBI Administradora General De Fondos - MBI DEUDA PRIVADA III FI Fund</t>
  </si>
  <si>
    <t>CFIMBD3A.E</t>
  </si>
  <si>
    <t>MBI Administradora General De Fondos - MBI DEUDA PRIVADA IV FI Fund (SNSE:CFIMBD4C.E)</t>
  </si>
  <si>
    <t>MBI Administradora General De Fondos - MBI DEUDA PRIVADA IV FI Fund</t>
  </si>
  <si>
    <t>CFIMBD4C.E</t>
  </si>
  <si>
    <t>MBI Administradora General de Fondos S.A. - MBI Deuda Corporativa Fund (SNSE:CFIMBIDC.A)</t>
  </si>
  <si>
    <t>MBI Administradora General de Fondos S.A. - MBI Deuda Corporativa Fund</t>
  </si>
  <si>
    <t>CFIMBIDC.A</t>
  </si>
  <si>
    <t>MBI Administradora General de Fondos S.A. - MBI Deuda Privada Fondo de Inversion (SNSE:CFIMBDPB.E)</t>
  </si>
  <si>
    <t>MBI Administradora General de Fondos S.A. - MBI Deuda Privada Fondo de Inversion</t>
  </si>
  <si>
    <t>CFIMBDPB.E</t>
  </si>
  <si>
    <t>MBI Administradora General de Fondos S.A. - MBI Global Fondo de Inversion (SNSE:CFI.MBIGLA)</t>
  </si>
  <si>
    <t>MBI Administradora General de Fondos S.A. - MBI Global Fondo de Inversion</t>
  </si>
  <si>
    <t>CFI.MBIGLA</t>
  </si>
  <si>
    <t>MBI Administradora General de Fondos S.A. - MBI Global Fondo de Inversion is headquartered in Santiago, Chile.</t>
  </si>
  <si>
    <t>MBI Administradora General de Fondos S.A. - MBI Retorno Inmobiliario Preferen FI (SNSE:CFIMBRPA.E)</t>
  </si>
  <si>
    <t>MBI Administradora General de Fondos S.A. - MBI Retorno Inmobiliario Preferen FI</t>
  </si>
  <si>
    <t>CFIMBRPA.E</t>
  </si>
  <si>
    <t>MBI Administradora General de Fondos S.A. - MBI/CHL Deuda Estructurada FI Fund (SNSE:CFI.MBICHA)</t>
  </si>
  <si>
    <t>MBI Administradora General de Fondos S.A. - MBI/CHL Deuda Estructurada FI Fund</t>
  </si>
  <si>
    <t>CFI.MBICHA</t>
  </si>
  <si>
    <t>MBI Administradora General de Fondos S.A. - MBI/CHL Re Brooklyn Value Add Fondo De Inversion Fund (SNSE:CFI.MBREUE)</t>
  </si>
  <si>
    <t>MBI Administradora General de Fondos S.A. - MBI/CHL Re Brooklyn Value Add Fondo</t>
  </si>
  <si>
    <t>CFI.MBREUE</t>
  </si>
  <si>
    <t>MBI Administradora General de Fondos SA Fund (SNSE:CFI.AMIMIE)</t>
  </si>
  <si>
    <t>MBI Administradora General de Fondos SA Fund</t>
  </si>
  <si>
    <t>CFI.AMIMIE</t>
  </si>
  <si>
    <t>MBI Arbitrage Fondo de Inversion (SNSE:CFIMBIAR.A)</t>
  </si>
  <si>
    <t>MBI Arbitrage Fondo de Inversion</t>
  </si>
  <si>
    <t>CFIMBIAR.A</t>
  </si>
  <si>
    <t>MBI Arbitrage Fondo de Inversion is headquartered in Santiago, Chile.</t>
  </si>
  <si>
    <t>MBI Best Ideas Latam Fondo De Inversion (SNSE:CFIMBILA.I)</t>
  </si>
  <si>
    <t>MBI Best Ideas Latam Fondo De Inversion</t>
  </si>
  <si>
    <t>CFIMBILA.I</t>
  </si>
  <si>
    <t>MBI Best Ideas Latam Fondo De Inversion was founded in 2014 and is headquartered in Santiago, Chile.</t>
  </si>
  <si>
    <t>MBI Deuda Plus Fondo De Inversion (SNSE:CFIMBIRF.A)</t>
  </si>
  <si>
    <t>MBI Deuda Plus Fondo De Inversion</t>
  </si>
  <si>
    <t>CFIMBIRF.A</t>
  </si>
  <si>
    <t>MBI Deuda Plus Fondo De Inversion was founded in 2014 and is headquartered in Santiago, Chile.</t>
  </si>
  <si>
    <t>MBI Oportunidades Fondo de Inversión (SNSE:CFIMBIGL.A)</t>
  </si>
  <si>
    <t>MBI Oportunidades Fondo de Inversión</t>
  </si>
  <si>
    <t>CFIMBIGL.A</t>
  </si>
  <si>
    <t>MBI Oportunidades Fondo de Inversión is headquartered in Santiago, Chile.</t>
  </si>
  <si>
    <t>Mbi Private Debt Us Evergreen Fondo De Inversión (SNSE:CFI.MBPDUA)</t>
  </si>
  <si>
    <t>Mbi Private Debt Us Evergreen Fondo De Inversión</t>
  </si>
  <si>
    <t>CFI.MBPDUA</t>
  </si>
  <si>
    <t>MBI Renta Fija Plus Dólar Fondo De Inversión (SNSE:CFIMBIRFUS)</t>
  </si>
  <si>
    <t>MBI Renta Fija Plus Dólar Fondo De Inversión</t>
  </si>
  <si>
    <t>CFIMBIRFUS</t>
  </si>
  <si>
    <t>MBI Renta Fija Plus Dólar Fondo De Inversión was founded in 2014 and is headquartered in Santiago, Chile.</t>
  </si>
  <si>
    <t>MBI-BP Deuda Fondo De Inversion (SNSE:CFIMBIBP.B)</t>
  </si>
  <si>
    <t>MBI-BP Deuda Fondo De Inversion</t>
  </si>
  <si>
    <t>CFIMBIBP.B</t>
  </si>
  <si>
    <t>Melon S.A. (SNSE:MELON)</t>
  </si>
  <si>
    <t>Melon S.A.</t>
  </si>
  <si>
    <t>MELON</t>
  </si>
  <si>
    <t>Melon S.A., through its subsidiaries, produces, markets, and supplies cement, ready-mix concrete, and aggregates in Chile. It operates through two segments, Cement and Aggregates. The company’s products are used in high-rise buildings, civil and industrial works, mining and port works, and household. It serves construction material distributors; construction companies; and the real estate, infrastructure, civil works, mining and concrete sectors. The company was formerly known as Lafarge Chile SA and changed its name to Melon S.A. in October 2009. Melon S.A. was founded in 1906 and is headquartered in Santiago, Chile. Melon S.A. operates as a subsidiary of Inversiones Cordillera del Sur II Spa.</t>
  </si>
  <si>
    <t>Mibanco Banco de la Microempresa S.A. (BVL:MIBANC1)</t>
  </si>
  <si>
    <t>Mibanco Banco de la Microempresa S.A.</t>
  </si>
  <si>
    <t>MIBANC1</t>
  </si>
  <si>
    <t>Mibanco Banco de la Microempresa S.A. provides various banking products and services in Peru. The company offers business loans that include working capital, machinery and equipment, commercial premises, debt purchase, cash and rural credit line, and agricultural loans; business savings and current accounts; and insurance, such as business protection and multi risk insurance. It also provides consumer solutions, including loans comprising personal consumption, dwelling, women’s credit, business loan for vehicle use, cash dependent, dependent loan without mortgage insurance, and liquid guarantee loans; account, including fixed term deposits, full savings, women savings, flexible fixed term deposits, and online fixed term deposits; insurance, such as life financial protection, individual accident insurance for protected family, tax relief and return,flex home insurance, and microinsurance cancer support; and other services that include national money transfers, remittances, and exchange rate services. The company was incorporated in 1998 and is based in Surquillo, Peru. Mibanco Banco de la Microempresa S.A. operates as a subsidiary of Banco de Crédito del Perú S.A.</t>
  </si>
  <si>
    <t>Michell y Cía. S.A. (BVL:MICHEI1)</t>
  </si>
  <si>
    <t>Michell y Cía. S.A.</t>
  </si>
  <si>
    <t>MICHEI1</t>
  </si>
  <si>
    <t>Michell y Cía. S.A. operates as a textile company in Peru and internationally. It offers tops and yarns for hand and machine knitting, and weaving; knitting, weaving, and production of garments, coats, and accessories; and rugs and carpets for residential and commercial use. The company was founded in 1930 and is headquartered in Arequipa, Peru.</t>
  </si>
  <si>
    <t>Minera IRL Limited (BVL:MIRL)</t>
  </si>
  <si>
    <t>Minera IRL Limited</t>
  </si>
  <si>
    <t>MIRL</t>
  </si>
  <si>
    <t>Jersey</t>
  </si>
  <si>
    <t>JE</t>
  </si>
  <si>
    <t>Minera IRL Limited, together with its subsidiaries, engages in the exploration, development, and operation of mines in Peru. The company primarily explores for and produces gold. Its flagship project is the Ollachea Gold project located in the Puno Region of Southern Peru; and holds 100% interest in the Corihuarmi gold mine located in the Peruvian Andes. The company was formerly known as Goldmin Holdings and changed its name to Minera IRL Limited in October 2006. Minera IRL Limited was founded in 2002 is based in Lima, Peru.</t>
  </si>
  <si>
    <t>Minera Valparaiso S.A. (SNSE:MINERA)</t>
  </si>
  <si>
    <t>Minera Valparaiso S.A.</t>
  </si>
  <si>
    <t>MINERA</t>
  </si>
  <si>
    <t>Minera Valparaiso S.A., an investment company, engages in the production of electrical energy. The company is involved in the transportation, distribution, supply, and commercialization of electric power; sale of natural gas to industrial processes or degeneration; and administration, operation, and maintenance of hydraulic works, electrical, and central systems power generators. It also produces wood, pulp, packaging products, papers, tissue products, and personal care products; and leases its properties. The company was formerly known as Sociedad Fábrica de Cemento El Melón S.A. and changed its name to Minera Valparaíso S.A. in 1969. Minera Valparaiso S.A. was incorporated in 1906 and is based in Santiago, Chile.</t>
  </si>
  <si>
    <t>Mineros S.A. (BVC:MINEROS)</t>
  </si>
  <si>
    <t>Mineros S.A.</t>
  </si>
  <si>
    <t>MINEROS</t>
  </si>
  <si>
    <t>Mineros S.A. engages in the exploration, development, and production of gold in Central and South America. It explores for gold and silver deposits. The company holds an interest in the Nechí Alluvial Property covering an area of 473 square kilometers located in the Lower Cauca Region of Antioquia in northwestern Colombia; the Hemco Property that covers an area of 2,270 hectares located in Bonanza, Nicaragua; the La Pepa Project located in the Cavancha, Chile; and option to acquire a 100% interest in a gold exploration project in the Department of Tolima, Colombia. It also engages in hydroelectric power generation activities. The company was formerly known as Mineros de Antioquia S.A. and changed its name to Mineros S.A. in May 2004. Mineros S.A. was incorporated in 1974 and is headquartered in Medellín, Colombia. Mineros S.A. operates as a subsidiary of Sun Valley Investments AG.</t>
  </si>
  <si>
    <t>Minsur S.A. (BVL:MINSURI1)</t>
  </si>
  <si>
    <t>Minsur S.A.</t>
  </si>
  <si>
    <t>MINSURI1</t>
  </si>
  <si>
    <t>Minsur S.A. engages in the mining business in Peru, Europe, the United States, Asia, Canada, and internationally. The company explores for tin, gold, and copper deposits. It is also involved in the production, marketing, and supply of cement, premixed concrete, and mortar and pre-dosed aggregates to the distributors of construction materials, construction companies related to the real estate, civil works and mining sectors, and concrete companies. The company was incorporated in 1977 and is based in Lima, Peru. Minsur S.A. operates as a subsidiary of Breca Mineria S.A.C.</t>
  </si>
  <si>
    <t>Molibdenos y Metales S.A. (SNSE:MOLYMET)</t>
  </si>
  <si>
    <t>Molibdenos y Metales S.A.</t>
  </si>
  <si>
    <t>MOLYMET</t>
  </si>
  <si>
    <t>Molibdenos y Metales S.A. engages in the processing of molybdenum concentrate worldwide. It provides molybdenum metal briquettes, ferromolybdenum, technical molybdic oxide briquettes, and technical molybdic oxid powder for steel industry; high solubility technical molybdenum oxide, pure molybdic oxide, ammonium dimolybdate, and ammonium heptamolybdate for the chemical industry; and metallic products, such as molybdenum metal in form of powder and briquettes. The company also offers rhenium products, including rhenium spherical powder, perrhenic acid, ammonium perrhenate, molybdenum rhenium alloy in form of powder, and rhenium metal in form of powder and briquettes; and other by-products, including copper cathodes, copper cement, and sulfuric acid. In addition, it is involved in the provision of mining services; production, marketing and distribution of electrical energy; commercial exploitation and administration of real estate; and production and marketing of value-added nuts. Molibdenos y Metales S.A. was founded in 1936 and is based in San Bernardo, Chile.</t>
  </si>
  <si>
    <t>Moneda Adminidtradora De Fdo De Inv Fund (SNSE:CFIMOPE1.E)</t>
  </si>
  <si>
    <t>Moneda Adminidtradora De Fdo De Inv Fund</t>
  </si>
  <si>
    <t>CFIMOPE1.E</t>
  </si>
  <si>
    <t>Moneda Cumplo Pronto Pago Pymes Fondo de Inversion (SNSE:CFIMCUME)</t>
  </si>
  <si>
    <t>Moneda Cumplo Pronto Pago Pymes Fondo de Inversion</t>
  </si>
  <si>
    <t>CFIMCUME</t>
  </si>
  <si>
    <t>Moneda Deuda Chile Fondo de Inversión (SNSE:CFIMDCHA)</t>
  </si>
  <si>
    <t>Moneda Deuda Chile Fondo de Inversión</t>
  </si>
  <si>
    <t>CFIMDCHA</t>
  </si>
  <si>
    <t>Moneda Deuda Latam Investment Grade Fondo de Inversión (SNSE:CFIMDLIG.A)</t>
  </si>
  <si>
    <t>Moneda Deuda Latam Investment Grade Fondo de Inversión</t>
  </si>
  <si>
    <t>CFIMDLIG.A</t>
  </si>
  <si>
    <t>Moneda Deuda Latinoamericana fondo de inversion (SNSE:CFIIMDLAT)</t>
  </si>
  <si>
    <t>Moneda Deuda Latinoamericana fondo de inversion</t>
  </si>
  <si>
    <t>CFIIMDLAT</t>
  </si>
  <si>
    <t>Moneda Deuda Latinoamericana fondo de inversion is headquartered in Santiago, Chile.</t>
  </si>
  <si>
    <t>Moneda Latam Equity Fondo de Inversión (SNSE:CFIMLE.A)</t>
  </si>
  <si>
    <t>Moneda Latam Equity Fondo de Inversión</t>
  </si>
  <si>
    <t>CFIMLE.A</t>
  </si>
  <si>
    <t>Moneda Latinoamérica Deuda Local (SNSE:CFIMLDL)</t>
  </si>
  <si>
    <t>Moneda Latinoamérica Deuda Local</t>
  </si>
  <si>
    <t>CFIMLDL</t>
  </si>
  <si>
    <t>Moneda Latinoamérica Deuda Local is headquartered in Santiago, Chile.</t>
  </si>
  <si>
    <t>Moneda Renta CLP Fondo de Inversion (SNSE:CFIMRCLP)</t>
  </si>
  <si>
    <t>Moneda Renta CLP Fondo de Inversion</t>
  </si>
  <si>
    <t>CFIMRCLP</t>
  </si>
  <si>
    <t>Moneda Renta CLP Fondo de Inversion is headquartered in Santiago, Chile.</t>
  </si>
  <si>
    <t>Moneda Renta Variable Chile Fondo de Inversion (SNSE:CFIMRVCHE)</t>
  </si>
  <si>
    <t>Moneda Renta Variable Chile Fondo de Inversion</t>
  </si>
  <si>
    <t>CFIMRVCHE</t>
  </si>
  <si>
    <t>Moneda Renta Variable Chile Fondo de Inversion is headquartered in Santiago, Chile.</t>
  </si>
  <si>
    <t>Moneda Renta Variable Emergente Fondo De Inversion (SNSE:CFIMRVEA)</t>
  </si>
  <si>
    <t>Moneda Renta Variable Emergente Fondo De Inversion</t>
  </si>
  <si>
    <t>CFIMRVEA</t>
  </si>
  <si>
    <t>Moneda Renta Variable Internacional Fondo de Inversión (SNSE:CFIMRFIIGA)</t>
  </si>
  <si>
    <t>Moneda Renta Variable Internacional Fondo de Inversión</t>
  </si>
  <si>
    <t>CFIMRFIIGA</t>
  </si>
  <si>
    <t>Moneda Renta Variable Internacional Fondo de Inversión was founded in 2016 and is headquartered in Chile.</t>
  </si>
  <si>
    <t>Moneda S.A. Administradora General De Fondos- Moneda-Carlyle II Fundo (SNSE:CFIMOP2.E)</t>
  </si>
  <si>
    <t>Moneda S.A. Administradora General De Fondos- Moneda-Carlyle II Fundo</t>
  </si>
  <si>
    <t>CFIMOP2.E</t>
  </si>
  <si>
    <t>Moneda S.A. Administradora General De Fondos- Moneda-Carlyle X Fondo De Inversion Fund (SNSE:CFIMP10A.E)</t>
  </si>
  <si>
    <t>Moneda S.A. Administradora General De Fondos- Moneda-Carlyle X Fondo De Inversio</t>
  </si>
  <si>
    <t>CFIMP10A.E</t>
  </si>
  <si>
    <t>Moneda S.A. Administradora General De Fondos-Moneda-Carlyle XI Fondo De Inversion (SNSE:CFIMC11A.E)</t>
  </si>
  <si>
    <t>Moneda S.A. Administradora General De Fondos-Moneda-Carlyle XI Fondo De Inversio</t>
  </si>
  <si>
    <t>CFIMC11A.E</t>
  </si>
  <si>
    <t>Moneda SA Admin General De Fondos - Alpinvest Co-Investment VIII Fundo De Inversion (SNSE:CFIMC14A.E)</t>
  </si>
  <si>
    <t>Moneda SA Admin General De Fondos - Alpinvest Co-Investment VIII Fundo De Invers</t>
  </si>
  <si>
    <t>CFIMC14A.E</t>
  </si>
  <si>
    <t>Moneda SA Admin General De Fondos - FI Moneda GSI Rentas Log Sticas I Fund (SNSE:CFIMGSIA.E)</t>
  </si>
  <si>
    <t>Moneda SA Admin General De Fondos - FI Moneda GSI Rentas Log Sticas I Fund</t>
  </si>
  <si>
    <t>CFIMGSIA.E</t>
  </si>
  <si>
    <t>Moneda SA Admin General De Fondos - FI Moneda GSI Rentas Log Sticas II Fund (SNSE:CFIGIIA1.E)</t>
  </si>
  <si>
    <t>Moneda SA Admin General De Fondos - FI Moneda GSI Rentas Log Sticas II Fund</t>
  </si>
  <si>
    <t>CFIGIIA1.E</t>
  </si>
  <si>
    <t>Moneda SA Admin General De Fondos - Moneda ALT Global Solution FI Fund (SNSE:CFI.MAGAAE)</t>
  </si>
  <si>
    <t>Moneda SA Admin General De Fondos - Moneda ALT Global Solution FI Fund</t>
  </si>
  <si>
    <t>CFI.MAGAAE</t>
  </si>
  <si>
    <t>Moneda SA Admin General De Fondos - Moneda Patria Brazil Equity Fondo de Inversion (SNSE:CFI.PBEAEE)</t>
  </si>
  <si>
    <t>Moneda SA Admin General De Fondos - Moneda Patria Brazil Equity Fondo de Inversi</t>
  </si>
  <si>
    <t>CFI.PBEAEE</t>
  </si>
  <si>
    <t>Moneda SA Admin General De Fondos - Moneda Patria Coinvestment I FI Fund (SNSE:CFIPCOIA.E)</t>
  </si>
  <si>
    <t>Moneda SA Admin General De Fondos - Moneda Patria Coinvestment I FI Fund</t>
  </si>
  <si>
    <t>CFIPCOIA.E</t>
  </si>
  <si>
    <t>Moneda SA Admin General De Fondos - Moneda Pipe Chile Fondo De Inversion (SNSE:CFIMPIPA.E)</t>
  </si>
  <si>
    <t>Moneda SA Admin General De Fondos - Moneda Pipe Chile Fondo De Inversion</t>
  </si>
  <si>
    <t>CFIMPIPA.E</t>
  </si>
  <si>
    <t>Moneda SA Admin General De Fondos - Moneda Vumplo Pronto Pago Pymes FI Fund (SNSE:CFIMCUMI)</t>
  </si>
  <si>
    <t>Moneda SA Admin General De Fondos - Moneda Vumplo Pronto Pago Pymes FI Fund</t>
  </si>
  <si>
    <t>CFIMCUMI</t>
  </si>
  <si>
    <t>Moneda SA Administradora General De Fondos - Latam private credit Fondo de Inversion Fund (SNSE:CFI.LPA1E)</t>
  </si>
  <si>
    <t>Moneda SA Administradora General De Fondos - Latam private credit Fondo de Inver</t>
  </si>
  <si>
    <t>CFI.LPA1E</t>
  </si>
  <si>
    <t>Moneda SA Administradora General De Fondos - Moneda Carlyle Xiv Fondo De Inversion (SNSE:CFIMC14A.E)</t>
  </si>
  <si>
    <t>Moneda SA Administradora General De Fondos - Moneda Carlyle Xiv Fondo De Inversi</t>
  </si>
  <si>
    <t>Moneda SA Administradora General De Fondos - Moneda GSI Rentas Transicion Energetica II Fondo De Inv (SNSE:CFI.RTEAE)</t>
  </si>
  <si>
    <t>Moneda SA Administradora General De Fondos - Moneda GSI Rentas Transicion Energe</t>
  </si>
  <si>
    <t>CFI.RTEAE</t>
  </si>
  <si>
    <t>Moneda SA Administradora General De Fondos - Moneda Patria infrastructure V FI Fund (SNSE:CFI.MPIVAE)</t>
  </si>
  <si>
    <t>Moneda SA Administradora General De Fondos - Moneda Patria infrastructure V FI F</t>
  </si>
  <si>
    <t>CFI.MPIVAE</t>
  </si>
  <si>
    <t>Moneda Small Cap Latinoamerica Fondo de Inversion (SNSE:CFIMSC)</t>
  </si>
  <si>
    <t>Moneda Small Cap Latinoamerica Fondo de Inversion</t>
  </si>
  <si>
    <t>CFIMSC</t>
  </si>
  <si>
    <t>Moneda Small Cap Latinoamerica Fondo de Inversion is headquartered in Santiago, Chile.</t>
  </si>
  <si>
    <t>Multiexport Foods S.A. (SNSE:MULTI X)</t>
  </si>
  <si>
    <t>Multiexport Foods S.A.</t>
  </si>
  <si>
    <t>MULTI X</t>
  </si>
  <si>
    <t>Multiexport Foods S.A. provides seafood products in Chile and internationally. The company offers Atlantic salmons, trout, and coho salmon, as well as fresh, frozen, and smoked products. The company was formerly known as Aquafarms SA and changed its name to Multiexport Foods S.A. in May 2007. Multiexport Foods S.A. was founded in 1983 and is based in Puerto Montt, Chile. Multiexport Foods S.A. is a subsidiary of Multiexport Dos S.A.</t>
  </si>
  <si>
    <t>Nacional De Seguros S.A. (BVL:NACSEGC1)</t>
  </si>
  <si>
    <t>Nacional De Seguros S.A.</t>
  </si>
  <si>
    <t>NACSEGC1</t>
  </si>
  <si>
    <t>Property and Casualty</t>
  </si>
  <si>
    <t>Nacional De Seguros S.A. provides and sells insurance products in Colombia. It offers products, such as compliance, extracontractual civil liability, judicial surety, legal provisions, lease, and medical malpractice insurance. It serves industries such as oil and gas, infrastructure, telecommunications, medical and pharmaceutical, textile and manufacturing, food and beverage, education sector, and entertainment and mass events. The company was founded in 2014 and is based in Bogotá, Colombia.</t>
  </si>
  <si>
    <t>Naturgy Chile Gas Natural S.A. (SNSE:NTGCLGAS)</t>
  </si>
  <si>
    <t>Naturgy Chile Gas Natural S.A.</t>
  </si>
  <si>
    <t>NTGCLGAS</t>
  </si>
  <si>
    <t>Naturgy Chile Gas Natural S.A. engages in the distribution, supply, and transportation of natural gas in Chile and Argentina. The company operates through Natural Gas Investment and Distribution and Commercialization segments. It serves residential, commercial, industrial, electric generators, and gas distribution customers. The company was founded in 2016 and is based in Santiago, Chile. Naturgy Chile Gas Natural S.A. is a subsidiary of Naturgy Energy Group S.A.</t>
  </si>
  <si>
    <t>Navarino S.A. (SNSE:NAVARINO)</t>
  </si>
  <si>
    <t>Navarino S.A.</t>
  </si>
  <si>
    <t>NAVARINO</t>
  </si>
  <si>
    <t>Navarino S.A., through its subsidiaries, manufactures and sells steel parts for mining and grinding balls in Chile. It also engages in the glass packaging business. The company was incorporated in 1989 and is based in Santiago, Chile.</t>
  </si>
  <si>
    <t>Neorentas S.A. Administradora General de Fondos - Neorentas Dieciseis FI (SNSE:CFINR16A.E)</t>
  </si>
  <si>
    <t>Neorentas S.A. Administradora General de Fondos - Neorentas Dieciseis FI</t>
  </si>
  <si>
    <t>CFINR16A.E</t>
  </si>
  <si>
    <t>Nevasa Administradora General De Fondos SA - FI Nevasa Gestion Inmobiliaria VII - Vivienda Economica (SNSE:CFINGVIIR)</t>
  </si>
  <si>
    <t>Nevasa Administradora General De Fondos SA - FI Nevasa Gestion Inmobiliaria VII</t>
  </si>
  <si>
    <t>CFINGVIIR</t>
  </si>
  <si>
    <t>Nevasa Administradora General De Fondos SA - Fondo de Inversión Nevasa Gestion Inmobiliaria IX Fund (SNSE:CFINGIXB)</t>
  </si>
  <si>
    <t>Nevasa Administradora General De Fondos SA - Fondo de Inversión Nevasa Gestion I</t>
  </si>
  <si>
    <t>CFINGIXB</t>
  </si>
  <si>
    <t>Nevasa Administradora General De Fondos SA - Fondo de Inversión Nevasa Gestion Inmobiliaria VIII (SNSE:CFINGVIIIB)</t>
  </si>
  <si>
    <t>CFINGVIIIB</t>
  </si>
  <si>
    <t>Nevasa Hmc Sa Administradora General De Fondos - Cuota De Fondo De Inversion (SNSE:CFIHMI3R.E)</t>
  </si>
  <si>
    <t>Nevasa Hmc Sa Administradora General De Fondos - Cuota De Fondo De Inversion</t>
  </si>
  <si>
    <t>CFIHMI3R.E</t>
  </si>
  <si>
    <t>Nevasa HMC SA Administradora General De Fondos - Fondo de Inversion HMC Renta Global Pesos (SNSE:CFIHMCRGPB)</t>
  </si>
  <si>
    <t>Nevasa HMC SA Administradora General De Fondos - Fondo de Inversion HMC Renta Gl</t>
  </si>
  <si>
    <t>CFIHMCRGPB</t>
  </si>
  <si>
    <t>Nevasa HMC SA Administradora General De Fondos - Fondo de Inversión Nevasa Ahorro Fund (SNSE:CFINVRFLI)</t>
  </si>
  <si>
    <t>Nevasa HMC SA Administradora General De Fondos - Fondo de Inversión Nevasa Ahorr</t>
  </si>
  <si>
    <t>CFINVRFLI</t>
  </si>
  <si>
    <t>Nevasa HMC SA Administradora General De Fondos - Fondo de Inversión Nevasa HMC CIP VIII Fund (SNSE:CFICI81I.E)</t>
  </si>
  <si>
    <t>Nevasa HMC SA Administradora General De Fondos - Fondo de Inversión Nevasa HMC C</t>
  </si>
  <si>
    <t>CFICI81I.E</t>
  </si>
  <si>
    <t>Nevasa HMC SA Administradora General De Fondos - Fondo de Inversión Nevasa HMC Pearl Diver VII Fund (SNSE:CFIPD7BP.E)</t>
  </si>
  <si>
    <t>Nevasa HMC SA Administradora General De Fondos - Fondo de Inversión Nevasa HMC P</t>
  </si>
  <si>
    <t>CFIPD7BP.E</t>
  </si>
  <si>
    <t>Nevasa HMC SA Administradora General De Fondos - Fondo de Inversión Pre IPO Opportunities MVP Fund (SNSE:CFIPIPOA.E)</t>
  </si>
  <si>
    <t>Nevasa HMC SA Administradora General De Fondos - Fondo de Inversión Pre IPO Oppo</t>
  </si>
  <si>
    <t>CFIPIPOA.E</t>
  </si>
  <si>
    <t>Nevasa Hmc Sa Administradora General De Fondos - Nevasa Deuda Privada Fund (SNSE:CFINVSDPR)</t>
  </si>
  <si>
    <t>Nevasa Hmc Sa Administradora General De Fondos - Nevasa Deuda Privada Fund</t>
  </si>
  <si>
    <t>CFINVSDPR</t>
  </si>
  <si>
    <t>Nevasa HMC SA Administradora General De Fondos - Nevasa HMC CIP VII Global Securities II Fund (SNSE:CFICIP7B.E)</t>
  </si>
  <si>
    <t>Nevasa HMC SA Administradora General De Fondos - Nevasa HMC CIP VII Global Secur</t>
  </si>
  <si>
    <t>CFICIP7B.E</t>
  </si>
  <si>
    <t>Nexa Resources Atacocha S.A.A. (BVL:ATACOAC1)</t>
  </si>
  <si>
    <t>Nexa Resources Atacocha S.A.A.</t>
  </si>
  <si>
    <t>ATACOAC1</t>
  </si>
  <si>
    <t>Nexa Resources Atacocha S.A.A. operates as a mining company worldwide. The company’s mining portfolio comprises copper, zinc, lead, silver, and gold ores. The company was formerly known as Compañía Minera Atacocha S.A.A. Nexa Resources Atacocha S.A.A. was incorporated in 1936 and is based in Lima, Peru. Nexa Resources Atacocha S.A.A. operates as a subsidiary of Nexa Resources El Porvenir S.A.C.</t>
  </si>
  <si>
    <t>Nexa Resources Perú S.A.A. (BVL:NEXAPEC1)</t>
  </si>
  <si>
    <t>Nexa Resources Perú S.A.A.</t>
  </si>
  <si>
    <t>NEXAPEC1</t>
  </si>
  <si>
    <t>Nexa Resources Perú S.A.A., together with its subsidiaries, engages in the exploration, extraction, processing, and marketing of metals in Peru. It primarily explores zinc, copper, lead concentrates, gold, and silver metals. The company holds interest in the Cerro Lindo Mining Unit located in Peru; the El Porvenir unit situated in Peru; and the Atacocha Mine located in Peru. The company was formerly known as Compañía Minera Milpo S.A.A. and changed its name to Nexa Resources Perú S.A.A. in September 2018. Nexa Resources Perú S.A.A. was incorporated in 1949 and is based in Santiago De Surco, Peru. Nexa Resources Perú S.A.A. operates as a subsidiary of Nexa Resources - Cajamarquilla S.A.</t>
  </si>
  <si>
    <t>Nibsa S.A. (SNSE:NIBSA)</t>
  </si>
  <si>
    <t>Nibsa S.A.</t>
  </si>
  <si>
    <t>NIBSA</t>
  </si>
  <si>
    <t>Building Products</t>
  </si>
  <si>
    <t>Nibsa S.A. develops, manufactures, and sells plumbing, bathroom fitting, and other products and solutions in Chile. The company offers bathroom products, including bathroom faucet, bathtub shower, shower tray, bidet faucet, bars and showers, water aerators and regulators, and accessories; kitchen products, such as sink faucets, water aerators, water hoses, and stopcocks; and water treatment products comprising water purifiers and softeners, antifouling, and filters. It also provides electronic sensor faucets, timed taps, reduced mobility taps, flushometers and urinals, and institutional accessories; and plumbing products, including water connections, drains and siphons, flexible water and gas products, gate and garden valves, gas taps and connects, spare parts, and valves and pressure reducers. The company serves retail companies, healthcare companies and specialist distributors. The company was founded in 1945 and is based in Maipú, Chile.</t>
  </si>
  <si>
    <t>Norte Grande S.A. (SNSE:NORTEGRAN)</t>
  </si>
  <si>
    <t>Norte Grande S.A.</t>
  </si>
  <si>
    <t>NORTEGRAN</t>
  </si>
  <si>
    <t>Norte Grande S.A., through its subsidiaries, engages in investing in shares and other financial instruments in Chile. It is also involved in the production and marketing of specialty fertilizers, iodine, lithium, and industrial chemicals, as well as specialty plant nutrients, derivatives, and potassium fertilizers. The company was founded in 1988 and is based in Santiago, Chile. Norte Grande S.A. is a subsidiary of Inversiones SQYA S.A.</t>
  </si>
  <si>
    <t>Nuam S.A. (SNSE:NUAM)</t>
  </si>
  <si>
    <t>Nuam S.A.</t>
  </si>
  <si>
    <t>NUAM</t>
  </si>
  <si>
    <t>Nuam S.A., a holding company, provides clearing and settlement services in Chile, Colombia, and Peru. The company offers post-trading services, such as clearing and settlement services, settlement of stock market transactions, registration service, transfer, administration, and custody of securities; services and products related to market information, including orders, matching or closing of operations, and statistics of traded assets, as well as databases, licenses, and reports. It also provides products and services for trading financial instruments, platforms electronic systems for quoting and trading financial instruments in different markets; services to issuers listed on the Stock Exchange; front, middle, and back-office technology solutions for institutions and market investors; and fines, office rental, training and advertising area, and website. The company was formerly known as Holding Bursátil Regional S.A. and changed its name to Nuam S.A. in April 2026. The company was incorporated in 2022 and is based in Santiago, Chile.</t>
  </si>
  <si>
    <t>NVS AGF SA - Fondo De Inversion Nevasa TIC Vendor Lease I Fund (SNSE:CFINVSTICI)</t>
  </si>
  <si>
    <t>NVS AGF SA - Fondo De Inversion Nevasa TIC Vendor Lease I Fund</t>
  </si>
  <si>
    <t>CFINVSTICI</t>
  </si>
  <si>
    <t>Organización Terpel S.A. (BVC:TERPEL)</t>
  </si>
  <si>
    <t>Organización Terpel S.A.</t>
  </si>
  <si>
    <t>TERPEL</t>
  </si>
  <si>
    <t>Automotive Retail</t>
  </si>
  <si>
    <t>Organización Terpel S.A. operates fuel service stations in Colombia, Panama, Ecuador, Peru, and the Dominican Republic. The company engages in the purchase, distribution, and supply of hydrocarbons and their derivatives; and refining, supply, storage, and transportation of natural or propane gas, and other products. It also manufactures lubricants; and constructs, improves, conserves, maintains, and modernizes port and related activities. The company was incorporated in 2001 and is based in Bogotá, Colombia. Organización Terpel S.A. operates as a subsidiary of Empresas Copec S.A.</t>
  </si>
  <si>
    <t>Orygen Perú S.A.A. (BVL:ORYGENC1)</t>
  </si>
  <si>
    <t>Orygen Perú S.A.A.</t>
  </si>
  <si>
    <t>ORYGENC1</t>
  </si>
  <si>
    <t>Orygen Perú S.A.A. engages in the energy and power generation business in Peru. The company owns five hydroelectric plants with a generating capacity of 600.05 MW located in the Santa Eulalia and Rímac River basins, Lima; and two thermoelectric generating plants with a capacity of 410.9 MW situated in Cercado de Lima and another with 476.2 MW located in Ventanilla. It also owns two solar power plants located in the province of Mariscal Nieto, the Moquegua region with a generating capacity of 259.4 MW; and two wind power plants situated in the province of Nazca, the Ica region with a generating capacity of 309.3 MW. The company was formerly known as Enel Generación Peru S.A.A. and changed its name to Orygen Perú S.A.A. in July 2024. The company was founded in 1906 and is based in Lima, Peru. As of March 13, 2026, Orygen Perú S.A.A. operates as a subsidiary of Inversiones Piuranas S.A..</t>
  </si>
  <si>
    <t>Osoji Robotics Corporation Chile SpA (SNSE:OSOJI.X)</t>
  </si>
  <si>
    <t>Osoji Robotics Corporation Chile SpA</t>
  </si>
  <si>
    <t>OSOJI.X</t>
  </si>
  <si>
    <t>Household Appliances Producers</t>
  </si>
  <si>
    <t>Osoji Robotics Corporation Chile SPA designs, manufactures, and sells robots for households. It offers kitchen robots, air fryers, robot vacuum cleaners, cordless vacuum cleaners, window cleaner robots, electric mops, and accessories and spare parts. The company sells its products online. Osoji Robotics Corporation Chile SPA was founded in 2018 and is based in Vitacura, Chile.</t>
  </si>
  <si>
    <t>Oxiquim S.A. (SNSE:OXIQUIM)</t>
  </si>
  <si>
    <t>Oxiquim S.A.</t>
  </si>
  <si>
    <t>OXIQUIM</t>
  </si>
  <si>
    <t>Oxiquim S.A. engages in the production and sale of resins for the wood board industry in Chile. It offers liquid petroleum gas, clean fuels, wood board, animal feed and nutrition, human food, food flexible packaging films, thermoplastic and compostable resins, paints, coating, and adhesives; industrial water, desalination, purification and treatment; pharmaceuticals and cosmetics, mining, detergents and cleaning, cellulose and paper, HPLC solvents and ACS reagents, and other products. The company also provides reception, storage, and dispatch services for liquid bulk, serving mining companies, LPG and fuel distributors, pulp mills, paint and coating manufacturers, and resins and adhesive producers. In addition, it is involved in the distribution and marketing of a range of chemicals, raw materials, and specialties for the productive industry; and marketing, sales and technical support, product development, supply chain and logistics, sourcing and procurement, mixing and formulation, packaging and drumming, and private labeling services. The company was founded in 1955 and is based in Santiago, Chile.</t>
  </si>
  <si>
    <t>Pacífico Compañía de Seguros y Reaseguros (BVL:PACIFIC1)</t>
  </si>
  <si>
    <t>Pacífico Compañía de Seguros y Reaseguros</t>
  </si>
  <si>
    <t>PACIFIC1</t>
  </si>
  <si>
    <t>Life and Health</t>
  </si>
  <si>
    <t>Pacífico Compañía de Seguros y Reaseguros engages in the insurance business in Peru. It offers life, health, oncology, income, personal accident, travel, funeral, vehicle, traffic accident, and home and goods flex insurance products, as well as insurance benefits and EPS health plans. The company provides life law, group accident, labor, student accident, and property insurance products, as well as insurance for SMEs. In addition, it engages in reinsurance business. The company was founded in 1944 and is headquartered in Lima, Peru. Pacífico Compañía de Seguros y Reaseguros is a subsidiary of Credicorp Ltd.</t>
  </si>
  <si>
    <t>Pampa Camarones SpA (SNSE:CAMARONEX)</t>
  </si>
  <si>
    <t>Pampa Camarones SpA</t>
  </si>
  <si>
    <t>CAMARONEX</t>
  </si>
  <si>
    <t>Copper</t>
  </si>
  <si>
    <t>Pampa Camarones SpA develops and operates copper project in the Arica and Parinacota Region. It produces and sells copper cathodes. The company was founded in 2009 and is based in Las Condes, Chile.</t>
  </si>
  <si>
    <t>Panther Management SpA (SNSE:ZEROQ)</t>
  </si>
  <si>
    <t>Panther Management SpA</t>
  </si>
  <si>
    <t>ZEROQ</t>
  </si>
  <si>
    <t>Technology Distributors</t>
  </si>
  <si>
    <t>Information Technology</t>
  </si>
  <si>
    <t>Technology Hardware and Equipment</t>
  </si>
  <si>
    <t>Panther Management SpA engages in the development, rental, and sale of software and hardware technology. The company was incorporated in 2013 and is based in Santiago, Chile.</t>
  </si>
  <si>
    <t>Parque Arauco S.A. (SNSE:PARAUCO)</t>
  </si>
  <si>
    <t>Parque Arauco S.A.</t>
  </si>
  <si>
    <t>PARAUCO</t>
  </si>
  <si>
    <t>Parque Arauco S.A., together with its subsidiaries, develops, owns, operates, and manages multi-format real estate assets in Chile, Peru, and Colombia. The company owns and operates shopping center formats, including regional, neighborhood, outlet malls, and strip malls. Its tenants include department stores, home improvement stores, supermarkets, restaurants, movie theaters, health centers, and smaller stores. It also owns rental apartments, offices, and hotels. The company was formerly known as Cocentral Compañía de Centros Comerciales S.A. and changed its name to Parque Arauco S.A. in 1992. Parque Arauco S.A. was incorporated in 1979 and is based in Santiago, Chile.</t>
  </si>
  <si>
    <t>Patrimonio Autónomo Estrategias Inmobiliarias (3-2-4241) (BVC:PEI)</t>
  </si>
  <si>
    <t>Patrimonio Autónomo Estrategias Inmobiliarias (3-2-4241)</t>
  </si>
  <si>
    <t>PEI</t>
  </si>
  <si>
    <t>Patrimonio Autónomo Estrategias Inmobiliarias (3-2-4241) is the investment arm of Terranum Inversión. The firm operates as a real estate investment trust (REIT). The firm seeks to invest in large areas, corporate office buildings, stores, warehouses, shopping centers and first class tenants. Patrimonio Autónomo Estrategias Inmobiliarias (3-2-4241) is based in Colombia.</t>
  </si>
  <si>
    <t>Paz Corp S.A. (SNSE:PAZ)</t>
  </si>
  <si>
    <t>Paz Corp S.A.</t>
  </si>
  <si>
    <t>PAZ</t>
  </si>
  <si>
    <t>Paz Corp S.A., a real estate company, engages in housing projects development business in Chile and Peru. The company develops apartments and houses, as well as office and other real estate projects like offices, shops, strip centers, malls, etc. Paz Corp S.A. was founded in 1982 and is based in Santiago, Chile.</t>
  </si>
  <si>
    <t>Peru Holding de Turismo SAA (BVL:PHTBC1)</t>
  </si>
  <si>
    <t>Peru Holding de Turismo SAA</t>
  </si>
  <si>
    <t>PHTBC1</t>
  </si>
  <si>
    <t>Peru Holding de Turismo SAA engages in the development of tourism sector in Peru. It is involved in the acquisition of properties and development of hotel projects. The company was formerly known as Peru Real Estate SA and changed its name to Peru Holding de Turismo SAA in July 2000. The company was incorporated in 1991 and is based in Lima, Peru.</t>
  </si>
  <si>
    <t>Peru Soberano Van Eck El Dorado Id Etf (BVL:ETFPESOV)</t>
  </si>
  <si>
    <t>Peru Soberano Van Eck El Dorado Id Etf</t>
  </si>
  <si>
    <t>ETFPESOV</t>
  </si>
  <si>
    <t>Perubar SA (BVL:PERUBAI1)</t>
  </si>
  <si>
    <t>Perubar SA</t>
  </si>
  <si>
    <t>PERUBAI1</t>
  </si>
  <si>
    <t>Diversified Support Services</t>
  </si>
  <si>
    <t>Perubar SA provides storage and shipping services in Peru. The company engages in storing, blending, conditioning, and shipping of mineral concentrates. It is also involved in the rental of warehouses. The company was incorporated in 1957 and is based in Lima, Peru. Perubar SA operates as a subsidiary of Glencore Minera A.G.</t>
  </si>
  <si>
    <t>Pesquera Exalmar S.A.A. (BVL:EXALMC1)</t>
  </si>
  <si>
    <t>Pesquera Exalmar S.A.A.</t>
  </si>
  <si>
    <t>EXALMC1</t>
  </si>
  <si>
    <t>Pesquera Exalmar S.A.A. engages in the fishing business in Peru and internationally. It offers frozen giant squid, jack mackerel, mackerel, and anchovy for direct human consumption. The company provides indirect human consumption products, such as fishmeal that is used for animal breeding in livestock, sheep, and porcine industry, as well as in aquaculture; and fish oil, which is used in the aquaculture industry, as well as for human consumption as health supplement capsules. The company was founded in 1976 and is based in Lima, Peru. Pesquera Exalmar S.A.A. operates as a subsidiary of Caleta de Oro Holding del Perú S.A.C.</t>
  </si>
  <si>
    <t>Picton ADM General De Fondos S.A - Clearlake Capital Partners VIII FI Fund (SNSE:CFI.PCP8CE)</t>
  </si>
  <si>
    <t>Picton ADM General De Fondos S.A - Clearlake Capital Partners VIII FI Fund</t>
  </si>
  <si>
    <t>CFI.PCP8CE</t>
  </si>
  <si>
    <t>Picton ADM General De Fondos S.A - Fondo De Inversion Picton-Apollo EPF III Fund (SNSE:CFIPEPF3.E)</t>
  </si>
  <si>
    <t>Picton ADM General De Fondos S.A - Fondo De Inversion Picton-Apollo EPF III Fund</t>
  </si>
  <si>
    <t>CFIPEPF3.E</t>
  </si>
  <si>
    <t>Picton ADM General De Fondos S.A - Fondo De Inversion WPGG Fund (SNSE:CFIPWPGA.E)</t>
  </si>
  <si>
    <t>Picton ADM General De Fondos S.A - Fondo De Inversion WPGG Fund</t>
  </si>
  <si>
    <t>CFIPWPGA.E</t>
  </si>
  <si>
    <t>Picton ADM General De Fondos S.A - Fondo De Inversion WPGG XIV - Fund (SNSE:CFIPWG14.E)</t>
  </si>
  <si>
    <t>Picton ADM General De Fondos S.A - Fondo De Inversion WPGG XIV - Fund</t>
  </si>
  <si>
    <t>CFIPWG14.E</t>
  </si>
  <si>
    <t>Picton ADM General De Fondos S.A - KKR Europe VI Fondo De Inversion (SNSE:CFIPKRE6.E)</t>
  </si>
  <si>
    <t>Picton ADM General De Fondos S.A - KKR Europe VI Fondo De Inversion</t>
  </si>
  <si>
    <t>CFIPKRE6.E</t>
  </si>
  <si>
    <t>Picton ADM General De Fondos S.A - KKR Global Infrastructure V FI Fund (SNSE:CFI.PKR5CE)</t>
  </si>
  <si>
    <t>Picton ADM General De Fondos S.A - KKR Global Infrastructure V FI Fund</t>
  </si>
  <si>
    <t>CFI.PKR5CE</t>
  </si>
  <si>
    <t>Picton ADM General De Fondos S.A - PCS IV Fondo De Inversion Fund (SNSE:CFIPPCS4.E)</t>
  </si>
  <si>
    <t>Picton ADM General De Fondos S.A - PCS IV Fondo De Inversion Fund</t>
  </si>
  <si>
    <t>CFIPPCS4.E</t>
  </si>
  <si>
    <t>Picton Adm General De Fondos S.A - Picton Kkr Na XII Fondo Inversion Fund (SNSE:CFIPK13C.E)</t>
  </si>
  <si>
    <t>Picton Adm General De Fondos S.A - Picton Kkr Na XII Fondo Inversion Fund</t>
  </si>
  <si>
    <t>CFIPK13C.E</t>
  </si>
  <si>
    <t>Picton ADM General De Fondos S.A - Picton Savanna IV Fondo Inversion Fund (SNSE:CFIPSAV4.E)</t>
  </si>
  <si>
    <t>Picton ADM General De Fondos S.A - Picton Savanna IV Fondo Inversion Fund</t>
  </si>
  <si>
    <t>CFIPSAV4.E</t>
  </si>
  <si>
    <t>Picton ADM General De Fondos S.A - Picton TPG IX Fondo De Inversion (SNSE:CFI.PTPG9E)</t>
  </si>
  <si>
    <t>Picton ADM General De Fondos S.A - Picton TPG IX Fondo De Inversion</t>
  </si>
  <si>
    <t>CFI.PTPG9E</t>
  </si>
  <si>
    <t>Picton ADM General De Fondos S.A - Picton Tpg VIII Fondo De Inversion Fund (SNSE:CFIPTP8A.E)</t>
  </si>
  <si>
    <t>Picton ADM General De Fondos S.A - Picton Tpg VIII Fondo De Inversion Fund</t>
  </si>
  <si>
    <t>CFIPTP8A.E</t>
  </si>
  <si>
    <t>Picton Adm General De Fondos S.A. - EQT Infrastructure VI Fondo de Inversion Fund (SNSE:CFI.PEQI6E)</t>
  </si>
  <si>
    <t>Picton Adm General De Fondos S.A. - EQT Infrastructure VI Fondo de Inversion Fun</t>
  </si>
  <si>
    <t>CFI.PEQI6E</t>
  </si>
  <si>
    <t>Picton Adm General De Fondos S.A. - Picton ACE IV Fondo De Inversion (SNSE:CFIPACE4.E)</t>
  </si>
  <si>
    <t>Picton Adm General De Fondos S.A. - Picton ACE IV Fondo De Inversion</t>
  </si>
  <si>
    <t>CFIPACE4.E</t>
  </si>
  <si>
    <t>Picton Adm General De Fondos S.A. - Picton ACE V Fondo De Inversion (SNSE:CFIPACE5.E)</t>
  </si>
  <si>
    <t>Picton Adm General De Fondos S.A. - Picton ACE V Fondo De Inversion</t>
  </si>
  <si>
    <t>CFIPACE5.E</t>
  </si>
  <si>
    <t>Picton Adm General De Fondos S.A. - Picton ACE VI Fondo De Inversion (SNSE:CFI.PACE6E)</t>
  </si>
  <si>
    <t>Picton Adm General De Fondos S.A. - Picton ACE VI Fondo De Inversion</t>
  </si>
  <si>
    <t>CFI.PACE6E</t>
  </si>
  <si>
    <t>Picton Administradora General De Fondos S.A - VIP V Fondo de Inversion (SNSE:CFIPVIPV.E)</t>
  </si>
  <si>
    <t>Picton Administradora General De Fondos S.A - VIP V Fondo de Inversion</t>
  </si>
  <si>
    <t>CFIPVIPV.E</t>
  </si>
  <si>
    <t>Picton Administradora General De Fondos SA -  KKR Asia IV Fund (SNSE:CFIPKRA4.E)</t>
  </si>
  <si>
    <t>Picton Administradora General De Fondos SA -  KKR Asia IV Fund</t>
  </si>
  <si>
    <t>CFIPKRA4.E</t>
  </si>
  <si>
    <t>Picton Administradora General De Fondos SA - American Securities Partners IX Fondo de Inversion Fund (SNSE:CFI.PASP9E)</t>
  </si>
  <si>
    <t>Picton Administradora General De Fondos SA - American Securities Partners IX Fon</t>
  </si>
  <si>
    <t>CFI.PASP9E</t>
  </si>
  <si>
    <t>Picton Administradora General De Fondos SA - American Securities Partners VIII Fund (SNSE:CFIPASP8.E)</t>
  </si>
  <si>
    <t>Picton Administradora General De Fondos SA - American Securities Partners VIII F</t>
  </si>
  <si>
    <t>CFIPASP8.E</t>
  </si>
  <si>
    <t>Picton Administradora General De Fondos SA - Ares Senior Direct Lending  III Fondo de Inversion Fund (SNSE:CFI.PSDL3E)</t>
  </si>
  <si>
    <t>Picton Administradora General De Fondos SA - Ares Senior Direct Lending  III Fon</t>
  </si>
  <si>
    <t>CFI.PSDL3E</t>
  </si>
  <si>
    <t>Picton Administradora General De Fondos SA - HBP Venture 15 Fondo de Inversion Fund (SNSE:CFI.PHB15E)</t>
  </si>
  <si>
    <t>Picton Administradora General De Fondos SA - HBP Venture 15 Fondo de Inversion F</t>
  </si>
  <si>
    <t>CFI.PHB15E</t>
  </si>
  <si>
    <t>Picton And General De Fondos S.A - Picton Wp Fondo De Invesrsion - Fund (SNSE:CFIPCWPE.E)</t>
  </si>
  <si>
    <t>Picton And General De Fondos S.A - Picton Wp Fondo De Invesrsion - Fund</t>
  </si>
  <si>
    <t>CFIPCWPE.E</t>
  </si>
  <si>
    <t>Pionero Fondo De Inversion (SNSE:CFIPIONERO)</t>
  </si>
  <si>
    <t>Pionero Fondo De Inversion</t>
  </si>
  <si>
    <t>CFIPIONERO</t>
  </si>
  <si>
    <t>Pionero, Fondo de Inversion is an open ended equity mutual fund launched and managed by Moneda Asset Management SA. It invests in the public equity markets of Chile. Pionero, Fondo de Inversion is domiciled in Chile.</t>
  </si>
  <si>
    <t>Plaza S.A. (SNSE:MALLPLAZA)</t>
  </si>
  <si>
    <t>Plaza S.A.</t>
  </si>
  <si>
    <t>MALLPLAZA</t>
  </si>
  <si>
    <t>Plaza S.A. develops, builds, administers, manages, exploits, leases, and sublets premises and spaces in shopping centers in Chile, Colombia, and Peru. The company operates shopping centers. It also operates its shopping centers under the Mall Plaza, Autoplaza, and Motorplaza brands. The company was founded in 1990 and is headquartered in Santiago, Chile. Plaza SA operates as a subsidiary of Desarrollos Inmobiliarios S.A.</t>
  </si>
  <si>
    <t>Pluz Energía Perú S.A.A. (BVL:PLUZENC1)</t>
  </si>
  <si>
    <t>Pluz Energía Perú S.A.A.</t>
  </si>
  <si>
    <t>PLUZENC1</t>
  </si>
  <si>
    <t>Pluz Energía Perú S.A.A. distributes electricity in Peru. It offers Energy efficiency solutions, such as battery energy storage system, photovoltaic systems, demand management, and modernization of electrical infrastructure; LED lightings; and electric chargers, and electric mobility solutions. It is also involved in the pole rental activities. The company was formerly known as Enel Distribución Perú S.A.A. and changed its name to Pluz Energía Perú S.A.A. in August 2024. The company was founded in 1994 and is based in Lima, Peru. Pluz Energía Perú S.A.A. operates as a subsidiary of North Lima Power Grid Holding S.A.C.</t>
  </si>
  <si>
    <t>Portuaria Cabo Froward S.A. (SNSE:FROWARD)</t>
  </si>
  <si>
    <t>Portuaria Cabo Froward S.A.</t>
  </si>
  <si>
    <t>FROWARD</t>
  </si>
  <si>
    <t>Portuaria Cabo Froward S.A. provides port services in Chile. The company provides chips and pellet shipment; unloading of coal, clinker, and bulk-agri food; liquid bulk transfer; hydrocarbons discharge; general cargo services. The company was founded in 1994 and is based in Valparaíso, Chile. Portuaria Cabo Froward S.A. operates as a subsidiary of Grupo Empresas Navieras S.A.</t>
  </si>
  <si>
    <t>Potasios de Chile S.A. (SNSE:POTASIOS.A)</t>
  </si>
  <si>
    <t>Potasios de Chile S.A.</t>
  </si>
  <si>
    <t>POTASIOS.A</t>
  </si>
  <si>
    <t>Potasios de Chile S.A. invests in shares and other financial instruments in Chile. The company was incorporated in 2011 and is based in Santiago, Chile. Potasios de Chile S.A. operates as a subsidiary of Nitratos de Chile SA.</t>
  </si>
  <si>
    <t>Prince of Wales Country Club S.A.I. (SNSE:COUNTRY.A)</t>
  </si>
  <si>
    <t>Prince of Wales Country Club S.A.I.</t>
  </si>
  <si>
    <t>COUNTRY.A</t>
  </si>
  <si>
    <t>Prince of Wales Country Club S.A.I. operates sports and recreation club in Chile. The company provides sports facilities for golf, hockey, rugby, gym, padel, soccer, squash, tennis, swimming, dance, bridge, and fitness; and events for partners, companies, external, marriage, and spaces. It also offers kids programs; spa and wellness; and gastronomy. The company was founded in 1925 and is based in Santiago, Chile.</t>
  </si>
  <si>
    <t>Principal Administr Gral de Fondos S.A. - Fondo de Inversion Principal Digital Real Estate USA Fund (SNSE:CFI.PDREOE)</t>
  </si>
  <si>
    <t>Principal Administr Gral de Fondos S.A. - Fondo de Inversion Principal Digital R</t>
  </si>
  <si>
    <t>CFI.PDREOE</t>
  </si>
  <si>
    <t>Principal Administr Gral de Fondos S.A. - Fondo de Inversion Renta Comercial Principal BICENT Fund (SNSE:CFIPRRCBB)</t>
  </si>
  <si>
    <t>Principal Administr Gral de Fondos S.A. - Fondo de Inversion Renta Comercial Pri</t>
  </si>
  <si>
    <t>CFIPRRCBB</t>
  </si>
  <si>
    <t>Principal Administradora General de Fondos S.A. - Principal Real Estate USA Fund (SNSE:CFIPRUSA.E)</t>
  </si>
  <si>
    <t>Principal Administradora General de Fondos S.A.-  Principal Real Estate USA Fund</t>
  </si>
  <si>
    <t>CFIPRUSA.E</t>
  </si>
  <si>
    <t>Principal Administradora General de Fondos S.A.- FI Renta Residencial Principal Amplo Fund (SNSE:CFIPRRESAB)</t>
  </si>
  <si>
    <t>Principal Administradora General de Fondos S.A.- FI Renta Residencial Principal</t>
  </si>
  <si>
    <t>CFIPRRESAB</t>
  </si>
  <si>
    <t>Principal Administradora General de Fondos S.A.- Fondo Inversion Principal infrastructura Global (SNSE:CFI.PRIGAE)</t>
  </si>
  <si>
    <t>Principal Administradora General de Fondos S.A.- Fondo Inversion Principal infra</t>
  </si>
  <si>
    <t>CFI.PRIGAE</t>
  </si>
  <si>
    <t>Principal Administradora General de Fondos S.A.- Fondo Inversion Principal LS XI Fund (SNSE:CFIPLSX1.E)</t>
  </si>
  <si>
    <t>Principal Administradora General de Fondos S.A.- Fondo Inversion Principal LS XI</t>
  </si>
  <si>
    <t>CFIPLSX1.E</t>
  </si>
  <si>
    <t>Promigas S.A. E.S.P. (BVC:PROMIGAS)</t>
  </si>
  <si>
    <t>Promigas S.A. E.S.P.</t>
  </si>
  <si>
    <t>PROMIGAS</t>
  </si>
  <si>
    <t>Promigas S.A. E.S.P., together with its subsidiaries, engages in the exploitation, exploration, purchase, storage, transportation, packaging, distribution, trade, and sale of natural gas, electric energy, and hydrocarbons and derivatives derived from oil, coal, and other fuels in Colombia. It operates through Natural Gas Transportation, Integrated Solutions for the Industry and Power Generation, Distribution of Natural Gas, Distribution of Electricity, and Non-Bank Financing segments. The company provides natural gas compression and dehydration services; implements energy management systems; develops energy diagnostics; and prepares and implements onsite or distribution of energy generation projects, as well as engages in the provision of call center and contact center, business process outsourcing, professional and technical, and personalized attention services for any type of business. It also involved in the investment in construction, maintenance, and management of ports; loading and unloading, storage in ports, and other services directly related to the port activities; transportation of fuel gas by the assembly, construction, operation, maintenance, and commercial exploitation of systems, subsystems, and pipelines. In addition, the company offers change or replace technology, predictive energy maintenance programs, and advisory services in energy management; generates, transmits, and distributes energy; and acquires and sells real estate properties. Further, the company sells compressed and liquefied natural gas. Promigas S.A. E.S.P. was incorporated in 1974 and is headquartered in Barranquilla, Colombia.</t>
  </si>
  <si>
    <t>Puerto Ventanas S.A. (SNSE:VENTANAS)</t>
  </si>
  <si>
    <t>Puerto Ventanas S.A.</t>
  </si>
  <si>
    <t>VENTANAS</t>
  </si>
  <si>
    <t>Puerto Ventanas S.A. operates a port in Chile. The company offers warehousing services; and services to the ships, including docking and undocking, tug, and berthing and unberthing. It also provides land transportation services by road or rail; and loading and unloading services. Puerto Ventanas S.A. was incorporated in 1991 and is based in Santiago, Chile.</t>
  </si>
  <si>
    <t>Quálitas Compañía de Seguros S.A. (BVL:QUALSGC1)</t>
  </si>
  <si>
    <t>Quálitas Compañía de Seguros S.A.</t>
  </si>
  <si>
    <t>QUALSGC1</t>
  </si>
  <si>
    <t>Quálitas Compañía de Seguros S.A. is involved in the provision of vehicle insurance in Peru. The company was founded in 2013 and is based in Lima, Peru. Quálitas Compañía de Seguros S.A. is a subsidiary of Quálitas Controladora, S.A.B. de C.V.</t>
  </si>
  <si>
    <t>Quemchi S.A. (SNSE:QUEMCHI)</t>
  </si>
  <si>
    <t>Quemchi S.A.</t>
  </si>
  <si>
    <t>QUEMCHI</t>
  </si>
  <si>
    <t>Quemchi, S.A. engages in maritime transport, cargo and shipping services, and investments businesses. It is involved in the transportation of cargo in containers, as well as in the transportation of bulk cargo and cars. The company also provides storage facilities, cargo-handling services, and port terminal concessions. In addition, it engages in various activities related to industries, such as forestry, fishing, mining, chemical production, construction, real estate, tourism, communication, and foreign trade. Quemchi, S.A. sells its products in Asia, Europe, the United States, and Africa. The company was formerly known as Compañía Electro Metalúrgica, S.A. Quemchi, S.A. was founded in 1992 and is based in Santiago, Chile.</t>
  </si>
  <si>
    <t>Quest Acciones Chile Fondo de Inversión (SNSE:CFIQAC)</t>
  </si>
  <si>
    <t>Quest Acciones Chile Fondo de Inversión</t>
  </si>
  <si>
    <t>CFIQAC</t>
  </si>
  <si>
    <t>Quest Acciones Chile Fondo de Inversión was founded in 2015 and is headquartered in Santiago de Chile, Region Metropolitana (Santiago), Chile.</t>
  </si>
  <si>
    <t>Quest Administradora General de Fondos - Quest Doble Impacto Fondo De Inversion (SNSE:CFIQDIA)</t>
  </si>
  <si>
    <t>Quest Administradora General de Fondos - Quest Doble Impacto Fondo De Inversion</t>
  </si>
  <si>
    <t>CFIQDIA</t>
  </si>
  <si>
    <t>Quest Administradora General de Fondos - Quest Estrategia Activa Fondo De Inversion (SNSE:CFIQEAA)</t>
  </si>
  <si>
    <t>Quest Administradora General de Fondos - Quest Estrategia Activa Fondo De Invers</t>
  </si>
  <si>
    <t>CFIQEAA</t>
  </si>
  <si>
    <t>Quest Administradora General de Fondos- Financiamiento Inmobiliario FI Fund (SNSE:CFIQFIA.E)</t>
  </si>
  <si>
    <t>Quest Administradora General de Fondos- Financiamiento Inmobiliario FI Fund</t>
  </si>
  <si>
    <t>CFIQFIA.E</t>
  </si>
  <si>
    <t>Quest Administradora General de Fondos- QUEST AMAZON DEV FUND (SNSE:CFI.QADFBE)</t>
  </si>
  <si>
    <t>Quest Administradora General de Fondos- QUEST AMAZON DEV FUND</t>
  </si>
  <si>
    <t>CFI.QADFBE</t>
  </si>
  <si>
    <t>Quest Administradora General de Fondos- QUEST AMAZON DEV FUND F1 (SNSE:CFIQADFA.E)</t>
  </si>
  <si>
    <t>Quest Administradora General de Fondos- QUEST AMAZON DEV FUND F1</t>
  </si>
  <si>
    <t>CFIQADFA.E</t>
  </si>
  <si>
    <t>Quest Administradora General de Fondos- Quest Global Value Fondo De Inversion (SNSE:CFI.QGVAUS)</t>
  </si>
  <si>
    <t>Quest Administradora General de Fondos- Quest Global Value Fondo De Inversion</t>
  </si>
  <si>
    <t>CFI.QGVAUS</t>
  </si>
  <si>
    <t>Quest Administradora General de Fondos- Quest Operaciones Inmobiliarias Fondo De Inversion Fund (SNSE:CFIQOIA)</t>
  </si>
  <si>
    <t>Quest Administradora General de Fondos- Quest Operaciones Inmobiliarias Fondo De</t>
  </si>
  <si>
    <t>CFIQOIA</t>
  </si>
  <si>
    <t>Quest Administradora General De Fondos Sa - El Fondo Quest Deuda Privada (SNSE:CFIQDPCA)</t>
  </si>
  <si>
    <t>Quest Administradora General De Fondos Sa - El Fondo Quest Deuda Privada</t>
  </si>
  <si>
    <t>CFIQDPCA</t>
  </si>
  <si>
    <t>Quilicura S.A. (SNSE:QUILICURA)</t>
  </si>
  <si>
    <t>Quilicura S.A.</t>
  </si>
  <si>
    <t>QUILICURA</t>
  </si>
  <si>
    <t>Quilicura S.A. manufactures, markets, and sells metal cylinders to store liquefied petroleum gas (LPG) in Chile. It also offers reinspection and repair services for LPG cylinders and valves; and LPG cylinder maintenance service for gas distribution companies. The company was incorporated in 1997 and is based in Santiago, Chile.</t>
  </si>
  <si>
    <t>Quimpac S.A. (BVL:QUIMPAI1)</t>
  </si>
  <si>
    <t>Quimpac S.A.</t>
  </si>
  <si>
    <t>QUIMPAI1</t>
  </si>
  <si>
    <t>Quimpac S.A. engages in the production and commercialization of chemical products Peru and internationally. The company offers caustic soda, chlorine, dicalcium phosphate, salt, chlorine soda, and other chemical products. It also provides hydrogen and hydroxide, and water and other chemicals and salts for industrial and domestic use. In addition, the company engages in the livestock business; distribution of chemical products to the veterinary and agricultural markets; and heavy cargo transportation by road. The company was formerly known as Química del Pacífico S.A. Quimpac S.A. was incorporated in 1996 and is based in Callao, Peru. Quimpac S.A. operates as a subsidiary of Quimpac Corp SAC.</t>
  </si>
  <si>
    <t>Quiñenco SA (SNSE:QUINENCO)</t>
  </si>
  <si>
    <t>Quiñenco SA</t>
  </si>
  <si>
    <t>QUINENCO</t>
  </si>
  <si>
    <t>Quiñenco SA, a business conglomerate, operates in the industrial and financial services sectors in Chile and internationally. It provides banking and financial products, such as loans and deposits to individuals and large corporations. The company produces and sells beverages, including beer, soft drinks, mineral and bottled waters, nectars, wine and pisco, as well as non-alcoholic beverages, spirits, ciders, and sparkling wines; and manufactures and sells cables. In addition, the company distributes fuels and lubricants to transport, mining, and power generation sectors; operates convenience store and service stations under the Shell license, and 224 upa!, up¡ta and upa! market. Further, it offers containerized freight transport services; and towage and air logistics services. The company was formerly known as Forestal Quiñenco S.A. and changed its name to Quiñenco SA in October 1996. Quiñenco SA was incorporated in 1957 and is based in Santiago, Chile.</t>
  </si>
  <si>
    <t>RCN Televisión S.A. (BVC:RCNTELEVI)</t>
  </si>
  <si>
    <t>RCN Televisión S.A.</t>
  </si>
  <si>
    <t>RCNTELEVI</t>
  </si>
  <si>
    <t>RCN Televisión S.A. operates as a television and other telecommunications services in Colombia and internationally. The company provides game shows and reality programs; news programs, one-off programs, and sporting events. It also engages in the production, execution, purchase, sale, lease, import, export, and commercialization and exploitation of various cinematographic and audiovisual works and productions. RCN Televisión S.A. was incorporated in 1997 and is headquartered in Bogota, Colombia.</t>
  </si>
  <si>
    <t>RIMAC Seguros y Reaseguros S.A. (BVL:RIMSEGC1)</t>
  </si>
  <si>
    <t>RIMAC Seguros y Reaseguros S.A.</t>
  </si>
  <si>
    <t>RIMSEGC1</t>
  </si>
  <si>
    <t>RIMAC Seguros y Reaseguros S.A. engages in the insurance business in Peru. It offers vehicle and SOAT, health, life, life investment, travel, home, workers and other insurance products; annuities; and insurance products for companies. The company was formerly known as Rimac - Internacional Compania de Seguros y Reaseguros S.A. and changed its name to RIMAC Seguros y Reaseguros S.A. in February 2012. The company was incorporated in 1896 and is headquartered in San Isidro, Peru. RIMAC Seguros y Reaseguros S.A. is a subsidiary of Breca Seguros Y Salud S.A.C.</t>
  </si>
  <si>
    <t>rincipal Administradora General de Fondos S.A.- Fondo de Inversión Real Estate Oportunidades Estraté (SNSE:CFIPRREOEB)</t>
  </si>
  <si>
    <t>rincipal Administradora General de Fondos S.A.- Fondo de Inversión Real Estate O</t>
  </si>
  <si>
    <t>CFIPRREOEB</t>
  </si>
  <si>
    <t>Riopaila Agrícola S.A. (BVC:RIOPAILA)</t>
  </si>
  <si>
    <t>Riopaila Agrícola S.A.</t>
  </si>
  <si>
    <t>RIOPAILA</t>
  </si>
  <si>
    <t>Riopaila Agrícola S.A. produces and markets agricultural products. It cultivates sugarcane, rice, and mangoes. The company is also involved in the cattle raising activities. Riopaila Agrícola S.A. was founded in 1918 and is based in Cali, Colombia.</t>
  </si>
  <si>
    <t>Riopaila Castilla S.A. (BVC:RIOPAILIND)</t>
  </si>
  <si>
    <t>Riopaila Castilla S.A.</t>
  </si>
  <si>
    <t>RIOPAILIND</t>
  </si>
  <si>
    <t>Riopaila Castilla S.A. operates as an agro-industrial company in Colombia. The company offers sugars, honeys, inverted syrup, mixtures, and palm oil, as well as fertilizers under the FertiRio Conditioner name. It also engages in cattle raising activities; cogeneration of energy from sugarcane bagasse; and production of renewable energy, including alcohol and palm oil. In addition, the company provides agricultural services and consulting services, such as adaptation, preparation and planting; crop lifting; fertilizer application; variable-rate fertilization; and precision agriculture. Riopaila Castilla S.A. was founded in 1918 and is headquartered in Santiago de Cali, Colombia.</t>
  </si>
  <si>
    <t>Ripley Corp S.A. (SNSE:RIPLEY)</t>
  </si>
  <si>
    <t>Ripley Corp S.A.</t>
  </si>
  <si>
    <t>RIPLEY</t>
  </si>
  <si>
    <t>Ripley Corp S.A. engages in the retail business in Chile and Peru. The company offers beauty, tech, shoes and sneakers, accessories and complements, decorations, sports and adventure, electro, and school children’s products, as well as toys, furniture, outlet products, automotive and automotive parts, and hardware products. It also provides pet products, supermarket products, health and wellness products, and men, women, and children’s fashion. In addition, the company is involved in the banking business; and real estate business. Ripley Corp S.A. was founded in 1956 and is based in Santiago, Chile.</t>
  </si>
  <si>
    <t>Saga Falabella S.A. (BVL:SAGAC1)</t>
  </si>
  <si>
    <t>Saga Falabella S.A.</t>
  </si>
  <si>
    <t>SAGAC1</t>
  </si>
  <si>
    <t>Saga Falabella S.A. operates chain of department stores in Peru. The company’s stores sell products in various categories, including electrohome, technology, furniture and organization, shoes, bedroom, sports, accessories, footwear, gifts, kitchen and kitchenware, decoration and lighting, pets, automotive, tool and machinery, construction, hardware products, and beauty and health, as well as woman, men, and children fashion. The company also sells its products through Falabella.com platform. In addition, it is involved in insurance business; and rental of spaces to third parties. The company was incorporated in 1953 and is based in San Isidro, Peru. Saga Falabella S.A. operates as a subsidiary of Inverfal Perú S.A.A.</t>
  </si>
  <si>
    <t>SalfaCorp S.A. (SNSE:SALFACORP)</t>
  </si>
  <si>
    <t>SalfaCorp S.A.</t>
  </si>
  <si>
    <t>SALFACORP</t>
  </si>
  <si>
    <t>SalfaCorp S.A. engages in engineering, construction, and real estate businesses in Chile and internationally. The company offers construction and industrial assembly, civil works construction, industrial maintenance, installation of equipment, mining development, marine works, earthmoving, and drilling and blasting services, as well as undertakes engineering, procurement, and construction projects. The company also involved in real estate, commercial, and infrastructure activities; and development and rental of commercial and industrial projects. The company was founded in 1929 and is based in Santiago, Chile.</t>
  </si>
  <si>
    <t>Salmones Camanchaca S.A. (SNSE:SALMOCAM)</t>
  </si>
  <si>
    <t>Salmones Camanchaca S.A.</t>
  </si>
  <si>
    <t>SALMOCAM</t>
  </si>
  <si>
    <t>Salmones Camanchaca S.A. engages in the salmon farming business in Chile. The company offers Atlantic salmon, including whole/HG, steak, servings, and other products; and whole/HG coho, coho steak, and coho portions. It also exports its products. The company was founded in 1987 and is based in Puerto Montt, Chile. Salmones Camanchaca S.A. operates as a subsidiary of Camanchaca S.A.</t>
  </si>
  <si>
    <t>Santander Asset Management - FI Rentas Residenciales Fund (SNSE:CFISANRR.A)</t>
  </si>
  <si>
    <t>Santander Asset Management - FI Rentas Residenciales Fund</t>
  </si>
  <si>
    <t>CFISANRR.A</t>
  </si>
  <si>
    <t>Spain</t>
  </si>
  <si>
    <t>Santander Asset Management - Santander Renta Comercial Fund (SNSE:CFISANRCA)</t>
  </si>
  <si>
    <t>Santander Asset Management - Santander Renta Comercial Fund</t>
  </si>
  <si>
    <t>CFISANRCA</t>
  </si>
  <si>
    <t>Santander Sa Admin General De Fondo - Fondo De Inversion Santander Deuda Corporativa Fund (SNSE:CFISANTDCA)</t>
  </si>
  <si>
    <t>Santander Sa Admin General De Fondo - Fondo De Inversion Santander Deuda Corpora</t>
  </si>
  <si>
    <t>CFISANTDCA</t>
  </si>
  <si>
    <t>Santander SA Administradora General de Fondos - Fondo de Inversion Santander Deuda Fund (SNSE:CFISANDCHA)</t>
  </si>
  <si>
    <t>Santander SA Administradora General de Fondos - Fondo de Inversion Santander Deu</t>
  </si>
  <si>
    <t>CFISANDCHA</t>
  </si>
  <si>
    <t>Santander SA Administradora General de Fondos - P.P. Santander Renta Variable Gl (SNSE:CFISANRVGA)</t>
  </si>
  <si>
    <t>Santander SA Administradora General de Fondos - P.P. Santander Renta Variable Gl</t>
  </si>
  <si>
    <t>CFISANRVGA</t>
  </si>
  <si>
    <t>Santander SA Administradora General de Fondos - P.P. Santander Renta Variable Global Fund is headquartered in Madrid, Madrid, Spain.</t>
  </si>
  <si>
    <t>Sartor Administradora General de Fondos S.A. - FI Sartor Leasing Fund (SNSE:CFILEASQ)</t>
  </si>
  <si>
    <t>Sartor Administradora General de Fondos S.A. - FI Sartor Leasing Fund</t>
  </si>
  <si>
    <t>CFILEASQ</t>
  </si>
  <si>
    <t>Sartor Administradora General de Fondos S.A. - FI Sartor Proyeccion Fund (SNSE:CFIPROYQ)</t>
  </si>
  <si>
    <t>Sartor Administradora General de Fondos S.A. - FI Sartor Proyeccion Fund</t>
  </si>
  <si>
    <t>CFIPROYQ</t>
  </si>
  <si>
    <t>Sartor Administradora General de Fondos S.A. - FI Sartor Tactico Fund (SNSE:CFITACTI.Q)</t>
  </si>
  <si>
    <t>Sartor Administradora General de Fondos S.A. - FI Sartor Tactico Fund</t>
  </si>
  <si>
    <t>CFITACTI.Q</t>
  </si>
  <si>
    <t>Sartor Administradora General de Fondos S.A. - Fondo De Inversion Sartor Capital Efectivo Fund (SNSE:CFICAPEF.A)</t>
  </si>
  <si>
    <t>Sartor Administradora General de Fondos S.A. - Fondo De Inversion Sartor Capital</t>
  </si>
  <si>
    <t>CFICAPEF.A</t>
  </si>
  <si>
    <t>Sartor Administradora General de Fondos S.A. - Fondo De Inversion Sartor Leasing Fund (SNSE:CFILEASA)</t>
  </si>
  <si>
    <t>Sartor Administradora General de Fondos S.A. - Fondo De Inversion Sartor Leasing</t>
  </si>
  <si>
    <t>CFILEASA</t>
  </si>
  <si>
    <t>Sartor Administradora General de Fondos S.A. - Fondo De Inversion Sartor Mid Mall Fund (SNSE:CFIMIDMA.E)</t>
  </si>
  <si>
    <t>Sartor Administradora General de Fondos S.A. - Fondo De Inversion Sartor Mid Mal</t>
  </si>
  <si>
    <t>CFIMIDMA.E</t>
  </si>
  <si>
    <t>Sartor Administradora General de Fondos S.A. - Fondo De Inversion Sartor Proyeccion Fund (SNSE:CFIPROYA)</t>
  </si>
  <si>
    <t>Sartor Administradora General de Fondos S.A. - Fondo De Inversion Sartor Proyecc</t>
  </si>
  <si>
    <t>CFIPROYA</t>
  </si>
  <si>
    <t>Sartor Administradora General de Fondos S.A. - Fondo De Inversion Sartor Proyeccion Fund is headquartered in Chile.</t>
  </si>
  <si>
    <t>Sartor Administradora General de Fondos S.A. - Fondo De Inversion Sartor Tactico Fund (SNSE:CFITACTI.A)</t>
  </si>
  <si>
    <t>Sartor Administradora General de Fondos S.A. - Fondo De Inversion Sartor Tactico</t>
  </si>
  <si>
    <t>CFITACTI.A</t>
  </si>
  <si>
    <t>Sartor Administradora General de Fondos SA - FI Sartor Desarrollo Inmobiliario Fund (SNSE:CFI.DESUSE)</t>
  </si>
  <si>
    <t>Sartor Administradora General de Fondos SA - FI Sartor Desarrollo Inmobiliario F</t>
  </si>
  <si>
    <t>CFI.DESUSE</t>
  </si>
  <si>
    <t>Sartor Administradora General De Fondos Sa - Fondo de Inversion Sartor Renta Comercial (SNSE:CFIRENTCOM)</t>
  </si>
  <si>
    <t>Sartor Administradora General De Fondos Sa - Fondo de Inversion Sartor Renta Com</t>
  </si>
  <si>
    <t>CFIRENTCOM</t>
  </si>
  <si>
    <t>Sartor Administradora General De Fondos SA - Fondo De Inversion Sartor Tactico Internacional (SNSE:CFI.TAINA)</t>
  </si>
  <si>
    <t>Sartor Administradora General De Fondos SA - Fondo De Inversion Sartor Tactico I</t>
  </si>
  <si>
    <t>CFI.TAINA</t>
  </si>
  <si>
    <t>Schwager S.A. (SNSE:SCHWAGER)</t>
  </si>
  <si>
    <t>Schwager S.A.</t>
  </si>
  <si>
    <t>SCHWAGER</t>
  </si>
  <si>
    <t>Schwager S.A. provides specialized maintenance and operation services for equipment in mining operations in Chile. The company offers mining services, such as maintenance, assembly, operational projects, and electrical solutions for mining plants; energy and logistics services; and after-sales service, commissioning, technical support, and spare parts supply for mining. It also produces and markets dairy products, including sweet whey powder, whey protein concentrates, deproteinized whey, fattened whey, and whole and skimmed milk powder; sale and rental of machinery and support equipment for the industrial, mining, and private sectors; and generate renewable energies and by-products. The company was formerly known as Schwager Energy S.A. Schwager S.A. was founded in 1847 and is based in Santiago, Chile.</t>
  </si>
  <si>
    <t>Scotiabank Chile S.A. (SNSE:SCOTIABKCL)</t>
  </si>
  <si>
    <t>Scotiabank Chile S.A.</t>
  </si>
  <si>
    <t>SCOTIABKCL</t>
  </si>
  <si>
    <t>Scotiabank Chile S.A. provides various financial products and services in Chile. It operates through Retail Banking, Wholesale Banking, CAT, Treasury, and Other segments. The company is involved in the intermediation of money and financial instruments represented by securities, commercial paper, or any other credit instrument. It also provides current, saving, and digital foreign currency accounts; term deposit, agreement, mutual fund, and investment products; insurance products, such as cars, home and protection, health, trips, and life; credit, debit, and business cards; and wealth and investment management services. In addition, the company offers commercial, consumer, mortgage, and foreign trade loans; overdraft credit line; and working capital financing, leasing for SMEs, guarantee certificate, and factoring for SMEs and structured financing services. Further, the company provides factoring, foreign trade, confirming, payment orders, and money desk. Additionally, it offers collection, bill payment, electronic payment of salaries, multipayments, same-day payroll payment, cash concentration, pay taxes online, electronic payment of quotes, supplier portal; and treasury products, foreign currency exchange, derivative products, foreign currency or interest rate risk hedging, and short-term investments, as well as infrastructure finance, commodities, cash management, debt and economic research, and trust services. The company was incorporated in 1944 and is based in Santiago, Chile. Scotiabank Chile S.A. is a subsidiary of Nova Scotia Inversiones Limitada.</t>
  </si>
  <si>
    <t>Scotiabank Perú S.A.A. (BVL:SCOTIAC1)</t>
  </si>
  <si>
    <t>Scotiabank Perú S.A.A.</t>
  </si>
  <si>
    <t>SCOTIAC1</t>
  </si>
  <si>
    <t>Scotiabank Perú S.A.A. provides various banking products and services to individuals and businesses in Peru. The company offers digital, meta, savings, salary, savings, dollar, CTS, utilities, and CTS withdrawal accounts. It also offers instant cash, debt purchase, cash disposal, term deposit, mutual fund, and line increase related products, as well as credit and debit services. In addition, the company provides salary, personal, and loan agreements. Further, it offers ScotiaVida and ScotiaVida plus; lien, personal loan lien, and credit card liability insurance, as well as accident, health, oncological, and cancer related insurance services. Additionally, the company provides vehicle, property, and home multi-risk insurance services. Furthermore, it offers SME working capital line and vehicle loan; and fixed assets, mortgage credit, and housing loan, as well as transfer and collection services. The company offers working capital, letter discount, electronic and physical factoring, sales financing, and invoice discount related services. It also provides guarantees, methods of payment, leasing, and financing, as well as telephone banking services. The company was incorporated in 1943 and is headquartered in Lima, Peru. Scotiabank Perú S.A.A. operates as a subsidiary of Scotia Peru Holdings S.A.</t>
  </si>
  <si>
    <t>Shougang Generación Eléctrica S.A.A. (BVL:SHOUGEC1)</t>
  </si>
  <si>
    <t>Shougang Generación Eléctrica S.A.A.</t>
  </si>
  <si>
    <t>SHOUGEC1</t>
  </si>
  <si>
    <t>Shougang Generación Eléctrica S.A.A. engages in the generation, transmission, and distribution of electrical energy in Peru. It operates the San Nicolas thermal power plant comprising three turbogenerators, including TV1 with a capacity of 18,708 MW, TV2 with a capacity of 17,082 MW, and TV3 with a capacity of 25,924 MW that are located in the district of San Juan de Marcona, Province of Nasca, as well as a generating set with a capacity of 1,241 MW. The company was incorporated in 1997 and is based in Lima, Peru. Shougang Generación Eléctrica S.A.A. operates as a subsidiary of Shougang Group Co.,Ltd.</t>
  </si>
  <si>
    <t>Shougang Hierro Peru S.a.a. (BVL:SHPC1)</t>
  </si>
  <si>
    <t>Shougang Hierro Peru S.a.a.</t>
  </si>
  <si>
    <t>SHPC1</t>
  </si>
  <si>
    <t>Shougang Hierro Peru S.a.a., a mining company, is involved in the production and sale of iron concentrate. The company was founded in 1975 and is based in Lima, Peru. Shougang Hierro Peru S.a.a. operates as a subsidiary of Shougang Group.</t>
  </si>
  <si>
    <t>Sigdo Koppers S.A. (SNSE:SK)</t>
  </si>
  <si>
    <t>Sigdo Koppers S.A.</t>
  </si>
  <si>
    <t>SK</t>
  </si>
  <si>
    <t>Sigdo Koppers S.A., together with its subsidiaries, engages in services, industrial, and commercial and automotive businesses internationally. The company provides services including engineering, civil works, electromechanical assembly and execution of works, as well as supply, including transportation to the site and installation; services include storage, storage, loading and unloading of materials and bulk products; and sale and rental of machinery, marketing of supplies, technical and after-sales service. The company also provides equipment and machinery rental services for transportation, agriculture, construction, mining, forestry, and industrial sectors; and explosive grade ammonium nitrate, as well as distributes automobile products. In addition, the company engages in the rock fragmentation business; and production and commercialization of grinding balls and wear elements for mining and industry sectors. Sigdo Koppers S.A. was founded in 1920 and is based in Las Condes, Chile.</t>
  </si>
  <si>
    <t>Singular Asset Management ADM GEN FD SA - FI Singular Core ETF (SNSE:CFI4060ETF)</t>
  </si>
  <si>
    <t>Singular Asset Management ADM GEN FD SA - FI Singular Core ETF</t>
  </si>
  <si>
    <t>CFI4060ETF</t>
  </si>
  <si>
    <t>Singular Asset Management ADM Gen FD SA - FI Singular Private Equity (SNSE:CFI.SPE2AE)</t>
  </si>
  <si>
    <t>Singular Asset Management ADM Gen FD SA - FI Singular Private Equity</t>
  </si>
  <si>
    <t>CFI.SPE2AE</t>
  </si>
  <si>
    <t>Singular Asset Management Adm Gen Fondos SA - FI Oaktree Opportunities Fund (SNSE:CFIOOX2A.E)</t>
  </si>
  <si>
    <t>Singular Asset Management Adm Gen Fondos SA - FI Oaktree Opportunities Fund</t>
  </si>
  <si>
    <t>CFIOOX2A.E</t>
  </si>
  <si>
    <t>Singular Asset Management Adm Gen Fondos SA - Fondo de Inversion ETF Singular Nasdaq 100 Fund (SNSE:CFINASDAQ)</t>
  </si>
  <si>
    <t>Singular Asset Management Adm Gen Fondos SA - Fondo de Inversion ETF Singular Na</t>
  </si>
  <si>
    <t>CFINASDAQ</t>
  </si>
  <si>
    <t>Singular Asset Management Adm Gen Fondos SA - Fondo de Inversion Singular Global Corporates Fund (SNSE:CFIGC)</t>
  </si>
  <si>
    <t>Singular Asset Management Adm Gen Fondos SA - Fondo de Inversion Singular Global</t>
  </si>
  <si>
    <t>CFIGC</t>
  </si>
  <si>
    <t>Singular Asset Management Adm Gen Fondos SA - Fondo de Inversion Singular Residential Fund (SNSE:CFISMH1A.E)</t>
  </si>
  <si>
    <t>Singular Asset Management Adm Gen Fondos SA - Fondo de Inversion Singular Reside</t>
  </si>
  <si>
    <t>CFISMH1A.E</t>
  </si>
  <si>
    <t>Singular Asset Management Admgral De Fondos Sa - Fondo de Inversion ETF Singular IPSA (SNSE:CFIETFIPSA)</t>
  </si>
  <si>
    <t>Singular Asset Management Admgral De Fondos Sa - Fondo de Inversion ETF Singular</t>
  </si>
  <si>
    <t>CFIETFIPSA</t>
  </si>
  <si>
    <t>Singular Asset Management Admgral De Fondos Sa - Fondo de Inversion Singular Leaseback I Fund (SNSE:CFISLBKA.E)</t>
  </si>
  <si>
    <t>Singular Asset Management Admgral De Fondos Sa - Fondo de Inversion Singular Lea</t>
  </si>
  <si>
    <t>CFISLBKA.E</t>
  </si>
  <si>
    <t>Singular Asset Management Admgral De Fondos Sa - Fondo de Inversion Singular Leaseback III Fund (SNSE:CFILBKA3.E)</t>
  </si>
  <si>
    <t>CFILBKA3.E</t>
  </si>
  <si>
    <t>Singular Asset Management Gen FD SA - FI Oaktree Global Cred Fund (SNSE:CFI.OGCAE)</t>
  </si>
  <si>
    <t>Singular Asset Management Gen FD SA - FI Oaktree Global Cred Fund</t>
  </si>
  <si>
    <t>CFI.OGCAE</t>
  </si>
  <si>
    <t>SINGULAR ASSET MANAGM ADM GEN FD SA-FI OAKTREE INFRA TRANSPORTATION Fund (SNSE:CFI.OITAE)</t>
  </si>
  <si>
    <t>SINGULAR ASSET MANAGM ADM GEN FD SA-FI OAKTREE INFRA TRANSPORTATION Fund</t>
  </si>
  <si>
    <t>CFI.OITAE</t>
  </si>
  <si>
    <t>SINGULAR ASSET MANAGM ADM GEN FD SA-Fondo De Inversion Leaseback II Fund (SNSE:CFILBKA2.E)</t>
  </si>
  <si>
    <t>SINGULAR ASSET MANAGM ADM GEN FD SA-Fondo De Inversion Leaseback II Fund</t>
  </si>
  <si>
    <t>CFILBKA2.E</t>
  </si>
  <si>
    <t>Singular Asset Mgmt Admgral De Fondos Sa - Fondo de Inversion Singular Oaktree Opportunities Fund (SNSE:CFIOOX1I.E)</t>
  </si>
  <si>
    <t>Singular Asset Mgmt Admgral De Fondos Sa - Fondo de Inversion Singular Oaktree O</t>
  </si>
  <si>
    <t>CFIOOX1I.E</t>
  </si>
  <si>
    <t>Singular Asset Mgmt Admgral De Fondos Sa - Fondo de Inversión Singular Oaktree Opportunities XI (SNSE:CFI.OOX1AE)</t>
  </si>
  <si>
    <t>Singular Asset Mgmt Admgral De Fondos Sa - Fondo de Inversión Singular Oaktree O</t>
  </si>
  <si>
    <t>CFI.OOX1AE</t>
  </si>
  <si>
    <t>Singular Asset Mgmt Admgral De Fondos Sa - Fondo de Inversion Singular Oaktree Real Estate Income (SNSE:CFIOREIA.E)</t>
  </si>
  <si>
    <t>Singular Asset Mgmt Admgral De Fondos Sa - Fondo de Inversion Singular Oaktree R</t>
  </si>
  <si>
    <t>CFIOREIA.E</t>
  </si>
  <si>
    <t>Small Mid Cap Latam Fondo de Inversion (SNSE:CFIBACHLAT)</t>
  </si>
  <si>
    <t>Small Mid Cap Latam Fondo de Inversion</t>
  </si>
  <si>
    <t>CFIBACHLAT</t>
  </si>
  <si>
    <t>SMU S.A. (SNSE:SMU)</t>
  </si>
  <si>
    <t>SMU S.A.</t>
  </si>
  <si>
    <t>SMU</t>
  </si>
  <si>
    <t>SMU S.A. operates as a food retailer in Chile and Peru. The company operates through Supermarket and Financial Services segments. It provides groceries, fruits and vegetables, and non-food and other products; and e-grocery solutions. The company also issues credit cards that grants credit to Unimarc supermarkets customers. It operates supermarkets under the Unimarc, Mayorista 10, Super 10, Alvi, Mayorsa, and Maxi Savings brands. SMU S.A. was founded in 2007 and is headquartered in Santiago, Chile.</t>
  </si>
  <si>
    <t>Sociedad Agrícola La Rosa Sofruco S.A. (SNSE:SOFRUCO)</t>
  </si>
  <si>
    <t>Sociedad Agrícola La Rosa Sofruco S.A.</t>
  </si>
  <si>
    <t>SOFRUCO</t>
  </si>
  <si>
    <t>Sociedad Agrícola La Rosa Sofruco S.A. engages in the production and sale of agricultural products in Chile. It offers fresh fruits, dehydrated fruits, nuts, plums and honey, and natural juices. The company also sells its products online. It also exports its products. The company was founded in 1824 and is based in Santiago, Chile. Sociedad Agrícola La Rosa Sofruco S.A. operates as a subsidiary of Compania de Inversiones Mobiliaria e Inmobiliaria Mar del Plata S.</t>
  </si>
  <si>
    <t>Sociedad Anonima de Deportes Club de Golf Santiago (SNSE:GOLF)</t>
  </si>
  <si>
    <t>Sociedad Anonima de Deportes Club de Golf Santiago</t>
  </si>
  <si>
    <t>GOLF</t>
  </si>
  <si>
    <t>Sociedad Anonima de Deportes Club de Golf Santiago engages in the practice, development, promotion, and dissemination of sports in Chile. It is also involved in the construction and installation of golf courses. Sociedad Anonima de Deportes Club de Golf Santiago is based in Santiago, Chile.</t>
  </si>
  <si>
    <t>Sociedad Anónima Inmobiliaria Sport Francais (SNSE:SPORTFRAN)</t>
  </si>
  <si>
    <t>Sociedad Anónima Inmobiliaria Sport Francais</t>
  </si>
  <si>
    <t>SPORTFRAN</t>
  </si>
  <si>
    <t>Sociedad Anónima Inmobiliaria Sport Francais engages in the exploitation of real estate properties for the building and installation of sports fields and instruction and education establishments in Chile. Sociedad Anónima Inmobiliaria Sport Francais was incorporated in 1957 and is based in Santiago, Chile.</t>
  </si>
  <si>
    <t>Sociedad Anónima Viña Santa Rita (SNSE:SANTA RITA)</t>
  </si>
  <si>
    <t>Sociedad Anónima Viña Santa Rita</t>
  </si>
  <si>
    <t>SANTA RITA</t>
  </si>
  <si>
    <t>Distillers and Vintners</t>
  </si>
  <si>
    <t>Sociedad Anónima Viña Santa Rita produces and sells wines in Chile and internationally. The company offers wine products under the Bougainville, Pewën de Apalta, Triple C, Floresta, Medalla Real Gran Researva, Medalla Real Gold Medal, SR Secret Reserve, 120 Reserva Especial, 120 Early Harvest, and 3 Medallas brands. It exports its products to Ireland, Brazil, the United States, Canada, Mexico, the United Kingdom, China, Japan, Europe, Asia, Africa, Scandinavia, Korea, Oceania, and the Netherlands. The company was founded in 1880 and is based in Las Condes, Chile. Sociedad Anónima Viña Santa Rita is a subsidiary of Cristalerías de Chile S.A.</t>
  </si>
  <si>
    <t>Sociedad de Inversiones Campos Chilenos S.A. (SNSE:CAMPOS)</t>
  </si>
  <si>
    <t>Sociedad de Inversiones Campos Chilenos S.A.</t>
  </si>
  <si>
    <t>CAMPOS</t>
  </si>
  <si>
    <t>Sociedad de Inversiones Campos Chilenos S.A. produces and sells sugar and derivatives under the Iansa brand name in Chile. It is also involved in the production of industrial and retail sugar, non-caloric sweeteners, and sugar production byproducts; animal nutrition business; sale agricultural inputs, such as urea fertilizers; and production and sale of tomato paste, and fruit juices and pulps. The company was incorporated in 1988 and is based in Santiago, Chile. Sociedad de Inversiones Campos Chilenos S.A. operates as a subsidiary of E.D.&amp; F. Man Chile Ltda.</t>
  </si>
  <si>
    <t>Sociedad de Inversiones Oro Blanco S.A. (SNSE:ORO BLANCO)</t>
  </si>
  <si>
    <t>Sociedad de Inversiones Oro Blanco S.A.</t>
  </si>
  <si>
    <t>ORO BLANCO</t>
  </si>
  <si>
    <t>Sociedad de Inversiones Oro Blanco S.A., through its subsidiaries, invests in various assets and securities, including shares and bonds in Chile. It invests in the shares of a company that engages in the specialty fertilizers, iodine, lithium, and industrial chemical markets; and other financial instruments. The company was incorporated in 1990 and is based in Santiago, Chile. Sociedad de Inversiones Oro Blanco S.A. is a subsidiary of Norte Grande S.A.</t>
  </si>
  <si>
    <t>Sociedad Eléctrica del Sur Oeste S.A. (BVL:SEALDC1)</t>
  </si>
  <si>
    <t>Sociedad Eléctrica del Sur Oeste S.A.</t>
  </si>
  <si>
    <t>SEALDC1</t>
  </si>
  <si>
    <t>Sociedad Eléctrica del Sur Oeste S.A. engages in distributing electricity in Peru. The company was formerly known as Electroperú S.A. and changed its name to Sociedad Eléctrica del Sur Oeste S.A. Sociedad Eléctrica del Sur Oeste S.A. was incorporated in 1905 and is based in Arequipa, Peru.</t>
  </si>
  <si>
    <t>Sociedad Hipodromo Chile S.A. (SNSE:HIPODROMOA)</t>
  </si>
  <si>
    <t>Sociedad Hipodromo Chile S.A.</t>
  </si>
  <si>
    <t>HIPODROMOA</t>
  </si>
  <si>
    <t>Sociedad Hipodromo Chile S.A. engages in the horse race betting business in Chile. The company is involved in the breeding, importation, and sale of thoroughbred race horsing; development of horse breed; and centers for horse training. It also organizes, disseminates, and realizes shows and sports meetings, races, exhibitions, and contests. The company was incorporated in 1904 and is based in Santiago, Chile.</t>
  </si>
  <si>
    <t>Sociedad Inmobiliaria Viña del Mar S.A. (SNSE:INMOBVINA)</t>
  </si>
  <si>
    <t>Sociedad Inmobiliaria Viña del Mar S.A.</t>
  </si>
  <si>
    <t>INMOBVINA</t>
  </si>
  <si>
    <t>Sociedad Inmobiliaria Viña del Mar S.A. engages in the real estate business in Chile. It is involved in acquiring, maintaining, transforming, repairing, and disposing of real estate for the exclusive purpose of social, sports, cultural, or charity activities; and real estate rental services. The company was formerly known as Sociedad Anónima Club Viña del Mar and changed its name to Sociedad Inmobiliaria Viña del Mar S.A. in March 1941. Sociedad Inmobiliaria Viña del Mar S.A. was incorporated in 1906 and is based in Viña Del Mar, Chile.</t>
  </si>
  <si>
    <t>Sociedad Matriz SAAM S.A. (SNSE:SMSAAM)</t>
  </si>
  <si>
    <t>Sociedad Matriz SAAM S.A.</t>
  </si>
  <si>
    <t>SMSAAM</t>
  </si>
  <si>
    <t>Sociedad Matriz SAAM S.A., through its subsidiaries, provides tugboat services, air cargo logistics, and real estate rentals services in South America, Central America, and North America. It operates through two segments, Tugboats and Logistics Area. The company offers harbour towage services which assists large vessels with berthing and deberthing upon arrival and in transit to the port. It also provides offshore hydrocarbon loading and unloading and salvage services. In addition, the company offers physical and documentary management of export, import, domestic and bonded warehouse cargo, aircraft ramp, and passenger services. Further, it also provides international air transport association certified courses in dangerous goods handling, aviation safety, and apron operations. Sociedad Matriz SAAM S.A. was founded in 1961 and is headquartered in Las Condes, Chile.</t>
  </si>
  <si>
    <t>Sociedad Minera Cerro Verde S.A.A. (BVL:CVERDEC1)</t>
  </si>
  <si>
    <t>Sociedad Minera Cerro Verde S.A.A.</t>
  </si>
  <si>
    <t>CVERDEC1</t>
  </si>
  <si>
    <t>Sociedad Minera Cerro Verde S.A.A. engages in the extraction, production and marketing of copper cathodes, copper concentrates and molybdenum concentrates in Peru. Sociedad Minera Cerro Verde S.A.A. was incorporated in 1993 and is based in Arequipa, Peru. Sociedad Minera Cerro Verde S.A.A. operates as a subsidiary of Cyprus Climax Metals Company.</t>
  </si>
  <si>
    <t>Sociedad Minera Corona, SA (BVL:MINCORI1)</t>
  </si>
  <si>
    <t>Sociedad Minera Corona, SA</t>
  </si>
  <si>
    <t>MINCORI1</t>
  </si>
  <si>
    <t>Sociedad Minera Corona, SA engages in the exploration, extraction, production, and sale of copper, silver, gold, lead, zinc, and oxides concentrates. It holds interest in the Yauricocha mine located in the Yauyos province and the Carolina mine located in Hualgayoc province. The company was incorporated in 1993 and is based in Lima, Peru. Sociedad Minera Corona, SA operates as a subsidiary of Dia Bras Perú, S.A.C.</t>
  </si>
  <si>
    <t>Sociedad Minera El Brocal S.A.A. (BVL:BROCALC1)</t>
  </si>
  <si>
    <t>Sociedad Minera El Brocal S.A.A.</t>
  </si>
  <si>
    <t>BROCALC1</t>
  </si>
  <si>
    <t>Sociedad Minera El Brocal S.A.A. engages in the extraction, concentration, and marketing of polymetallic minerals in Peru, Asia, Europe, and internationally. The company produces silver, lead, zinc, gold, and copper ores. It holds interests in Block North mine and Marcapunta underground mine. The company was incorporated in 1956 and is based in Lima, Peru. Sociedad Minera El Brocal S.A.A. operates as a subsidiary of Inversiones Colquijirca S.A.</t>
  </si>
  <si>
    <t>Sociedad Portafolio S. A. (BVC:PORT)</t>
  </si>
  <si>
    <t>Sociedad Portafolio S. A.</t>
  </si>
  <si>
    <t>PORT</t>
  </si>
  <si>
    <t>Sociedad Portafolio S. A., an investment holding company, invests in insurance, savings and asset management, banking, infrastructure, and other industries in Colombia and internationally. It also produces cement and concrete; manages airports; constructs roads and highways; and engages in the energy business. The company is based in Medellín, Colombia.</t>
  </si>
  <si>
    <t>Sociedad Punta del Cobre S.A. (SNSE:PUCOBRE)</t>
  </si>
  <si>
    <t>Sociedad Punta del Cobre S.A.</t>
  </si>
  <si>
    <t>PUCOBRE</t>
  </si>
  <si>
    <t>Sociedad Punta del Cobre S.A., engages in the development and exploitation of mineral resources primarily in the Atacama Region. It primarily explores for copper, gold, and silver concentrates. The company holds interest in the Punta del Cobre mine, the Manto de Cobre mine and the Granate mine, San Jose, and Biocobre mines located in the Atacama Region. The company also holds a 100% interest in the El Espino project located in Coquimbo region; and the Tovaku mining project located in Antofagasta region. Sociedad Punta del Cobre S.A. was incorporated in 1989 and is headquartered in Copiapó, Chile.</t>
  </si>
  <si>
    <t>Sociedad Transmisora Metropolitana II S.A. (SNSE:STMCHA)</t>
  </si>
  <si>
    <t>Sociedad Transmisora Metropolitana II S.A.</t>
  </si>
  <si>
    <t>STMCHA</t>
  </si>
  <si>
    <t>Sociedad Transmisora Metropolitana II S.A. engages in the transmission of electrical energy on its own or on behalf of third parties. It operates 683 km of transmission lines and 57 substations; and owns and operates assets that are installed in 3 substations owned by third parties. The company was incorporated in 2020 and is based in Osorno, Chile. Sociedad Transmisora Metropolitana II S.A. is a subsidiary of Sociedad Transmisora Metropolitana SpA.</t>
  </si>
  <si>
    <t>Socovesa S.A. (SNSE:SOCOVESA)</t>
  </si>
  <si>
    <t>Socovesa S.A.</t>
  </si>
  <si>
    <t>SOCOVESA</t>
  </si>
  <si>
    <t>Socovesa S.A. engages in the real estate development and construction businesses under the Almagro, Socovesa, Pilares, and Desarrollos Comerciales brands in Chile. The company constructs various projects, such as houses, buildings, bridges, roads, dams, irrigation works, tunnels, ports, airports, and earthworks. It also develops high-rise housing projects. Socovesa S.A. was founded in 1965 and is based in Providencia, Chile.</t>
  </si>
  <si>
    <t>Sonda S.A. (SNSE:SONDA)</t>
  </si>
  <si>
    <t>Sonda S.A.</t>
  </si>
  <si>
    <t>SONDA</t>
  </si>
  <si>
    <t>IT Consulting and Other Services</t>
  </si>
  <si>
    <t>Software and Services</t>
  </si>
  <si>
    <t>Sonda S.A., together with its subsidiaries, provides information technology (IT) solutions in the United States, Canada, Chile, Brazil, Argentina, Colombia, Ecuador, Guatemala, Panama, Uruguay, Costa Rica, Mexico, and Peru. It operates through Digital Business, Digital Services, and Transactional Business segments. The company offers digital software factory, digital architecture, and data and advance analytics, as well as network and edge, DaaS and IaaS, cloud and datacenter, cybersecurity, workplace services, and technology infrastructure and services. It also provides high availability IT and OT networks, collaborative hybrid work, network transformation service, and comprehensive communications outsourcing. In addition, the company offers ERP FIN700, SAP, and Autodesk; and sales of computing infrastructure, including servers, workstations, tablets, PCs, printers, storage and backup equipment, communications equipment, databases, operating systems, and others. Sonda S.A. was incorporated in 1974 and is headquartered in Santiago, Chile.</t>
  </si>
  <si>
    <t>Soprocal, Calerías e Industrias S.A. (SNSE:SOPROCAL)</t>
  </si>
  <si>
    <t>Soprocal, Calerías e Industrias S.A.</t>
  </si>
  <si>
    <t>SOPROCAL</t>
  </si>
  <si>
    <t>Soprocal, Calerías e Industrias S.A. engages in manufacturing and marketing of calcium carbonate and lime in Chile. It serves its products to construction, mining, agriculture, and environment sectors. The company was founded in 1940 and is based in Santiago, Chile. Soprocal, Calerías e Industrias S.A. is a subsidiary of Inversiones La Tirana Ltda.</t>
  </si>
  <si>
    <t>Soquimich Comercial S.A. (SNSE:SOQUICOM)</t>
  </si>
  <si>
    <t>Soquimich Comercial S.A.</t>
  </si>
  <si>
    <t>SOQUICOM</t>
  </si>
  <si>
    <t>Fertilizers and Agricultural Chemicals</t>
  </si>
  <si>
    <t>Soquimich Comercial S.A. engages in the development, production, marketing, and sale of plant nutrition solutions in Chile. It offers water-soluble fertilizers; granulated fertilizers; specialty plant nutrition products for foliar applications; and tailored made soluble and granulated mixes under the ULTRASOL and QROP brands. The company was incorporated in 1987 and is based in Las Condes, Chile. Soquimich Comercial S.A. operates as a subsidiary of SQM Industrial S.A.</t>
  </si>
  <si>
    <t>Southern Peru Copper Corporation - Sucursal del Peru (BVL:SPCCPI2)</t>
  </si>
  <si>
    <t>Southern Peru Copper Corporation - Sucursal del Peru</t>
  </si>
  <si>
    <t>SPCCPI2</t>
  </si>
  <si>
    <t>Southern Peru Copper Corporation - Sucursal del Peru engages in the mining, milling, and floatation of ore to produce copper concentrates. The company also smelts and refines copper concentrate to produce copper anodes and cathodes, as well as molybdenum, sulfuric acid, gold, silver, and other by-product concentrates. It operates the Toquepala mining unit located in the region of Tacna; the Cuajone mining unit situated in the region of Moquegua; and a foundry and refinery property located in Ilo, Peru; and holds interests in the Tia Maria project in Arequipa, the Quebrada Honda dam in Tacna, the Quaternary Crushing plant in Cuajone, the Los Chancas project in Apurimac, and the Michiquillay project in Cajamarca. The company also exports its copper products to the United States, Europe, Asia, and South American countries. The company was incorporated in 1954 and is based in Lima, Peru. Southern Peru Copper Corporation - Sucursal del Peru operates as a subsidiary of Southern Copper Corporation.</t>
  </si>
  <si>
    <t>Tam Acpi Private Debt Ii Fondo De Inversion (SNSE:CFITACP2.E)</t>
  </si>
  <si>
    <t>Tam Acpi Private Debt Ii Fondo De Inversion</t>
  </si>
  <si>
    <t>CFITACP2.E</t>
  </si>
  <si>
    <t>Tanner Asset Management ADM GE Fund SA - Tam ACPI Private Debt Fondo De Inversion Fund (SNSE:CFITACPI.E)</t>
  </si>
  <si>
    <t>Tanner Asset Management ADM GE Fund SA - Tam ACPI Private Debt Fondo De Inversio</t>
  </si>
  <si>
    <t>CFITACPI.E</t>
  </si>
  <si>
    <t>Tanner Asset Management Administradora General De Fondos S.A. - Tam Leaseback Inmobiliario Fondo De (SNSE:CFIALINA.E)</t>
  </si>
  <si>
    <t>Tanner Asset Management Administradora General De Fondos S.A. - Tam Leaseback In</t>
  </si>
  <si>
    <t>CFIALINA.E</t>
  </si>
  <si>
    <t>Telefónica Chile S.A. (SNSE:CTC)</t>
  </si>
  <si>
    <t>Telefónica Chile S.A.</t>
  </si>
  <si>
    <t>CTC</t>
  </si>
  <si>
    <t>Telefónica Chile S.A., together with its subsidiaries, operates as a telecommunication company in Chile. The company operates through Telephony and fixed broadband, Data services and technological solutions for companies, and Others segments. It offers basic telephony services, dedicated lines, line connections and installations, value-added services, broadband, international long-distance services, marketing of terminal equipment and leasing of circuit media of terminal equipment, rental of means of circuits, and others. The company also engages in the provision of business communication services; data transmission services; the sale and rental of communication equipment; telecommunications; and the sale and lease of networks. In addition, it provides multimedia services, such as the development, installation, maintenance, marketing, and operation of satellite television services; broadband; multi-channel paid services; video on demand; and interactive or multimedia television services. Further, the company offers logistics, personnel, and administration services. Additionally, it provides stream live and play games without interruption services, as well as other related services in the fields of connectivity, cloud, security, big data, IoT, and digital workplace. The company was formerly known as Compañía de Telecomunicaciones de Chile S.A. and changed its name to Telefónica Chile S.A. in April 2009. Telefónica Chile S.A. was founded in 1880 and is based in Santiago, Chile. Telefónica Chile S.A. operates as a subsidiary of Telefonica Moviles Chile S.A.</t>
  </si>
  <si>
    <t>Titularizadora Colombiana S.A. - HITOS (BVC:TIN)</t>
  </si>
  <si>
    <t>Titularizadora Colombiana S.A. - HITOS</t>
  </si>
  <si>
    <t>TIN</t>
  </si>
  <si>
    <t>Titularizadora Colombiana S.A. - HITOS engages in securitization of mortgage loans in Colombia. It is involved in the acquisition and mobilization of mortgage and non-mortgaged assets, including structuring, advising on, and acting as an administrator of securitization processes; and issues securities for public and private offerings. The company was incorporated in 2001 and is based in Bogotá, Colombia.</t>
  </si>
  <si>
    <t>Toesca Rentas Inmobiliarias Fondo de Inversión (SNSE:CFITOERI1A)</t>
  </si>
  <si>
    <t>Toesca Rentas Inmobiliarias Fondo de Inversión</t>
  </si>
  <si>
    <t>CFITOERI1A</t>
  </si>
  <si>
    <t>Toesca S.A. Administradora General De Fondos - Net Lease Chile II FI Fund (SNSE:CFITNC2A.E)</t>
  </si>
  <si>
    <t>Toesca S.A. Administradora General De Fondos - Net Lease Chile II FI Fund</t>
  </si>
  <si>
    <t>CFITNC2A.E</t>
  </si>
  <si>
    <t>Toesca S.A. Administradora General De Fondos - Toesca Avenida Net Lease US III Fondo De Inversion (SNSE:CFI.TNU3BE)</t>
  </si>
  <si>
    <t>Toesca S.A. Administradora General De Fondos - Toesca Avenida Net Lease US III F</t>
  </si>
  <si>
    <t>CFI.TNU3BE</t>
  </si>
  <si>
    <t>Toesca S.A. Administradora General De Fondos - Toesca FM Chile Equities Fund (SNSE:CFMTOEQU2B)</t>
  </si>
  <si>
    <t>Toesca S.A. Administradora General De Fondos - Toesca FM Chile Equities Fund</t>
  </si>
  <si>
    <t>CFMTOEQU2B</t>
  </si>
  <si>
    <t>Toesca S.A. Administradora General De Fondos - Toesca Infraestructura II Fondo De Inversion Fund (SNSE:CFITIN2A.E)</t>
  </si>
  <si>
    <t>Toesca S.A. Administradora General De Fondos - Toesca Infraestructura II Fondo D</t>
  </si>
  <si>
    <t>CFITIN2A.E</t>
  </si>
  <si>
    <t>Toesca S.A. Administradora General De Fondos - Toesca Renta Agricola Fondo De Inversion (SNSE:CFI.TRAGIE)</t>
  </si>
  <si>
    <t>Toesca S.A. Administradora General De Fondos - Toesca Renta Agricola Fondo De In</t>
  </si>
  <si>
    <t>CFI.TRAGIE</t>
  </si>
  <si>
    <t>Toesca S.A. Administradora General De Fondos - Toesca USD (SNSE:CFIDHS4I.E)</t>
  </si>
  <si>
    <t>Toesca S.A. Administradora General De Fondos - Toesca USD</t>
  </si>
  <si>
    <t>CFIDHS4I.E</t>
  </si>
  <si>
    <t>Toesca SA Adm General De Fondos - Arcalis Toesca Middle-Market Fund I Fondo De Inversion (SNSE:CFI.AMIMAE)</t>
  </si>
  <si>
    <t>Toesca SA Adm General De Fondos - Arcalis Toesca Middle-Market Fund I Fondo De I</t>
  </si>
  <si>
    <t>CFI.AMIMAE</t>
  </si>
  <si>
    <t>Toesca SA Adm General De Fondos – Fondo De Inversion Desarollo Inmobiliario Espana UNO (SNSE:CFIDES1INM)</t>
  </si>
  <si>
    <t>Toesca SA Adm General De Fondos – Fondo De Inversion Desarollo Inmobiliario Espa</t>
  </si>
  <si>
    <t>CFIDES1INM</t>
  </si>
  <si>
    <t>Toesca SA Adm General De Fondos - Permanent Crops II FI (SNSE:CFI.TPC2AE)</t>
  </si>
  <si>
    <t>Toesca SA Adm General De Fondos - Permanent Crops II FI</t>
  </si>
  <si>
    <t>CFI.TPC2AE</t>
  </si>
  <si>
    <t>Toesca SA Adm General De Fondos - Permanent Crops II FI is headquartered in Chile.</t>
  </si>
  <si>
    <t>Toesca SA Adm General De Fondos – Toesca Absoluto FI Fund (SNSE:CFITOABA.E)</t>
  </si>
  <si>
    <t>Toesca SA Adm General De Fondos – Toesca Absoluto FI Fund</t>
  </si>
  <si>
    <t>CFITOABA.E</t>
  </si>
  <si>
    <t>Toesca SA Adm General De Fondos - Toesca Deuda Privada Facturas FI Fund (SNSE:CFITDPFI.E)</t>
  </si>
  <si>
    <t>Toesca SA Adm General De Fondos - Toesca Deuda Privada Facturas FI Fund</t>
  </si>
  <si>
    <t>CFITDPFI.E</t>
  </si>
  <si>
    <t>Toesca SA Adm General De Fondos – Toesca Infraestructura Fundo De Inversion (SNSE:CFITINFR1A)</t>
  </si>
  <si>
    <t>Toesca SA Adm General De Fondos – Toesca Infraestructura Fundo De Inversion</t>
  </si>
  <si>
    <t>CFITINFR1A</t>
  </si>
  <si>
    <t>Toesca SA Adm General De Fondos - Toesca Rentas Coninversion Fund (SNSE:CFITRIPT.E)</t>
  </si>
  <si>
    <t>Toesca SA Adm General De Fondos - Toesca Rentas Coninversion Fund</t>
  </si>
  <si>
    <t>CFITRIPT.E</t>
  </si>
  <si>
    <t>Toesca SA Adm General De Fondos - Toesca Small Capital Chile Fund (SNSE:CFITOESC.A)</t>
  </si>
  <si>
    <t>Toesca SA Adm General De Fondos - Toesca Small Capital Chile Fund</t>
  </si>
  <si>
    <t>CFITOESC.A</t>
  </si>
  <si>
    <t>Toesca SA Adm General De Fondos - Toesca Small Capital Chile Fund is headquartered in Chile.</t>
  </si>
  <si>
    <t>Toesca SA Adm General De Fondos - TPC Activos FI (SNSE:CFI.TCA2AE)</t>
  </si>
  <si>
    <t>Toesca SA Adm General De Fondos - TPC Activos FI</t>
  </si>
  <si>
    <t>CFI.TCA2AE</t>
  </si>
  <si>
    <t>Toesca SA Adm General De Fondos - TPC Activos FI is headquartered in Chile.</t>
  </si>
  <si>
    <t>Toesca SA Adm General De Fondos - USD Credit Fund (SNSE:CFI.TUSCAE)</t>
  </si>
  <si>
    <t>Toesca SA Adm General De Fondos - USD Credit Fund</t>
  </si>
  <si>
    <t>CFI.TUSCAE</t>
  </si>
  <si>
    <t>Toesca SA Administrative General De Fondos- Toesca Deuda Privada Fondo De Inversion (SNSE:CFITODPA.E)</t>
  </si>
  <si>
    <t>Toesca SA Administrative General De Fondos- Toesca Deuda Privada Fondo De Invers</t>
  </si>
  <si>
    <t>CFITODPA.E</t>
  </si>
  <si>
    <t>Tradi S.A. (BVL:TRADIC1)</t>
  </si>
  <si>
    <t>Tradi S.A.</t>
  </si>
  <si>
    <t>TRADIC1</t>
  </si>
  <si>
    <t>Tradi S.A. provides a wide range of steel products and services. The company offers steel sheets, profiles, tubes, construction materials, welding materials, abrasives, protective equipment, electric tools, and related accessories. It serves businesses in</t>
  </si>
  <si>
    <t>UNACEM Corp S.A.A. (BVL:UNACEMC1)</t>
  </si>
  <si>
    <t>UNACEM Corp S.A.A.</t>
  </si>
  <si>
    <t>UNACEMC1</t>
  </si>
  <si>
    <t>UNACEM Corp S.A.A. produces, markets, and sells various types of cement, clinker, and concrete products in Peru, the United States, Ecuador, Colombia, and Chile. The company operates through three segments: Production and Marketing of Cement; Production and Marketing of Concrete; and Generation and Marketing of Electrical Energy Using Hydraulic Resources. It provides consulting and technology assistance, storage, and surveillance services. The company also engages in the real estate business; extraction of non-ferrous metal ores; thermal plant operation; production and sale prefabricated concrete; supply of electricity and other services; sale of energy and power; and manufacturing quicklime and calcium carbonates. The company was formerly known as Unión Andina de Cementos S.A.A. and changed its name to UNACEM Corp S.A.A. UNACEM Corp S.A.A. was founded in 1967 and is based in La Victoria, Peru.</t>
  </si>
  <si>
    <t>Unión de Cervecerías Peruanas Backus y Johnston S.A.A. (BVL:BACKUSI1)</t>
  </si>
  <si>
    <t>Unión de Cervecerías Peruanas Backus y Johnston S.A.A.</t>
  </si>
  <si>
    <t>BACKUSI1</t>
  </si>
  <si>
    <t>Unión de Cervecerías Peruanas Backus y Johnston S.A.A. engages in the production, packaging, distribution, and sale of beers, soft drinks, liquors, and mineral water. It provides its products under the Pilsen Callao, Stella Artois, Saint Matthew, Long live Backus, Backus Tonic WaterCrown, and Mike’s brands. The company was founded in 1876 and is based in Lima, Peru. Unión de Cervecerías Peruanas Backus y Johnston S.A.A. operates as a subsidiary of ABI SAB Group Holding Limited.</t>
  </si>
  <si>
    <t>Unión El Golf S.A. (SNSE:UNION GOLF)</t>
  </si>
  <si>
    <t>Unión El Golf S.A.</t>
  </si>
  <si>
    <t>UNION GOLF</t>
  </si>
  <si>
    <t>Unión El Golf S.A. engages in the sports, recreation, and charitable activities in Chile. It operates El Golf 50 club, which offers event spaces, weddings, gourmet restaurant, buffet/self-service restaurant, bar, spa and gym services and facilities, as well as three-lane heated pool, jacuzzi, sauna, and steam bath services. It also provides hair salon, yoga and pilates, spinning, and fitness facilities. The company was formerly known as Unión Sede Oriente S.A. and changed its name to Unión El Golf S.A. in May 2004. Unión El Golf S.A. was incorporated in 1996 and is based in Las Condes, Chile.</t>
  </si>
  <si>
    <t>Union Inmobiliaria S.A. (SNSE:CLUBUNION)</t>
  </si>
  <si>
    <t>Union Inmobiliaria S.A.</t>
  </si>
  <si>
    <t>CLUBUNION</t>
  </si>
  <si>
    <t>Union Inmobiliaria S.A. engages in the real estate business in Chile. It develops and maintains real estate properties, including Club de La Unión de Santiago. The company was incorporated in 1946 and is headquartered in Santiago, Chile.</t>
  </si>
  <si>
    <t>Valores Simesa S.A. (BVC:VALSIMESA)</t>
  </si>
  <si>
    <t>Valores Simesa S.A.</t>
  </si>
  <si>
    <t>VALSIMESA</t>
  </si>
  <si>
    <t>Valores Simesa S.A. invests in real estate and securities and shares. The company engages in the commercial and industrial activities. The company was founded in 2000 and is based in Medellín, Colombia. Valores Simesa S.A operates as a subsidiary of Banca de Inversión Bancolombia S.A.</t>
  </si>
  <si>
    <t>Valparaíso Sporting Club S.A. (SNSE:SPORTING)</t>
  </si>
  <si>
    <t>Valparaíso Sporting Club S.A.</t>
  </si>
  <si>
    <t>SPORTING</t>
  </si>
  <si>
    <t>Valparaíso Sporting Club S.A., together with its subsidiaries, engages in the horse racing activities in Chile. The company leases its halls, open spaces, and facilities for sports, social events, and shows. Valparaíso Sporting Club S.A. was founded in 1882 and is based in Viña Del Mar, Chile.</t>
  </si>
  <si>
    <t>Vantrust Cap Adm - Fi Vantrust Financiamento Inmobil - Fund (SNSE:CFIVNTFIIV)</t>
  </si>
  <si>
    <t>Vantrust Cap Adm - Fi Vantrust Financiamento Inmobil - Fund</t>
  </si>
  <si>
    <t>CFIVNTFIIV</t>
  </si>
  <si>
    <t>Vantrust Cap Adm - FI Vantrust Multifamily - Fund (SNSE:CFI.VNTMAE)</t>
  </si>
  <si>
    <t>Vantrust Cap Adm - FI Vantrust Multifamily - Fund</t>
  </si>
  <si>
    <t>CFI.VNTMAE</t>
  </si>
  <si>
    <t>Vantrust Cap Adm - Vantrust Cap Deuda Privada Fund (SNSE:CFIVNTDP.E)</t>
  </si>
  <si>
    <t>Vantrust Cap Adm - Vantrust Cap Deuda Privada Fund</t>
  </si>
  <si>
    <t>CFIVNTDP.E</t>
  </si>
  <si>
    <t>Vantrust Capital Administradora General De Fondos S.A. - Fondo De Inversión Multifamily Inmobiliario (SNSE:CFIVNTMFI)</t>
  </si>
  <si>
    <t>Vantrust Capital Administradora General De Fondos S.A. - Fondo De Inversión Mult</t>
  </si>
  <si>
    <t>CFIVNTMFI</t>
  </si>
  <si>
    <t>Vantrust Capital Administradora General De Fondos S.A. - Fondo De Inversión Vantrust Capital Accione (SNSE:CFIVNTANA)</t>
  </si>
  <si>
    <t>Vantrust Capital Administradora General De Fondos S.A. - Fondo De Inversión Vant</t>
  </si>
  <si>
    <t>CFIVNTANA</t>
  </si>
  <si>
    <t>Vantrust Capital Administradora General De Fondos S.A. - Vendor Finance Fund (SNSE:CFIVNTVI.E)</t>
  </si>
  <si>
    <t>Vantrust Capital Administradora General De Fondos S.A. - Vendor Finance Fund</t>
  </si>
  <si>
    <t>CFIVNTVI.E</t>
  </si>
  <si>
    <t>Vc Bonos Corporativos Latam I Fmiv (BVL:FMVCLATC)</t>
  </si>
  <si>
    <t>Vc Bonos Corporativos Latam I Fmiv</t>
  </si>
  <si>
    <t>FMVCLATC</t>
  </si>
  <si>
    <t>Venturance S.A. Administradora General de Fondos - Fondo De Inversion Corcovado Deuda Privada fund (SNSE:CFICCVFV.E)</t>
  </si>
  <si>
    <t>Venturance S.A. Administradora General de Fondos - Fondo De Inversion Corcovado</t>
  </si>
  <si>
    <t>CFICCVFV.E</t>
  </si>
  <si>
    <t>Venturance S.A. Administradora General de Fondos - Fondo De Inversion Outdoors Fund (SNSE:CFIOUTDE.E)</t>
  </si>
  <si>
    <t>Venturance S.A. Administradora General de Fondos - Fondo De Inversion Outdoors F</t>
  </si>
  <si>
    <t>CFIOUTDE.E</t>
  </si>
  <si>
    <t>Viña Concha y Toro S.A. (SNSE:CONCHATORO)</t>
  </si>
  <si>
    <t>Viña Concha y Toro S.A.</t>
  </si>
  <si>
    <t>CONCHATORO</t>
  </si>
  <si>
    <t>Viña Concha y Toro S.A., together with its subsidiaries, produces, distributes, stores, transports, and sells wines in Chile, Argentina, and the United States. The company sells its wines under the Concha y Toro, Don Melchor, Marques de Casa Concha, Casillero del Diablo, Diablo, Frontera, Viña Maipo, Carmín de Peumo, Amelia, Terrunyo, Trio, Tocornal, Santa Emiliana, Clos de Pirque, Sunrise, Palo Alto, Sendero, Reservado Concha y Toro, SBX, Descorcha, Cono Sur, Bicicleta, Isla Negra, Ocio, 20 Barrels, Trivento, Eolo, Fetzer, Bonterra, and 1000 Stories, as well as Krossbar, Kross Cervecería Independiente, and Odissea brands. It is also involved in distribution of premium spirits and beers; and operates wine bars, as well as provision of tourism services and real estate activities. Concha y Toro S.A. was founded in 1883 and is headquartered in Las Condes, Chile.</t>
  </si>
  <si>
    <t>Viña San Pedro Tarapacá S.A. (SNSE:VSPT)</t>
  </si>
  <si>
    <t>Viña San Pedro Tarapacá S.A.</t>
  </si>
  <si>
    <t>VSPT</t>
  </si>
  <si>
    <t>Viña San Pedro Tarapacá S.A. produces and sells wines in Chile, Argentina, and internationally. It sells its products under the Altair, Cabo de Hornos, Sideral, Tierras Moradas, Kankana del Elqui, 1865, Tayu 1865, GatoNegro, 9 Lives, Epica, Castillo de Molina, Gran Reserva Tarapaca, Leyda, Misiones de Rango, Santa Helena, Alpaca, Viñamar, La Celia, Graffigna, and B-LIV brands. The company was founded in 1865 and is based in Santiago, Chile. Viña San Pedro Tarapacá S.A. operates as a subsidiary of CCU Inversiones S.A.</t>
  </si>
  <si>
    <t>Viñedos Emiliana S.A. (SNSE:EMILIANA)</t>
  </si>
  <si>
    <t>Viñedos Emiliana S.A.</t>
  </si>
  <si>
    <t>EMILIANA</t>
  </si>
  <si>
    <t>Viñedos Emiliana S.A. engages in the production and sale of organic and biodynamic wines in Chile. It offers wines under the Adobe, Novas, Wild, Organic Sparkling Wine, TAIS, Vigno, Signs of Origin, 57 Rocks, Coyam, and Gê brands. The company was formerly known as Bodega y Viñedos Santa Emiliana S.A. and changed its name to Viñedos Emiliana S.A. in May 2004. Viñedos Emiliana S.A. was incorporated in 1986 and is based in Santiago, Chile.</t>
  </si>
  <si>
    <t>Vivir Seguros Compañía de Seguros De Vida S.A. (BVL:VIVSEGC1)</t>
  </si>
  <si>
    <t>Vivir Seguros Compañía de Seguros De Vida S.A.</t>
  </si>
  <si>
    <t>VIVSEGC1</t>
  </si>
  <si>
    <t>Vivir Seguros Compañía de Seguros De Vida S.A. provides insurance products and services. It also offers funds and investment services. The company was formerly known as Compañía de Seguros de Vida Cámara S.A. and changed its name to Vivir Seguros Compañía de Seguros De Vida S.A. in March 2021. The company was incorporated in 2013 and is based in Lima, Peru. Vivir Seguros Compañía de Seguros De Vida S.A. operates as a subsidiary of Inversiones La Construcción S.A.</t>
  </si>
  <si>
    <t>Volcan Compañía Minera S.A.A. (BVL:VOLCABC1)</t>
  </si>
  <si>
    <t>Volcan Compañía Minera S.A.A.</t>
  </si>
  <si>
    <t>VOLCABC1</t>
  </si>
  <si>
    <t>Volcan Compañía Minera S.A.A. explores for and operates mining concessions in Peru, Europe, Asia, and the United States. It primarily explores for zinc, copper, lead, and silver deposits. The company holds interests in Yauli, Chungar, Cerro de Pasco, and Alpamarca mines located in Pasco region, Junín, and Lima. It also engages in electric power generation; real estate development; and port and logistic activities. In addition, the company operates and maintains electric transmission system generation plants. Volcan Compañía Minera S.A.A. was founded in 1943 and is headquartered in Lima, Peru. Volcan Compañía Minera S.A.A. operates as a subsidiary of Transition Metals AG.</t>
  </si>
  <si>
    <t>Volcomcapital ADM General De Fondos S.A - Catalyst III FI Fund (SNSE:CFI.VCT3AE)</t>
  </si>
  <si>
    <t>Volcomcapital ADM General De Fondos S.A - Catalyst III FI Fund</t>
  </si>
  <si>
    <t>CFI.VCT3AE</t>
  </si>
  <si>
    <t>Volcomcapital ADM General De Fondos S.A - Direct Lending IV FI Fund (SNSE:CFI.VDL4AE)</t>
  </si>
  <si>
    <t>Volcomcapital ADM General De Fondos S.A - Direct Lending IV FI Fund</t>
  </si>
  <si>
    <t>CFI.VDL4AE</t>
  </si>
  <si>
    <t>Volcomcapital ADM General De Fondos S.A - FI Volcomcapital Private Equity VIII Fund (SNSE:CFIVPE8A.E)</t>
  </si>
  <si>
    <t>Volcomcapital ADM General De Fondos S.A - FI Volcomcapital Private Equity VIII F</t>
  </si>
  <si>
    <t>CFIVPE8A.E</t>
  </si>
  <si>
    <t>Volcomcapital ADM General De Fondos S.A - Fondo de Invesion Deuda Privada Peru Fund (SNSE:CFIVDPPA.E)</t>
  </si>
  <si>
    <t>Volcomcapital ADM General De Fondos S.A - Fondo de Invesion Deuda Privada Peru F</t>
  </si>
  <si>
    <t>CFIVDPPA.E</t>
  </si>
  <si>
    <t>Volcomcapital ADM General De Fondos S.A - Volcomcapital Coinversiones Fondo De Inversion (SNSE:CFIVCOIC.E)</t>
  </si>
  <si>
    <t>Volcomcapital ADM General De Fondos S.A - Volcomcapital Coinversiones Fondo De I</t>
  </si>
  <si>
    <t>CFIVCOIC.E</t>
  </si>
  <si>
    <t>Volcomcapital ADM General De Fondos S.A - Volcomcapital Expansion VI FI Fund (SNSE:CFIEXP6A.E)</t>
  </si>
  <si>
    <t>Volcomcapital ADM General De Fondos S.A - Volcomcapital Expansion VI FI Fund</t>
  </si>
  <si>
    <t>CFIEXP6A.E</t>
  </si>
  <si>
    <t>Volcomcapital ADM General De Fondos S.A - Volcomcapital Pe I Fondo de Inversion Fund (SNSE:CFIALBOA.E)</t>
  </si>
  <si>
    <t>Volcomcapital ADM General De Fondos S.A - Volcomcapital Pe I Fondo de Inversion</t>
  </si>
  <si>
    <t>CFIALBOA.E</t>
  </si>
  <si>
    <t>Volcomcapital ADM General De Fondos S.A - Volcomcapital Pe Secondary I Fund (SNSE:CFIPES1A.E)</t>
  </si>
  <si>
    <t>Volcomcapital ADM General De Fondos S.A - Volcomcapital Pe Secondary I Fund</t>
  </si>
  <si>
    <t>CFIPES1A.E</t>
  </si>
  <si>
    <t>Volcomcapital ADM General De Fondos S.A - Volcomcapital Pe Secondary II Fund (SNSE:CFIPES2A.E)</t>
  </si>
  <si>
    <t>Volcomcapital ADM General De Fondos S.A - Volcomcapital Pe Secondary II Fund</t>
  </si>
  <si>
    <t>CFIPES2A.E</t>
  </si>
  <si>
    <t>Volcomcapital ADM General De Fondos S.A - Volcomcapital Pe Secondary II Fund is headquartered in Chile.</t>
  </si>
  <si>
    <t>Volcomcapital ADM General De Fondos S.A - Volcomcapital Pe Secondary III Fund (SNSE:CFIPES3A.E)</t>
  </si>
  <si>
    <t>Volcomcapital ADM General De Fondos S.A - Volcomcapital Pe Secondary III Fund</t>
  </si>
  <si>
    <t>CFIPES3A.E</t>
  </si>
  <si>
    <t>Volcomcapital ADM General De Fondos S.A - Volcomcapital Pe Secondary IV Fund (SNSE:CFIPES4D.E)</t>
  </si>
  <si>
    <t>Volcomcapital ADM General De Fondos S.A - Volcomcapital Pe Secondary IV Fund</t>
  </si>
  <si>
    <t>CFIPES4D.E</t>
  </si>
  <si>
    <t>Volcomcapital ADM General De Fondos S.A - Volcomcapital Private Equity VI Fund (SNSE:CFIVPE6B.E)</t>
  </si>
  <si>
    <t>Volcomcapital ADM General De Fondos S.A - Volcomcapital Private Equity VI Fund</t>
  </si>
  <si>
    <t>CFIVPE6B.E</t>
  </si>
  <si>
    <t>Volcomcapital ADM General De Fondos S.A - Volcomcapital Real Estate II Fund (SNSE:CFIVRE2A.E)</t>
  </si>
  <si>
    <t>Volcomcapital ADM General De Fondos S.A - Volcomcapital Real Estate II Fund</t>
  </si>
  <si>
    <t>CFIVRE2A.E</t>
  </si>
  <si>
    <t>Volcomcapital ADM General De Fondos S.A - Volcomcapital Real Estate VII (SNSE:CFI.VRE7AE)</t>
  </si>
  <si>
    <t>Volcomcapital ADM General De Fondos S.A - Volcomcapital Real Estate VII</t>
  </si>
  <si>
    <t>CFI.VRE7AE</t>
  </si>
  <si>
    <t>Volcomcapital ADM General Fondos S.A - Volcomcapital Access FI Fund (SNSE:CFI.VAAACE)</t>
  </si>
  <si>
    <t>Volcomcapital ADM General Fondos S.A - Volcomcapital Access FI Fund</t>
  </si>
  <si>
    <t>CFI.VAAACE</t>
  </si>
  <si>
    <t>Volcomcapital ADM General Fondos SA - Volcomcapital Coinvestment VI FI Fund (SNSE:CFIVCO6C.E)</t>
  </si>
  <si>
    <t>Volcomcapital ADM General Fondos SA - Volcomcapital Coinvestment VI FI Fund</t>
  </si>
  <si>
    <t>CFIVCO6C.E</t>
  </si>
  <si>
    <t>Volcomcapital Adm General Fondos SA - Volcomcapital Deuda V11 Fi (SNSE:CFIDEU7A.E)</t>
  </si>
  <si>
    <t>Volcomcapital Adm General Fondos SA - Volcomcapital Deuda V11 Fi</t>
  </si>
  <si>
    <t>CFIDEU7A.E</t>
  </si>
  <si>
    <t>VOLCOMCAPITAL ADM GENERAL FONDOS SA - VOLCOMCAPITAL Private Equity IX Fondo de Inversión (SNSE:CFIVPE9A.E)</t>
  </si>
  <si>
    <t>VOLCOMCAPITAL ADM GENERAL FONDOS SA - VOLCOMCAPITAL Private Equity IX Fondo de I</t>
  </si>
  <si>
    <t>CFIVPE9A.E</t>
  </si>
  <si>
    <t>Volcomcapital Administradora General De Fondos - Volcomcapital Pre Secondary Fondo De Inversion Fund (SNSE:CFI.PES5AE)</t>
  </si>
  <si>
    <t>Volcomcapital Administradora General De Fondos - Volcomcapital Pre Secondary Fon</t>
  </si>
  <si>
    <t>CFI.PES5AE</t>
  </si>
  <si>
    <t>Volcomcapital Administradora General de Fondos S.A. Fund (SNSE:CFI.MBRFUS)</t>
  </si>
  <si>
    <t>Volcomcapital Administradora General de Fondos S.A. Fund</t>
  </si>
  <si>
    <t>CFI.MBRFUS</t>
  </si>
  <si>
    <t>Volcomcapital Administradora General De Fondos SA - Volcomcapital Coinversions Investment Fund (SNSE:CFIVCOIA.E)</t>
  </si>
  <si>
    <t>Volcomcapital Administradora General De Fondos SA - Volcomcapital Coinversions I</t>
  </si>
  <si>
    <t>CFIVCOIA.E</t>
  </si>
  <si>
    <t>Volcomcapital Administradora General De Fondos SA -Volcomcapital Deuda II Fondo De Inversion Fund (SNSE:CFIDEU2B.E)</t>
  </si>
  <si>
    <t>Volcomcapital Administradora General De Fondos SA -Volcomcapital Deuda II Fondo</t>
  </si>
  <si>
    <t>CFIDEU2B.E</t>
  </si>
  <si>
    <t>Volcomcapital Special Situations Ii Fondo De Inversion (SNSE:CFIVSS2B.E)</t>
  </si>
  <si>
    <t>Volcomcapital Special Situations Ii Fondo De Inversion</t>
  </si>
  <si>
    <t>CFIVSS2B.E</t>
  </si>
  <si>
    <t>Watt's S.A. (SNSE:WATTS)</t>
  </si>
  <si>
    <t>Watt's S.A.</t>
  </si>
  <si>
    <t>WATTS</t>
  </si>
  <si>
    <t>Watt's S.A. manufactures and sells food products in Chile, Argentina, Peru, and internationally. It operates in Food Business and Wine Business segments. The company offers liquid and powdered milk, cheese, yogurt, manjar, butter, milk drinks and creams, lactose free and soymilk, oils, margarine and butter, frozen fruits and vegetables, liquid juices, nectars, marmalade, jams, fruit and dairy-based beverages, desserts, and canned and packaged tomato products. It also owns and operates wine-producing valleys. The company was formerly known as Empresas Santa Carolina S.A. and changed its name to Watt's S.A. in June 2004. The company was founded in 1930 and is based in San Bernardo, Chile. Watt's S.A. operates as a subsidiary of Chacabuco S.A.</t>
  </si>
  <si>
    <t>Weg ADM General De Fondos SA - Fondo De Inversion Weg-1 Fund (SNSE:CFIWEGI)</t>
  </si>
  <si>
    <t>Weg ADM General De Fondos SA - Fondo De Inversion Weg-1 Fund</t>
  </si>
  <si>
    <t>CFIWEGI</t>
  </si>
  <si>
    <t>Weg ADM General De Fondos SA - Fondo De Inversion Weg-14Fund (SNSE:CFI.WEG4AE)</t>
  </si>
  <si>
    <t>Weg ADM General De Fondos SA - Fondo De Inversion Weg-14Fund</t>
  </si>
  <si>
    <t>CFI.WEG4AE</t>
  </si>
  <si>
    <t>Weg ADM General De Fondos SA - Fondo De Inversion Weg-3 Fund (SNSE:CFIWEGIII)</t>
  </si>
  <si>
    <t>Weg ADM General De Fondos SA - Fondo De Inversion Weg-3 Fund</t>
  </si>
  <si>
    <t>CFIWEGIII</t>
  </si>
  <si>
    <t>XLC Administradora General De Fond - XLC Hps Hlend FI (SNSE:CFIXHPLA.E)</t>
  </si>
  <si>
    <t>XLC Administradora General De Fond - XLC Hps Hlend FI</t>
  </si>
  <si>
    <t>CFIXHPLA.E</t>
  </si>
  <si>
    <t>XLC Administradora General De Fondo- XLC Deuda Privada Fund (SNSE:CFIXLCDA.E)</t>
  </si>
  <si>
    <t>XLC Administradora General De Fondo- XLC Deuda Privada Fund</t>
  </si>
  <si>
    <t>CFIXLCDA.E</t>
  </si>
  <si>
    <t>XLC Administradora General de Fondos S.A.  - Activos II Fondo de Inversion (SNSE:CFIXACTA.E)</t>
  </si>
  <si>
    <t>XLC Administradora General de Fondos S.A.  - Activos II Fondo de Inversion</t>
  </si>
  <si>
    <t>CFIXACTA.E</t>
  </si>
  <si>
    <t>XLC Administradora General De Fondos S.A.. - XLC Alternativos I  Fondo De Inversion Fund (SNSE:CFI.XALTAE)</t>
  </si>
  <si>
    <t>XLC Administradora General De Fondos S.A.. - XLC Alternativos I  Fondo De Invers</t>
  </si>
  <si>
    <t>CFI.XALTAE</t>
  </si>
  <si>
    <t>XLC Administradora General De Fondos S.A.. - XLC Mixto Fondo De Inversion Fund (SNSE:CFIXMIXA.E)</t>
  </si>
  <si>
    <t>XLC Administradora General De Fondos S.A.. - XLC Mixto Fondo De Inversion Fund</t>
  </si>
  <si>
    <t>CFIXMIXA.E</t>
  </si>
  <si>
    <t>XLC Administradora General De Fondos SA - XLC Deuda Privada Fintech FI Fund (SNSE:CFIXDPFB.E)</t>
  </si>
  <si>
    <t>XLC Administradora General De Fondos SA - XLC Deuda Privada Fintech FI Fund</t>
  </si>
  <si>
    <t>CFIXDPFB.E</t>
  </si>
  <si>
    <t>XLC Administradora General De Fondos SA - XLC Flex FI Fund (SNSE:CFI.XFXSAE)</t>
  </si>
  <si>
    <t>XLC Administradora General De Fondos SA - XLC Flex FI Fund</t>
  </si>
  <si>
    <t>CFI.XFXSAE</t>
  </si>
  <si>
    <t>Zona Franca de Iquique S.A. (SNSE:ZOFRI)</t>
  </si>
  <si>
    <t>Zona Franca de Iquique S.A.</t>
  </si>
  <si>
    <t>ZOFRI</t>
  </si>
  <si>
    <t>Zona Franca de Iquique S.A., together with its subsidiaries, operates premises for wholesale and retail business centers in the duty-free zones of South America. It operates distribution center for domestic and international goods; logistics center; and mall, commercial area, and industrial parks. The company was incorporated in 1990 and is based in Iquique, Chile.</t>
  </si>
  <si>
    <t>Zurich Chile Asset Management Administradora General DE Fondos SA - FI Zurich Activos Alternativos F (SNSE:CFIZCHAA.E)</t>
  </si>
  <si>
    <t>Zurich Chile Asset Management Administradora General DE Fondos SA - FI Zurich Ac</t>
  </si>
  <si>
    <t>CFIZCHAA.E</t>
  </si>
  <si>
    <t>Zurich Chile Asset Management Administradora General DE Fondos SA - FI Zurich Renta Residencial Fund (SNSE:CFIZCHRRIA)</t>
  </si>
  <si>
    <t>Zurich Chile Asset Management Administradora General DE Fondos SA - FI Zurich Re</t>
  </si>
  <si>
    <t>CFIZCHRRIA</t>
  </si>
  <si>
    <t>Zurich Chile Asset Management Administradora General DE Fondos SA- FM Zurich Deduda Corp. Fund (SNSE:CFMZDCDA.E)</t>
  </si>
  <si>
    <t>Zurich Chile Asset Management Administradora General DE Fondos SA- FM Zurich Ded</t>
  </si>
  <si>
    <t>CFMZDCDA.E</t>
  </si>
  <si>
    <t>Zurich Chile Asset Management Administradora General DE Fondos SA- FM Zurich Deduda Corporativa Desa (SNSE:CFMZDCDD.E)</t>
  </si>
  <si>
    <t>CFMZDCDD.E</t>
  </si>
  <si>
    <t>Zurich Chile Seguros Generales S.A. (SNSE:CONSOGRAL)</t>
  </si>
  <si>
    <t>Zurich Chile Seguros Generales S.A.</t>
  </si>
  <si>
    <t>CONSOGRAL</t>
  </si>
  <si>
    <t>Zurich Chile Seguros Generales S.A. offers various insurance products in Chile. It offers auto, life and health, and property and travel insurance products; life insurance with savings; insurance for businesses and SMEs; and saving and investment products. The company was founded in 1853 and is based in Santiago, Chile. Zurich Chile Seguros Generales S.A. is a subsidiary of Inversiones Suizo Chilena S.A.</t>
  </si>
  <si>
    <t>Companies: New Screen</t>
  </si>
  <si>
    <t xml:space="preserve">Screening Criteria: </t>
  </si>
  <si>
    <t>1                 Exchange [Current] In BVC;BVL;SNSE</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</si>
</sst>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4">
    <numFmt numFmtId="82" formatCode=""/>
    <numFmt numFmtId="83" formatCode="#,##0.00;(#,##0.00)"/>
    <numFmt numFmtId="84" formatCode="#,##0.0;(#,##0.0)"/>
    <numFmt numFmtId="85" formatCode="#,##0;(#,##0)"/>
  </numFmts>
  <fonts count="3">
    <font>
      <sz val="11"/>
      <color theme="1"/>
      <name val="Calibri"/>
      <family val="2"/>
      <scheme val="minor"/>
    </font>
    <font>
      <sz val="10"/>
      <color theme="1"/>
      <name val="Arial"/>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3">
    <xf numFmtId="0" fontId="0" fillId="0" borderId="0" xfId="0" applyFont="1" applyFill="1"/>
    <xf numFmtId="0" fontId="0" fillId="0" borderId="0" xfId="0" applyFont="1" applyFill="1" applyBorder="1"/>
    <xf numFmtId="82" fontId="0" fillId="0" borderId="0" xfId="0" applyNumberFormat="1" applyFont="1" applyFill="1" applyAlignment="1">
      <alignment horizontal="left" vertical="top"/>
    </xf>
    <xf numFmtId="82" fontId="0" fillId="0" borderId="0" xfId="0" applyNumberFormat="1" applyFont="1" applyFill="1" applyAlignment="1">
      <alignment horizontal="left" wrapText="1"/>
    </xf>
    <xf numFmtId="82" fontId="0" fillId="0" borderId="0" xfId="0" applyNumberFormat="1" applyFont="1" applyFill="1" applyAlignment="1">
      <alignment horizontal="right" wrapText="1"/>
    </xf>
    <xf numFmtId="49" fontId="0" fillId="0" borderId="0" xfId="0" applyNumberFormat="1" applyFont="1" applyFill="1" applyAlignment="1">
      <alignment horizontal="left" vertical="top"/>
    </xf>
    <xf numFmtId="82" fontId="0" fillId="0" borderId="0" xfId="0" applyNumberFormat="1" applyFont="1" applyFill="1" applyAlignment="1">
      <alignment horizontal="right" vertical="top"/>
    </xf>
    <xf numFmtId="83" fontId="0" fillId="0" borderId="0" xfId="0" applyNumberFormat="1" applyFont="1" applyFill="1" applyAlignment="1">
      <alignment horizontal="right" vertical="top"/>
    </xf>
    <xf numFmtId="84" fontId="0" fillId="0" borderId="0" xfId="0" applyNumberFormat="1" applyFont="1" applyFill="1" applyAlignment="1">
      <alignment horizontal="right" vertical="top"/>
    </xf>
    <xf numFmtId="85" fontId="0" fillId="0" borderId="0" xfId="0" applyNumberFormat="1" applyFont="1" applyFill="1" applyAlignment="1">
      <alignment horizontal="right" vertical="top"/>
    </xf>
    <xf numFmtId="14" fontId="0" fillId="0" borderId="0" xfId="0" applyNumberFormat="1" applyFont="1" applyFill="1" applyAlignment="1">
      <alignment horizontal="right" vertical="top"/>
    </xf>
    <xf numFmtId="0" fontId="0" fillId="0" borderId="0" xfId="0" applyFont="1" applyFill="1" applyBorder="1" applyAlignment="1">
      <alignment horizontal="center"/>
    </xf>
    <xf numFmtId="82" fontId="2" fillId="0" borderId="0" xfId="0" applyNumberFormat="1" applyFont="1" applyFill="1" applyAlignment="1">
      <alignment horizontal="lef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3" Type="http://schemas.openxmlformats.org/officeDocument/2006/relationships/worksheet" Target="worksheets/sheet2.xml" /><Relationship Id="rId4" Type="http://schemas.openxmlformats.org/officeDocument/2006/relationships/styles" Target="styles.xml" /><Relationship Id="rId2" Type="http://schemas.openxmlformats.org/officeDocument/2006/relationships/worksheet" Target="worksheets/sheet1.xml" /><Relationship Id="rId1" Type="http://schemas.openxmlformats.org/officeDocument/2006/relationships/theme" Target="theme/theme1.xml" /><Relationship Id="rId6" Type="http://schemas.openxmlformats.org/officeDocument/2006/relationships/calcChain" Target="calcChain.xml" /><Relationship Id="rId5" Type="http://schemas.openxmlformats.org/officeDocument/2006/relationships/sharedStrings" Target="sharedStrings.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AQ1128"/>
  <sheetViews>
    <sheetView tabSelected="1" workbookViewId="0" topLeftCell="A1">
      <selection pane="topLeft" activeCell="A1" sqref="A1"/>
    </sheetView>
  </sheetViews>
  <sheetFormatPr defaultRowHeight="15"/>
  <cols>
    <col min="1" max="1" width="48.5714285714286" customWidth="1"/>
    <col min="2" max="2" width="18.5714285714286" customWidth="1"/>
    <col min="3" max="3" width="16.1428571428571" customWidth="1"/>
    <col min="4" max="4" width="48.5714285714286" customWidth="1"/>
    <col min="5" max="5" width="23.1428571428571" customWidth="1"/>
    <col min="6" max="7" width="15.8571428571429" customWidth="1"/>
    <col min="8" max="8" width="16.1428571428571" customWidth="1"/>
    <col min="9" max="9" width="22.7142857142857" customWidth="1"/>
    <col min="10" max="10" width="16.1428571428571" customWidth="1"/>
    <col min="11" max="11" width="48.5714285714286" customWidth="1"/>
    <col min="12" max="12" width="45.7142857142857" customWidth="1"/>
    <col min="13" max="14" width="48.5714285714286" customWidth="1"/>
    <col min="15" max="15" width="43.2857142857143" customWidth="1"/>
    <col min="16" max="16" width="22.4285714285714" customWidth="1"/>
    <col min="17" max="17" width="22" customWidth="1"/>
    <col min="18" max="18" width="19.2857142857143" customWidth="1"/>
    <col min="19" max="19" width="48.5714285714286" customWidth="1"/>
    <col min="20" max="22" width="19.2857142857143" customWidth="1"/>
    <col min="23" max="24" width="16.5714285714286" customWidth="1"/>
    <col min="25" max="29" width="19.2857142857143" customWidth="1"/>
    <col min="30" max="30" width="16.5714285714286" customWidth="1"/>
    <col min="31" max="32" width="25.1428571428571" customWidth="1"/>
    <col min="33" max="34" width="25.8571428571429" customWidth="1"/>
    <col min="35" max="39" width="26.4285714285714" customWidth="1"/>
    <col min="40" max="40" width="25.1428571428571" customWidth="1"/>
    <col min="41" max="42" width="25.8571428571429" customWidth="1"/>
    <col min="43" max="43" width="20.5714285714286" customWidth="1"/>
  </cols>
  <sheetData>
    <row r="1" spans="1:43" ht="15"/>
    <row r="2" spans="1:43" ht="15"/>
    <row r="3" spans="1:43" ht="15">
      <c r="A3" s="2">
        <f>SPGTable($B$8:$B$1128,$C$5:$AQ$5,$C$6:$AQ$6,"Options:Curr=USD,Mag=Standard,ConvMethod=R,FilingVer=Current/Restated")</f>
      </c>
    </row>
    <row r="4" spans="1:43" ht="15">
      <c r="A4" s="3">
        <f>SPGLabel(266637,267969,"","Options:Curr=USD,Mag=Standard,ConvMethod=R,FilingVer=Current/Restated")</f>
      </c>
      <c r="B4" s="3">
        <f>SPGLabel(266637,267961,"","Options:Curr=USD,Mag=Standard,ConvMethod=R,FilingVer=Current/Restated")</f>
      </c>
      <c r="C4" s="3">
        <f>SPGLabel(266637,271669,"","Options:Curr=USD,Mag=Standard,ConvMethod=R,FilingVer=Current/Restated")</f>
      </c>
      <c r="D4" s="3">
        <f>SPGLabel(266637,275884,"","Options:Curr=USD,Mag=Standard,ConvMethod=R,FilingVer=Current/Restated")</f>
      </c>
      <c r="E4" s="3">
        <f>SPGLabel(266637,271442,"","Options:Curr=USD,Mag=Standard,ConvMethod=R,FilingVer=Current/Restated")</f>
      </c>
      <c r="F4" s="3">
        <f>SPGLabel(266637,275913,"","Options:Curr=USD,Mag=Standard,ConvMethod=R,FilingVer=Current/Restated")</f>
      </c>
      <c r="G4" s="3">
        <f>SPGLabel(266637,275924,"","Options:Curr=USD,Mag=Standard,ConvMethod=R,FilingVer=Current/Restated")</f>
      </c>
      <c r="H4" s="3">
        <f>SPGLabel(266637,275925,"","Options:Curr=USD,Mag=Standard,ConvMethod=R,FilingVer=Current/Restated")</f>
      </c>
      <c r="I4" s="3">
        <f>SPGLabel(266637,275891,"","Options:Curr=USD,Mag=Standard,ConvMethod=R,FilingVer=Current/Restated")</f>
      </c>
      <c r="J4" s="4">
        <f>SPGLabel(266637,275943,"","Options:Curr=USD,Mag=Standard,ConvMethod=R,FilingVer=Current/Restated")</f>
      </c>
      <c r="K4" s="3">
        <f>SPGLabel(266637,275904,"","Options:Curr=USD,Mag=Standard,ConvMethod=R,FilingVer=Current/Restated")</f>
      </c>
      <c r="L4" s="3">
        <f>SPGLabel(266637,305908,"","Options:Curr=USD,Mag=Standard,ConvMethod=R,FilingVer=Current/Restated")</f>
      </c>
      <c r="M4" s="3">
        <f>SPGLabel(266637,305909,"","Options:Curr=USD,Mag=Standard,ConvMethod=R,FilingVer=Current/Restated")</f>
      </c>
      <c r="N4" s="3">
        <f>SPGLabel(266637,305910,"","Options:Curr=USD,Mag=Standard,ConvMethod=R,FilingVer=Current/Restated")</f>
      </c>
      <c r="O4" s="3">
        <f>SPGLabel(266637,305911,"","Options:Curr=USD,Mag=Standard,ConvMethod=R,FilingVer=Current/Restated")</f>
      </c>
      <c r="P4" s="4">
        <f>SPGLabel(266637,329249,"Current","Options:Curr=USD,Mag=Standard,ConvMethod=R,FilingVer=Current/Restated")</f>
      </c>
      <c r="Q4" s="4">
        <f>SPGLabel(266637,329250,"Current","Options:Curr=USD,Mag=Standard,ConvMethod=R,FilingVer=Current/Restated")</f>
      </c>
      <c r="R4" s="4">
        <f>SPGLabel(266637,290943,"Current","1D","Options:Curr=USD,Mag=Standard,ConvMethod=R,FilingVer=Current/Restated")</f>
      </c>
      <c r="S4" s="3">
        <f>SPGLabel(266637,275889,"","Options:Curr=USD,Mag=Standard,ConvMethod=R,FilingVer=Current/Restated")</f>
      </c>
      <c r="T4" s="4">
        <f>SPGLabel(266637,290943,"Current","1W","Options:Curr=USD,Mag=Standard,ConvMethod=R,FilingVer=Current/Restated")</f>
      </c>
      <c r="U4" s="4">
        <f>SPGLabel(266637,290943,"Current","1M","Options:Curr=USD,Mag=Standard,ConvMethod=R,FilingVer=Current/Restated")</f>
      </c>
      <c r="V4" s="4">
        <f>SPGLabel(266637,290943,"Current","3M","Options:Curr=USD,Mag=Standard,ConvMethod=R,FilingVer=Current/Restated")</f>
      </c>
      <c r="W4" s="4">
        <f>SPGLabel(266637,290943,"Current","52W","Options:Curr=USD,Mag=Standard,ConvMethod=R,FilingVer=Current/Restated")</f>
      </c>
      <c r="X4" s="4">
        <f>SPGLabel(266637,290943,"Current","1Y","Options:Curr=USD,Mag=Standard,ConvMethod=R,FilingVer=Current/Restated")</f>
      </c>
      <c r="Y4" s="4">
        <f>SPGLabel(266637,290943,"Current","2Y","Options:Curr=USD,Mag=Standard,ConvMethod=R,FilingVer=Current/Restated")</f>
      </c>
      <c r="Z4" s="4">
        <f>SPGLabel(266637,290943,"Current","3Y","Options:Curr=USD,Mag=Standard,ConvMethod=R,FilingVer=Current/Restated")</f>
      </c>
      <c r="AA4" s="4">
        <f>SPGLabel(266637,290943,"Current","5Y","Options:Curr=USD,Mag=Standard,ConvMethod=R,FilingVer=Current/Restated")</f>
      </c>
      <c r="AB4" s="4">
        <f>SPGLabel(266637,290943,"Current","MTD","Options:Curr=USD,Mag=Standard,ConvMethod=R,FilingVer=Current/Restated")</f>
      </c>
      <c r="AC4" s="4">
        <f>SPGLabel(266637,290943,"Current","QTD","Options:Curr=USD,Mag=Standard,ConvMethod=R,FilingVer=Current/Restated")</f>
      </c>
      <c r="AD4" s="4">
        <f>SPGLabel(266637,290943,"Current","YTD","Options:Curr=USD,Mag=Standard,ConvMethod=R,FilingVer=Current/Restated")</f>
      </c>
      <c r="AE4" s="4">
        <f>SPGLabel(266637,290944,"Current","1D","Options:Curr=USD,Mag=Standard,ConvMethod=R,FilingVer=Current/Restated")</f>
      </c>
      <c r="AF4" s="4">
        <f>SPGLabel(266637,290944,"Current","1W","Options:Curr=USD,Mag=Standard,ConvMethod=R,FilingVer=Current/Restated")</f>
      </c>
      <c r="AG4" s="4">
        <f>SPGLabel(266637,290944,"Current","1M","Options:Curr=USD,Mag=Standard,ConvMethod=R,FilingVer=Current/Restated")</f>
      </c>
      <c r="AH4" s="4">
        <f>SPGLabel(266637,290944,"Current","3M","Options:Curr=USD,Mag=Standard,ConvMethod=R,FilingVer=Current/Restated")</f>
      </c>
      <c r="AI4" s="4">
        <f>SPGLabel(266637,290944,"Current","52W","Options:Curr=USD,Mag=Standard,ConvMethod=R,FilingVer=Current/Restated")</f>
      </c>
      <c r="AJ4" s="4">
        <f>SPGLabel(266637,290944,"Current","1Y","Options:Curr=USD,Mag=Standard,ConvMethod=R,FilingVer=Current/Restated")</f>
      </c>
      <c r="AK4" s="4">
        <f>SPGLabel(266637,290944,"Current","2Y","Options:Curr=USD,Mag=Standard,ConvMethod=R,FilingVer=Current/Restated")</f>
      </c>
      <c r="AL4" s="4">
        <f>SPGLabel(266637,290944,"Current","3Y","Options:Curr=USD,Mag=Standard,ConvMethod=R,FilingVer=Current/Restated")</f>
      </c>
      <c r="AM4" s="4">
        <f>SPGLabel(266637,290944,"Current","5Y","Options:Curr=USD,Mag=Standard,ConvMethod=R,FilingVer=Current/Restated")</f>
      </c>
      <c r="AN4" s="4">
        <f>SPGLabel(266637,290944,"Current","MTD","Options:Curr=USD,Mag=Standard,ConvMethod=R,FilingVer=Current/Restated")</f>
      </c>
      <c r="AO4" s="4">
        <f>SPGLabel(266637,290944,"Current","QTD","Options:Curr=USD,Mag=Standard,ConvMethod=R,FilingVer=Current/Restated")</f>
      </c>
      <c r="AP4" s="4">
        <f>SPGLabel(266637,290944,"Current","YTD","Options:Curr=USD,Mag=Standard,ConvMethod=R,FilingVer=Current/Restated")</f>
      </c>
      <c r="AQ4" s="4">
        <f>SPGLabel(266637,290942,"Current","Options:Curr=USD,Mag=Standard,ConvMethod=R,FilingVer=Current/Restated")</f>
      </c>
    </row>
    <row r="5" spans="1:43" ht="15">
      <c r="A5" s="3" t="s">
        <v>0</v>
      </c>
      <c r="B5" s="3" t="s">
        <v>1</v>
      </c>
      <c r="C5" s="3" t="s">
        <v>2</v>
      </c>
      <c r="D5" s="3" t="s">
        <v>3</v>
      </c>
      <c r="E5" s="3" t="s">
        <v>4</v>
      </c>
      <c r="F5" s="3" t="s">
        <v>5</v>
      </c>
      <c r="G5" s="3" t="s">
        <v>6</v>
      </c>
      <c r="H5" s="3" t="s">
        <v>7</v>
      </c>
      <c r="I5" s="3" t="s">
        <v>8</v>
      </c>
      <c r="J5" s="4" t="s">
        <v>9</v>
      </c>
      <c r="K5" s="3" t="s">
        <v>10</v>
      </c>
      <c r="L5" s="3" t="s">
        <v>11</v>
      </c>
      <c r="M5" s="3" t="s">
        <v>12</v>
      </c>
      <c r="N5" s="3" t="s">
        <v>13</v>
      </c>
      <c r="O5" s="3" t="s">
        <v>14</v>
      </c>
      <c r="P5" s="4" t="s">
        <v>15</v>
      </c>
      <c r="Q5" s="4" t="s">
        <v>16</v>
      </c>
      <c r="R5" s="4" t="s">
        <v>17</v>
      </c>
      <c r="S5" s="3" t="s">
        <v>18</v>
      </c>
      <c r="T5" s="4" t="s">
        <v>17</v>
      </c>
      <c r="U5" s="4" t="s">
        <v>17</v>
      </c>
      <c r="V5" s="4" t="s">
        <v>17</v>
      </c>
      <c r="W5" s="4" t="s">
        <v>17</v>
      </c>
      <c r="X5" s="4" t="s">
        <v>17</v>
      </c>
      <c r="Y5" s="4" t="s">
        <v>17</v>
      </c>
      <c r="Z5" s="4" t="s">
        <v>17</v>
      </c>
      <c r="AA5" s="4" t="s">
        <v>17</v>
      </c>
      <c r="AB5" s="4" t="s">
        <v>17</v>
      </c>
      <c r="AC5" s="4" t="s">
        <v>17</v>
      </c>
      <c r="AD5" s="4" t="s">
        <v>17</v>
      </c>
      <c r="AE5" s="4" t="s">
        <v>19</v>
      </c>
      <c r="AF5" s="4" t="s">
        <v>19</v>
      </c>
      <c r="AG5" s="4" t="s">
        <v>19</v>
      </c>
      <c r="AH5" s="4" t="s">
        <v>19</v>
      </c>
      <c r="AI5" s="4" t="s">
        <v>19</v>
      </c>
      <c r="AJ5" s="4" t="s">
        <v>19</v>
      </c>
      <c r="AK5" s="4" t="s">
        <v>19</v>
      </c>
      <c r="AL5" s="4" t="s">
        <v>19</v>
      </c>
      <c r="AM5" s="4" t="s">
        <v>19</v>
      </c>
      <c r="AN5" s="4" t="s">
        <v>19</v>
      </c>
      <c r="AO5" s="4" t="s">
        <v>19</v>
      </c>
      <c r="AP5" s="4" t="s">
        <v>19</v>
      </c>
      <c r="AQ5" s="4" t="s">
        <v>20</v>
      </c>
    </row>
    <row r="6" spans="1:43" ht="15">
      <c r="A6" s="3"/>
      <c r="B6" s="3"/>
      <c r="C6" s="3"/>
      <c r="D6" s="3"/>
      <c r="E6" s="3"/>
      <c r="F6" s="3"/>
      <c r="G6" s="3"/>
      <c r="H6" s="3"/>
      <c r="I6" s="3"/>
      <c r="J6" s="4"/>
      <c r="K6" s="3"/>
      <c r="L6" s="3"/>
      <c r="M6" s="3"/>
      <c r="N6" s="3"/>
      <c r="O6" s="3"/>
      <c r="P6" s="4">
        <f>SPGLabel(266637,329249,"&lt;&gt;Current","Options:Curr=USD,Mag=Standard,ConvMethod=R,FilingVer=Current/Restated")</f>
      </c>
      <c r="Q6" s="4">
        <f>SPGLabel(266637,329250,"&lt;&gt;Current","Options:Curr=USD,Mag=Standard,ConvMethod=R,FilingVer=Current/Restated")</f>
      </c>
      <c r="R6" s="4">
        <f>SPGLabel(266637,290943,"&lt;&gt;Current","Options:Curr=USD,Mag=Standard,ConvMethod=R,FilingVer=Current/Restated")</f>
      </c>
      <c r="S6" s="3"/>
      <c r="T6" s="4">
        <f>SPGLabel(266637,290943,"&lt;&gt;Current","Options:Curr=USD,Mag=Standard,ConvMethod=R,FilingVer=Current/Restated")</f>
      </c>
      <c r="U6" s="4">
        <f>SPGLabel(266637,290943,"&lt;&gt;Current","Options:Curr=USD,Mag=Standard,ConvMethod=R,FilingVer=Current/Restated")</f>
      </c>
      <c r="V6" s="4">
        <f>SPGLabel(266637,290943,"&lt;&gt;Current","Options:Curr=USD,Mag=Standard,ConvMethod=R,FilingVer=Current/Restated")</f>
      </c>
      <c r="W6" s="4">
        <f>SPGLabel(266637,290943,"&lt;&gt;Current","Options:Curr=USD,Mag=Standard,ConvMethod=R,FilingVer=Current/Restated")</f>
      </c>
      <c r="X6" s="4">
        <f>SPGLabel(266637,290943,"&lt;&gt;Current","Options:Curr=USD,Mag=Standard,ConvMethod=R,FilingVer=Current/Restated")</f>
      </c>
      <c r="Y6" s="4">
        <f>SPGLabel(266637,290943,"&lt;&gt;Current","Options:Curr=USD,Mag=Standard,ConvMethod=R,FilingVer=Current/Restated")</f>
      </c>
      <c r="Z6" s="4">
        <f>SPGLabel(266637,290943,"&lt;&gt;Current","Options:Curr=USD,Mag=Standard,ConvMethod=R,FilingVer=Current/Restated")</f>
      </c>
      <c r="AA6" s="4">
        <f>SPGLabel(266637,290943,"&lt;&gt;Current","Options:Curr=USD,Mag=Standard,ConvMethod=R,FilingVer=Current/Restated")</f>
      </c>
      <c r="AB6" s="4">
        <f>SPGLabel(266637,290943,"&lt;&gt;Current","Options:Curr=USD,Mag=Standard,ConvMethod=R,FilingVer=Current/Restated")</f>
      </c>
      <c r="AC6" s="4">
        <f>SPGLabel(266637,290943,"&lt;&gt;Current","Options:Curr=USD,Mag=Standard,ConvMethod=R,FilingVer=Current/Restated")</f>
      </c>
      <c r="AD6" s="4">
        <f>SPGLabel(266637,290943,"&lt;&gt;Current","Options:Curr=USD,Mag=Standard,ConvMethod=R,FilingVer=Current/Restated")</f>
      </c>
      <c r="AE6" s="4">
        <f>SPGLabel(266637,290944,"&lt;&gt;Current","Options:Curr=USD,Mag=Standard,ConvMethod=R,FilingVer=Current/Restated")</f>
      </c>
      <c r="AF6" s="4">
        <f>SPGLabel(266637,290944,"&lt;&gt;Current","Options:Curr=USD,Mag=Standard,ConvMethod=R,FilingVer=Current/Restated")</f>
      </c>
      <c r="AG6" s="4">
        <f>SPGLabel(266637,290944,"&lt;&gt;Current","Options:Curr=USD,Mag=Standard,ConvMethod=R,FilingVer=Current/Restated")</f>
      </c>
      <c r="AH6" s="4">
        <f>SPGLabel(266637,290944,"&lt;&gt;Current","Options:Curr=USD,Mag=Standard,ConvMethod=R,FilingVer=Current/Restated")</f>
      </c>
      <c r="AI6" s="4">
        <f>SPGLabel(266637,290944,"&lt;&gt;Current","Options:Curr=USD,Mag=Standard,ConvMethod=R,FilingVer=Current/Restated")</f>
      </c>
      <c r="AJ6" s="4">
        <f>SPGLabel(266637,290944,"&lt;&gt;Current","Options:Curr=USD,Mag=Standard,ConvMethod=R,FilingVer=Current/Restated")</f>
      </c>
      <c r="AK6" s="4">
        <f>SPGLabel(266637,290944,"&lt;&gt;Current","Options:Curr=USD,Mag=Standard,ConvMethod=R,FilingVer=Current/Restated")</f>
      </c>
      <c r="AL6" s="4">
        <f>SPGLabel(266637,290944,"&lt;&gt;Current","Options:Curr=USD,Mag=Standard,ConvMethod=R,FilingVer=Current/Restated")</f>
      </c>
      <c r="AM6" s="4">
        <f>SPGLabel(266637,290944,"&lt;&gt;Current","Options:Curr=USD,Mag=Standard,ConvMethod=R,FilingVer=Current/Restated")</f>
      </c>
      <c r="AN6" s="4">
        <f>SPGLabel(266637,290944,"&lt;&gt;Current","Options:Curr=USD,Mag=Standard,ConvMethod=R,FilingVer=Current/Restated")</f>
      </c>
      <c r="AO6" s="4">
        <f>SPGLabel(266637,290944,"&lt;&gt;Current","Options:Curr=USD,Mag=Standard,ConvMethod=R,FilingVer=Current/Restated")</f>
      </c>
      <c r="AP6" s="4">
        <f>SPGLabel(266637,290944,"&lt;&gt;Current","Options:Curr=USD,Mag=Standard,ConvMethod=R,FilingVer=Current/Restated")</f>
      </c>
      <c r="AQ6" s="4">
        <f>SPGLabel(266637,290942,"&lt;&gt;Current","Options:Curr=USD,Mag=Standard,ConvMethod=R,FilingVer=Current/Restated")</f>
      </c>
    </row>
    <row r="7" spans="1:43" ht="15">
      <c r="A7" s="3"/>
      <c r="B7" s="3"/>
      <c r="C7" s="3"/>
      <c r="D7" s="3"/>
      <c r="E7" s="3"/>
      <c r="F7" s="3"/>
      <c r="G7" s="3"/>
      <c r="H7" s="3"/>
      <c r="I7" s="3"/>
      <c r="J7" s="4"/>
      <c r="K7" s="3"/>
      <c r="L7" s="3"/>
      <c r="M7" s="3"/>
      <c r="N7" s="3"/>
      <c r="O7" s="3"/>
      <c r="P7" s="4"/>
      <c r="Q7" s="4"/>
      <c r="R7" s="4">
        <f>SPGLabel(266637,290943,"","&lt;&gt;1D","Options:Curr=USD,Mag=Standard,ConvMethod=R,FilingVer=Current/Restated")</f>
      </c>
      <c r="S7" s="3"/>
      <c r="T7" s="4">
        <f>SPGLabel(266637,290943,"","&lt;&gt;1W","Options:Curr=USD,Mag=Standard,ConvMethod=R,FilingVer=Current/Restated")</f>
      </c>
      <c r="U7" s="4">
        <f>SPGLabel(266637,290943,"","&lt;&gt;1M","Options:Curr=USD,Mag=Standard,ConvMethod=R,FilingVer=Current/Restated")</f>
      </c>
      <c r="V7" s="4">
        <f>SPGLabel(266637,290943,"","&lt;&gt;3M","Options:Curr=USD,Mag=Standard,ConvMethod=R,FilingVer=Current/Restated")</f>
      </c>
      <c r="W7" s="4">
        <f>SPGLabel(266637,290943,"","&lt;&gt;52W","Options:Curr=USD,Mag=Standard,ConvMethod=R,FilingVer=Current/Restated")</f>
      </c>
      <c r="X7" s="4">
        <f>SPGLabel(266637,290943,"","&lt;&gt;1Y","Options:Curr=USD,Mag=Standard,ConvMethod=R,FilingVer=Current/Restated")</f>
      </c>
      <c r="Y7" s="4">
        <f>SPGLabel(266637,290943,"","&lt;&gt;2Y","Options:Curr=USD,Mag=Standard,ConvMethod=R,FilingVer=Current/Restated")</f>
      </c>
      <c r="Z7" s="4">
        <f>SPGLabel(266637,290943,"","&lt;&gt;3Y","Options:Curr=USD,Mag=Standard,ConvMethod=R,FilingVer=Current/Restated")</f>
      </c>
      <c r="AA7" s="4">
        <f>SPGLabel(266637,290943,"","&lt;&gt;5Y","Options:Curr=USD,Mag=Standard,ConvMethod=R,FilingVer=Current/Restated")</f>
      </c>
      <c r="AB7" s="4">
        <f>SPGLabel(266637,290943,"","&lt;&gt;MTD","Options:Curr=USD,Mag=Standard,ConvMethod=R,FilingVer=Current/Restated")</f>
      </c>
      <c r="AC7" s="4">
        <f>SPGLabel(266637,290943,"","&lt;&gt;QTD","Options:Curr=USD,Mag=Standard,ConvMethod=R,FilingVer=Current/Restated")</f>
      </c>
      <c r="AD7" s="4">
        <f>SPGLabel(266637,290943,"","&lt;&gt;YTD","Options:Curr=USD,Mag=Standard,ConvMethod=R,FilingVer=Current/Restated")</f>
      </c>
      <c r="AE7" s="4">
        <f>SPGLabel(266637,290944,"","&lt;&gt;1D","Options:Curr=USD,Mag=Standard,ConvMethod=R,FilingVer=Current/Restated")</f>
      </c>
      <c r="AF7" s="4">
        <f>SPGLabel(266637,290944,"","&lt;&gt;1W","Options:Curr=USD,Mag=Standard,ConvMethod=R,FilingVer=Current/Restated")</f>
      </c>
      <c r="AG7" s="4">
        <f>SPGLabel(266637,290944,"","&lt;&gt;1M","Options:Curr=USD,Mag=Standard,ConvMethod=R,FilingVer=Current/Restated")</f>
      </c>
      <c r="AH7" s="4">
        <f>SPGLabel(266637,290944,"","&lt;&gt;3M","Options:Curr=USD,Mag=Standard,ConvMethod=R,FilingVer=Current/Restated")</f>
      </c>
      <c r="AI7" s="4">
        <f>SPGLabel(266637,290944,"","&lt;&gt;52W","Options:Curr=USD,Mag=Standard,ConvMethod=R,FilingVer=Current/Restated")</f>
      </c>
      <c r="AJ7" s="4">
        <f>SPGLabel(266637,290944,"","&lt;&gt;1Y","Options:Curr=USD,Mag=Standard,ConvMethod=R,FilingVer=Current/Restated")</f>
      </c>
      <c r="AK7" s="4">
        <f>SPGLabel(266637,290944,"","&lt;&gt;2Y","Options:Curr=USD,Mag=Standard,ConvMethod=R,FilingVer=Current/Restated")</f>
      </c>
      <c r="AL7" s="4">
        <f>SPGLabel(266637,290944,"","&lt;&gt;3Y","Options:Curr=USD,Mag=Standard,ConvMethod=R,FilingVer=Current/Restated")</f>
      </c>
      <c r="AM7" s="4">
        <f>SPGLabel(266637,290944,"","&lt;&gt;5Y","Options:Curr=USD,Mag=Standard,ConvMethod=R,FilingVer=Current/Restated")</f>
      </c>
      <c r="AN7" s="4">
        <f>SPGLabel(266637,290944,"","&lt;&gt;MTD","Options:Curr=USD,Mag=Standard,ConvMethod=R,FilingVer=Current/Restated")</f>
      </c>
      <c r="AO7" s="4">
        <f>SPGLabel(266637,290944,"","&lt;&gt;QTD","Options:Curr=USD,Mag=Standard,ConvMethod=R,FilingVer=Current/Restated")</f>
      </c>
      <c r="AP7" s="4">
        <f>SPGLabel(266637,290944,"","&lt;&gt;YTD","Options:Curr=USD,Mag=Standard,ConvMethod=R,FilingVer=Current/Restated")</f>
      </c>
      <c r="AQ7" s="4"/>
    </row>
    <row r="8" spans="1:43" ht="15">
      <c r="A8" s="2" t="s">
        <v>22</v>
      </c>
      <c r="B8" s="5">
        <v>4165574</v>
      </c>
      <c r="C8" s="2" t="s">
        <v>23</v>
      </c>
      <c r="D8" s="2" t="s">
        <v>24</v>
      </c>
      <c r="E8" s="2" t="s">
        <v>25</v>
      </c>
      <c r="F8" s="2" t="s">
        <v>26</v>
      </c>
      <c r="G8" s="2" t="s">
        <v>26</v>
      </c>
      <c r="H8" s="2" t="s">
        <v>27</v>
      </c>
      <c r="I8" s="2" t="s">
        <v>28</v>
      </c>
      <c r="J8" s="6"/>
      <c r="K8" s="2" t="s">
        <v>29</v>
      </c>
      <c r="L8" s="2" t="s">
        <v>30</v>
      </c>
      <c r="M8" s="2" t="s">
        <v>31</v>
      </c>
      <c r="N8" s="2" t="s">
        <v>32</v>
      </c>
      <c r="O8" s="2" t="s">
        <v>29</v>
      </c>
      <c r="P8" s="7">
        <v>63.759508658199103</v>
      </c>
      <c r="Q8" s="8">
        <v>226.32660321399999</v>
      </c>
      <c r="R8" s="9">
        <v>237813</v>
      </c>
      <c r="S8" s="2" t="s">
        <v>33</v>
      </c>
      <c r="T8" s="9">
        <v>1462069</v>
      </c>
      <c r="U8" s="9">
        <v>1275102</v>
      </c>
      <c r="V8" s="9">
        <v>3014018</v>
      </c>
      <c r="W8" s="9">
        <v>10476055</v>
      </c>
      <c r="X8" s="9">
        <v>10455529</v>
      </c>
      <c r="Y8" s="9">
        <v>7960902</v>
      </c>
      <c r="Z8" s="9">
        <v>6792689</v>
      </c>
      <c r="AA8" s="9">
        <v>5297084</v>
      </c>
      <c r="AB8" s="9">
        <v>1211519</v>
      </c>
      <c r="AC8" s="9">
        <v>2878662</v>
      </c>
      <c r="AD8" s="9">
        <v>11146482</v>
      </c>
      <c r="AE8" s="7">
        <v>0.021225600425795799</v>
      </c>
      <c r="AF8" s="7">
        <v>0.13049448648199499</v>
      </c>
      <c r="AG8" s="7">
        <v>0.11380708281436699</v>
      </c>
      <c r="AH8" s="7">
        <v>0.26901110716258603</v>
      </c>
      <c r="AI8" s="7">
        <v>0.93502268360342999</v>
      </c>
      <c r="AJ8" s="7">
        <v>0.93319074143959502</v>
      </c>
      <c r="AK8" s="7">
        <v>0.71053694297418302</v>
      </c>
      <c r="AL8" s="7">
        <v>0.60627007799747701</v>
      </c>
      <c r="AM8" s="7">
        <v>0.47278232964874001</v>
      </c>
      <c r="AN8" s="7">
        <v>0.108132108986844</v>
      </c>
      <c r="AO8" s="7">
        <v>0.25693019225921998</v>
      </c>
      <c r="AP8" s="7">
        <v>0.99486051723104496</v>
      </c>
      <c r="AQ8" s="9">
        <v>475604</v>
      </c>
    </row>
    <row r="9" spans="1:43" ht="15">
      <c r="A9" s="2" t="s">
        <v>34</v>
      </c>
      <c r="B9" s="5">
        <v>4347771</v>
      </c>
      <c r="C9" s="2" t="s">
        <v>35</v>
      </c>
      <c r="D9" s="2" t="s">
        <v>36</v>
      </c>
      <c r="E9" s="2" t="s">
        <v>37</v>
      </c>
      <c r="F9" s="2" t="s">
        <v>38</v>
      </c>
      <c r="G9" s="2" t="s">
        <v>38</v>
      </c>
      <c r="H9" s="2" t="s">
        <v>39</v>
      </c>
      <c r="I9" s="2" t="s">
        <v>40</v>
      </c>
      <c r="J9" s="6"/>
      <c r="K9" s="2" t="s">
        <v>41</v>
      </c>
      <c r="L9" s="2" t="s">
        <v>42</v>
      </c>
      <c r="M9" s="2" t="s">
        <v>43</v>
      </c>
      <c r="N9" s="2" t="s">
        <v>41</v>
      </c>
      <c r="O9" s="2"/>
      <c r="P9" s="7">
        <v>56.383897856069098</v>
      </c>
      <c r="Q9" s="8">
        <v>158.33530268042401</v>
      </c>
      <c r="R9" s="9">
        <v>0</v>
      </c>
      <c r="S9" s="2" t="s">
        <v>44</v>
      </c>
      <c r="T9" s="9">
        <v>0</v>
      </c>
      <c r="U9" s="9">
        <v>0</v>
      </c>
      <c r="V9" s="9">
        <v>75413</v>
      </c>
      <c r="W9" s="9">
        <v>66714</v>
      </c>
      <c r="X9" s="9">
        <v>66440</v>
      </c>
      <c r="Y9" s="9">
        <v>109497</v>
      </c>
      <c r="Z9" s="9">
        <v>97679</v>
      </c>
      <c r="AA9" s="9">
        <v>262639</v>
      </c>
      <c r="AB9" s="9">
        <v>0</v>
      </c>
      <c r="AC9" s="9">
        <v>79314</v>
      </c>
      <c r="AD9" s="9">
        <v>69003</v>
      </c>
      <c r="AE9" s="7">
        <v>0</v>
      </c>
      <c r="AF9" s="7">
        <v>0</v>
      </c>
      <c r="AG9" s="7">
        <v>0</v>
      </c>
      <c r="AH9" s="7">
        <v>0.00151611007923468</v>
      </c>
      <c r="AI9" s="7">
        <v>0.0013412119104933399</v>
      </c>
      <c r="AJ9" s="7">
        <v>0.00133571514036837</v>
      </c>
      <c r="AK9" s="7">
        <v>0.0022013255435568602</v>
      </c>
      <c r="AL9" s="7">
        <v>0.00196374896725757</v>
      </c>
      <c r="AM9" s="7">
        <v>0.0052801095704854903</v>
      </c>
      <c r="AN9" s="7">
        <v>0</v>
      </c>
      <c r="AO9" s="7">
        <v>0.00159452956609165</v>
      </c>
      <c r="AP9" s="7">
        <v>0.00138724649184671</v>
      </c>
      <c r="AQ9" s="9">
        <v>0</v>
      </c>
    </row>
    <row r="10" spans="1:43" ht="15">
      <c r="A10" s="2" t="s">
        <v>45</v>
      </c>
      <c r="B10" s="5">
        <v>4551807</v>
      </c>
      <c r="C10" s="2" t="s">
        <v>46</v>
      </c>
      <c r="D10" s="2" t="s">
        <v>47</v>
      </c>
      <c r="E10" s="2" t="s">
        <v>48</v>
      </c>
      <c r="F10" s="2" t="s">
        <v>49</v>
      </c>
      <c r="G10" s="2" t="s">
        <v>49</v>
      </c>
      <c r="H10" s="2" t="s">
        <v>50</v>
      </c>
      <c r="I10" s="2" t="s">
        <v>40</v>
      </c>
      <c r="J10" s="6"/>
      <c r="K10" s="2" t="s">
        <v>29</v>
      </c>
      <c r="L10" s="2" t="s">
        <v>30</v>
      </c>
      <c r="M10" s="2" t="s">
        <v>31</v>
      </c>
      <c r="N10" s="2" t="s">
        <v>32</v>
      </c>
      <c r="O10" s="2" t="s">
        <v>29</v>
      </c>
      <c r="P10" s="7">
        <v>343.90507465973599</v>
      </c>
      <c r="Q10" s="8">
        <v>744.15027874878399</v>
      </c>
      <c r="R10" s="9">
        <v>0</v>
      </c>
      <c r="S10" s="2" t="s">
        <v>51</v>
      </c>
      <c r="T10" s="9">
        <v>0</v>
      </c>
      <c r="U10" s="9">
        <v>0</v>
      </c>
      <c r="V10" s="9">
        <v>0</v>
      </c>
      <c r="W10" s="9">
        <v>14</v>
      </c>
      <c r="X10" s="9">
        <v>14</v>
      </c>
      <c r="Y10" s="9">
        <v>170</v>
      </c>
      <c r="Z10" s="9">
        <v>174</v>
      </c>
      <c r="AA10" s="9">
        <v>150</v>
      </c>
      <c r="AB10" s="9">
        <v>0</v>
      </c>
      <c r="AC10" s="9">
        <v>0</v>
      </c>
      <c r="AD10" s="9">
        <v>0</v>
      </c>
      <c r="AE10" s="7">
        <v>0</v>
      </c>
      <c r="AF10" s="7">
        <v>0</v>
      </c>
      <c r="AG10" s="7">
        <v>0</v>
      </c>
      <c r="AH10" s="7">
        <v>0</v>
      </c>
      <c r="AI10" s="7">
        <v>1.7632855549154701E-06</v>
      </c>
      <c r="AJ10" s="7">
        <v>1.7562324126958101E-06</v>
      </c>
      <c r="AK10" s="7">
        <v>2.1809745853599999E-05</v>
      </c>
      <c r="AL10" s="7">
        <v>2.2323221841677701E-05</v>
      </c>
      <c r="AM10" s="7">
        <v>1.9177953771007501E-05</v>
      </c>
      <c r="AN10" s="7">
        <v>0</v>
      </c>
      <c r="AO10" s="7">
        <v>0</v>
      </c>
      <c r="AP10" s="7">
        <v>0</v>
      </c>
      <c r="AQ10" s="9">
        <v>0</v>
      </c>
    </row>
    <row r="11" spans="1:43" ht="15">
      <c r="A11" s="2" t="s">
        <v>52</v>
      </c>
      <c r="B11" s="5">
        <v>124968243</v>
      </c>
      <c r="C11" s="2" t="s">
        <v>23</v>
      </c>
      <c r="D11" s="2" t="s">
        <v>53</v>
      </c>
      <c r="E11" s="2" t="s">
        <v>54</v>
      </c>
      <c r="F11" s="2" t="s">
        <v>26</v>
      </c>
      <c r="G11" s="2" t="s">
        <v>26</v>
      </c>
      <c r="H11" s="2" t="s">
        <v>27</v>
      </c>
      <c r="I11" s="2" t="s">
        <v>28</v>
      </c>
      <c r="J11" s="6"/>
      <c r="K11" s="2" t="s">
        <v>55</v>
      </c>
      <c r="L11" s="2" t="s">
        <v>56</v>
      </c>
      <c r="M11" s="2" t="s">
        <v>55</v>
      </c>
      <c r="N11" s="2"/>
      <c r="O11" s="2"/>
      <c r="P11" s="6" t="s">
        <v>57</v>
      </c>
      <c r="Q11" s="6" t="s">
        <v>57</v>
      </c>
      <c r="R11" s="9">
        <v>0</v>
      </c>
      <c r="S11" s="2"/>
      <c r="T11" s="9">
        <v>0</v>
      </c>
      <c r="U11" s="9">
        <v>0</v>
      </c>
      <c r="V11" s="9">
        <v>0</v>
      </c>
      <c r="W11" s="9">
        <v>45100</v>
      </c>
      <c r="X11" s="9">
        <v>46378</v>
      </c>
      <c r="Y11" s="9">
        <v>55842</v>
      </c>
      <c r="Z11" s="9">
        <v>55842</v>
      </c>
      <c r="AA11" s="9">
        <v>55842</v>
      </c>
      <c r="AB11" s="9">
        <v>0</v>
      </c>
      <c r="AC11" s="9">
        <v>0</v>
      </c>
      <c r="AD11" s="9">
        <v>16922</v>
      </c>
      <c r="AE11" s="6" t="s">
        <v>57</v>
      </c>
      <c r="AF11" s="6" t="s">
        <v>57</v>
      </c>
      <c r="AG11" s="6" t="s">
        <v>57</v>
      </c>
      <c r="AH11" s="6" t="s">
        <v>57</v>
      </c>
      <c r="AI11" s="6" t="s">
        <v>57</v>
      </c>
      <c r="AJ11" s="6" t="s">
        <v>57</v>
      </c>
      <c r="AK11" s="6" t="s">
        <v>57</v>
      </c>
      <c r="AL11" s="6" t="s">
        <v>57</v>
      </c>
      <c r="AM11" s="6" t="s">
        <v>57</v>
      </c>
      <c r="AN11" s="6" t="s">
        <v>57</v>
      </c>
      <c r="AO11" s="6" t="s">
        <v>57</v>
      </c>
      <c r="AP11" s="6" t="s">
        <v>57</v>
      </c>
      <c r="AQ11" s="9">
        <v>0</v>
      </c>
    </row>
    <row r="12" spans="1:43" ht="15">
      <c r="A12" s="2" t="s">
        <v>58</v>
      </c>
      <c r="B12" s="5">
        <v>110345572</v>
      </c>
      <c r="C12" s="2" t="s">
        <v>23</v>
      </c>
      <c r="D12" s="2" t="s">
        <v>59</v>
      </c>
      <c r="E12" s="2" t="s">
        <v>60</v>
      </c>
      <c r="F12" s="2" t="s">
        <v>26</v>
      </c>
      <c r="G12" s="2" t="s">
        <v>26</v>
      </c>
      <c r="H12" s="2" t="s">
        <v>27</v>
      </c>
      <c r="I12" s="2" t="s">
        <v>28</v>
      </c>
      <c r="J12" s="6"/>
      <c r="K12" s="2" t="s">
        <v>55</v>
      </c>
      <c r="L12" s="2" t="s">
        <v>56</v>
      </c>
      <c r="M12" s="2" t="s">
        <v>55</v>
      </c>
      <c r="N12" s="2"/>
      <c r="O12" s="2"/>
      <c r="P12" s="6" t="s">
        <v>57</v>
      </c>
      <c r="Q12" s="6" t="s">
        <v>57</v>
      </c>
      <c r="R12" s="9">
        <v>0</v>
      </c>
      <c r="S12" s="2"/>
      <c r="T12" s="9">
        <v>0</v>
      </c>
      <c r="U12" s="9">
        <v>0</v>
      </c>
      <c r="V12" s="9">
        <v>0</v>
      </c>
      <c r="W12" s="9">
        <v>100</v>
      </c>
      <c r="X12" s="9">
        <v>100</v>
      </c>
      <c r="Y12" s="9">
        <v>248</v>
      </c>
      <c r="Z12" s="9">
        <v>248</v>
      </c>
      <c r="AA12" s="9">
        <v>248</v>
      </c>
      <c r="AB12" s="9">
        <v>0</v>
      </c>
      <c r="AC12" s="9">
        <v>0</v>
      </c>
      <c r="AD12" s="9">
        <v>201</v>
      </c>
      <c r="AE12" s="6" t="s">
        <v>57</v>
      </c>
      <c r="AF12" s="6" t="s">
        <v>57</v>
      </c>
      <c r="AG12" s="6" t="s">
        <v>57</v>
      </c>
      <c r="AH12" s="6" t="s">
        <v>57</v>
      </c>
      <c r="AI12" s="6" t="s">
        <v>57</v>
      </c>
      <c r="AJ12" s="6" t="s">
        <v>57</v>
      </c>
      <c r="AK12" s="6" t="s">
        <v>57</v>
      </c>
      <c r="AL12" s="6" t="s">
        <v>57</v>
      </c>
      <c r="AM12" s="6" t="s">
        <v>57</v>
      </c>
      <c r="AN12" s="6" t="s">
        <v>57</v>
      </c>
      <c r="AO12" s="6" t="s">
        <v>57</v>
      </c>
      <c r="AP12" s="6" t="s">
        <v>57</v>
      </c>
      <c r="AQ12" s="9">
        <v>0</v>
      </c>
    </row>
    <row r="13" spans="1:43" ht="15">
      <c r="A13" s="2" t="s">
        <v>61</v>
      </c>
      <c r="B13" s="5">
        <v>106392166</v>
      </c>
      <c r="C13" s="2" t="s">
        <v>23</v>
      </c>
      <c r="D13" s="2" t="s">
        <v>62</v>
      </c>
      <c r="E13" s="2" t="s">
        <v>63</v>
      </c>
      <c r="F13" s="2" t="s">
        <v>26</v>
      </c>
      <c r="G13" s="2" t="s">
        <v>26</v>
      </c>
      <c r="H13" s="2" t="s">
        <v>27</v>
      </c>
      <c r="I13" s="2" t="s">
        <v>28</v>
      </c>
      <c r="J13" s="6"/>
      <c r="K13" s="2" t="s">
        <v>55</v>
      </c>
      <c r="L13" s="2" t="s">
        <v>56</v>
      </c>
      <c r="M13" s="2" t="s">
        <v>55</v>
      </c>
      <c r="N13" s="2"/>
      <c r="O13" s="2"/>
      <c r="P13" s="7">
        <v>506.85595519999998</v>
      </c>
      <c r="Q13" s="8">
        <v>408.44017121147198</v>
      </c>
      <c r="R13" s="9">
        <v>84122</v>
      </c>
      <c r="S13" s="2" t="s">
        <v>64</v>
      </c>
      <c r="T13" s="9">
        <v>163356</v>
      </c>
      <c r="U13" s="9">
        <v>92546</v>
      </c>
      <c r="V13" s="9">
        <v>112260</v>
      </c>
      <c r="W13" s="9">
        <v>128803</v>
      </c>
      <c r="X13" s="9">
        <v>129367</v>
      </c>
      <c r="Y13" s="9">
        <v>157194</v>
      </c>
      <c r="Z13" s="9">
        <v>153591</v>
      </c>
      <c r="AA13" s="9">
        <v>137748</v>
      </c>
      <c r="AB13" s="9">
        <v>95310</v>
      </c>
      <c r="AC13" s="9">
        <v>117205</v>
      </c>
      <c r="AD13" s="9">
        <v>108099</v>
      </c>
      <c r="AE13" s="7">
        <v>0.042060750000000001</v>
      </c>
      <c r="AF13" s="7">
        <v>0.081678000000000001</v>
      </c>
      <c r="AG13" s="7">
        <v>0.046273041666666702</v>
      </c>
      <c r="AH13" s="7">
        <v>0.0561300078125</v>
      </c>
      <c r="AI13" s="7">
        <v>0.064401652610441798</v>
      </c>
      <c r="AJ13" s="7">
        <v>0.064683686000000004</v>
      </c>
      <c r="AK13" s="7">
        <v>0.078596864185110707</v>
      </c>
      <c r="AL13" s="7">
        <v>0.076795569705093797</v>
      </c>
      <c r="AM13" s="7">
        <v>0.068874059236947796</v>
      </c>
      <c r="AN13" s="7">
        <v>0.047654928571428598</v>
      </c>
      <c r="AO13" s="7">
        <v>0.058602352459016398</v>
      </c>
      <c r="AP13" s="7">
        <v>0.054049302419354801</v>
      </c>
      <c r="AQ13" s="9">
        <v>83935</v>
      </c>
    </row>
    <row r="14" spans="1:43" ht="15">
      <c r="A14" s="2" t="s">
        <v>65</v>
      </c>
      <c r="B14" s="5">
        <v>4250329</v>
      </c>
      <c r="C14" s="2" t="s">
        <v>23</v>
      </c>
      <c r="D14" s="2" t="s">
        <v>66</v>
      </c>
      <c r="E14" s="2" t="s">
        <v>67</v>
      </c>
      <c r="F14" s="2" t="s">
        <v>26</v>
      </c>
      <c r="G14" s="2" t="s">
        <v>26</v>
      </c>
      <c r="H14" s="2" t="s">
        <v>27</v>
      </c>
      <c r="I14" s="2" t="s">
        <v>28</v>
      </c>
      <c r="J14" s="6"/>
      <c r="K14" s="2" t="s">
        <v>55</v>
      </c>
      <c r="L14" s="2" t="s">
        <v>56</v>
      </c>
      <c r="M14" s="2" t="s">
        <v>55</v>
      </c>
      <c r="N14" s="2"/>
      <c r="O14" s="2"/>
      <c r="P14" s="7">
        <v>838.03847275365604</v>
      </c>
      <c r="Q14" s="8">
        <v>706.3168351928</v>
      </c>
      <c r="R14" s="9">
        <v>0</v>
      </c>
      <c r="S14" s="2" t="s">
        <v>68</v>
      </c>
      <c r="T14" s="9">
        <v>0</v>
      </c>
      <c r="U14" s="9">
        <v>508</v>
      </c>
      <c r="V14" s="9">
        <v>266</v>
      </c>
      <c r="W14" s="9">
        <v>243</v>
      </c>
      <c r="X14" s="9">
        <v>246</v>
      </c>
      <c r="Y14" s="9">
        <v>322</v>
      </c>
      <c r="Z14" s="9">
        <v>543</v>
      </c>
      <c r="AA14" s="9">
        <v>366</v>
      </c>
      <c r="AB14" s="9">
        <v>553</v>
      </c>
      <c r="AC14" s="9">
        <v>279</v>
      </c>
      <c r="AD14" s="9">
        <v>173</v>
      </c>
      <c r="AE14" s="7">
        <v>0</v>
      </c>
      <c r="AF14" s="7">
        <v>0</v>
      </c>
      <c r="AG14" s="7">
        <v>8.1232037863744906E-05</v>
      </c>
      <c r="AH14" s="7">
        <v>4.2591798177942597E-05</v>
      </c>
      <c r="AI14" s="7">
        <v>3.8858699340126099E-05</v>
      </c>
      <c r="AJ14" s="7">
        <v>3.9380011451313197E-05</v>
      </c>
      <c r="AK14" s="7">
        <v>5.15490230546189E-05</v>
      </c>
      <c r="AL14" s="7">
        <v>8.6838753170121198E-05</v>
      </c>
      <c r="AM14" s="7">
        <v>5.8563948989623098E-05</v>
      </c>
      <c r="AN14" s="7">
        <v>8.8568264600208006E-05</v>
      </c>
      <c r="AO14" s="7">
        <v>4.46864767768578E-05</v>
      </c>
      <c r="AP14" s="7">
        <v>2.7754172034139202E-05</v>
      </c>
      <c r="AQ14" s="9">
        <v>0</v>
      </c>
    </row>
    <row r="15" spans="1:43" ht="15">
      <c r="A15" s="2" t="s">
        <v>69</v>
      </c>
      <c r="B15" s="5">
        <v>4250285</v>
      </c>
      <c r="C15" s="2" t="s">
        <v>23</v>
      </c>
      <c r="D15" s="2" t="s">
        <v>70</v>
      </c>
      <c r="E15" s="2" t="s">
        <v>71</v>
      </c>
      <c r="F15" s="2" t="s">
        <v>26</v>
      </c>
      <c r="G15" s="2" t="s">
        <v>26</v>
      </c>
      <c r="H15" s="2" t="s">
        <v>27</v>
      </c>
      <c r="I15" s="2" t="s">
        <v>40</v>
      </c>
      <c r="J15" s="6"/>
      <c r="K15" s="2" t="s">
        <v>55</v>
      </c>
      <c r="L15" s="2" t="s">
        <v>56</v>
      </c>
      <c r="M15" s="2" t="s">
        <v>55</v>
      </c>
      <c r="N15" s="2"/>
      <c r="O15" s="2"/>
      <c r="P15" s="7">
        <v>1423.4086413099999</v>
      </c>
      <c r="Q15" s="8">
        <v>1253.9833935012</v>
      </c>
      <c r="R15" s="9">
        <v>60307</v>
      </c>
      <c r="S15" s="2" t="s">
        <v>72</v>
      </c>
      <c r="T15" s="9">
        <v>42662</v>
      </c>
      <c r="U15" s="9">
        <v>70579</v>
      </c>
      <c r="V15" s="9">
        <v>52620</v>
      </c>
      <c r="W15" s="9">
        <v>104581</v>
      </c>
      <c r="X15" s="9">
        <v>104282</v>
      </c>
      <c r="Y15" s="9">
        <v>118441</v>
      </c>
      <c r="Z15" s="9">
        <v>115116</v>
      </c>
      <c r="AA15" s="9">
        <v>83060</v>
      </c>
      <c r="AB15" s="9">
        <v>72230</v>
      </c>
      <c r="AC15" s="9">
        <v>54219</v>
      </c>
      <c r="AD15" s="9">
        <v>60957</v>
      </c>
      <c r="AE15" s="7">
        <v>0.00236122850784104</v>
      </c>
      <c r="AF15" s="7">
        <v>0.0016703654733532501</v>
      </c>
      <c r="AG15" s="7">
        <v>0.0027633966705308001</v>
      </c>
      <c r="AH15" s="7">
        <v>0.0020602692184140299</v>
      </c>
      <c r="AI15" s="7">
        <v>0.0040947214876817101</v>
      </c>
      <c r="AJ15" s="7">
        <v>0.0040829981063075001</v>
      </c>
      <c r="AK15" s="7">
        <v>0.0046373706099622101</v>
      </c>
      <c r="AL15" s="7">
        <v>0.0045071754747032502</v>
      </c>
      <c r="AM15" s="7">
        <v>0.00325208625690355</v>
      </c>
      <c r="AN15" s="7">
        <v>0.0028280721487793001</v>
      </c>
      <c r="AO15" s="7">
        <v>0.0021228801351290401</v>
      </c>
      <c r="AP15" s="7">
        <v>0.0023866804756930999</v>
      </c>
      <c r="AQ15" s="9">
        <v>18856</v>
      </c>
    </row>
    <row r="16" spans="1:43" ht="15">
      <c r="A16" s="2" t="s">
        <v>73</v>
      </c>
      <c r="B16" s="5">
        <v>4250324</v>
      </c>
      <c r="C16" s="2" t="s">
        <v>23</v>
      </c>
      <c r="D16" s="2" t="s">
        <v>74</v>
      </c>
      <c r="E16" s="2" t="s">
        <v>75</v>
      </c>
      <c r="F16" s="2" t="s">
        <v>26</v>
      </c>
      <c r="G16" s="2" t="s">
        <v>26</v>
      </c>
      <c r="H16" s="2" t="s">
        <v>27</v>
      </c>
      <c r="I16" s="2" t="s">
        <v>28</v>
      </c>
      <c r="J16" s="6"/>
      <c r="K16" s="2" t="s">
        <v>55</v>
      </c>
      <c r="L16" s="2" t="s">
        <v>56</v>
      </c>
      <c r="M16" s="2" t="s">
        <v>55</v>
      </c>
      <c r="N16" s="2"/>
      <c r="O16" s="2"/>
      <c r="P16" s="7">
        <v>1408.595624</v>
      </c>
      <c r="Q16" s="8">
        <v>1378.7322239351399</v>
      </c>
      <c r="R16" s="9">
        <v>30619</v>
      </c>
      <c r="S16" s="2" t="s">
        <v>76</v>
      </c>
      <c r="T16" s="9">
        <v>70704</v>
      </c>
      <c r="U16" s="9">
        <v>77646</v>
      </c>
      <c r="V16" s="9">
        <v>80685</v>
      </c>
      <c r="W16" s="9">
        <v>90883</v>
      </c>
      <c r="X16" s="9">
        <v>90870</v>
      </c>
      <c r="Y16" s="9">
        <v>102128</v>
      </c>
      <c r="Z16" s="9">
        <v>89253</v>
      </c>
      <c r="AA16" s="9">
        <v>94363</v>
      </c>
      <c r="AB16" s="9">
        <v>79943</v>
      </c>
      <c r="AC16" s="9">
        <v>82246</v>
      </c>
      <c r="AD16" s="9">
        <v>81967</v>
      </c>
      <c r="AE16" s="7">
        <v>0.0153095</v>
      </c>
      <c r="AF16" s="7">
        <v>0.035352083333333298</v>
      </c>
      <c r="AG16" s="7">
        <v>0.038823020833333298</v>
      </c>
      <c r="AH16" s="7">
        <v>0.0403425234375</v>
      </c>
      <c r="AI16" s="7">
        <v>0.045441335341365498</v>
      </c>
      <c r="AJ16" s="7">
        <v>0.045434797999999998</v>
      </c>
      <c r="AK16" s="7">
        <v>0.051063806841046298</v>
      </c>
      <c r="AL16" s="7">
        <v>0.044626723860589801</v>
      </c>
      <c r="AM16" s="7">
        <v>0.047181569076305198</v>
      </c>
      <c r="AN16" s="7">
        <v>0.039971452380952399</v>
      </c>
      <c r="AO16" s="7">
        <v>0.041123024590163898</v>
      </c>
      <c r="AP16" s="7">
        <v>0.040983649193548403</v>
      </c>
      <c r="AQ16" s="9">
        <v>48114</v>
      </c>
    </row>
    <row r="17" spans="1:43" ht="15">
      <c r="A17" s="2" t="s">
        <v>77</v>
      </c>
      <c r="B17" s="5">
        <v>5745920</v>
      </c>
      <c r="C17" s="2" t="s">
        <v>23</v>
      </c>
      <c r="D17" s="2" t="s">
        <v>78</v>
      </c>
      <c r="E17" s="2" t="s">
        <v>79</v>
      </c>
      <c r="F17" s="2" t="s">
        <v>26</v>
      </c>
      <c r="G17" s="2" t="s">
        <v>26</v>
      </c>
      <c r="H17" s="2" t="s">
        <v>27</v>
      </c>
      <c r="I17" s="2" t="s">
        <v>40</v>
      </c>
      <c r="J17" s="6"/>
      <c r="K17" s="2" t="s">
        <v>55</v>
      </c>
      <c r="L17" s="2" t="s">
        <v>56</v>
      </c>
      <c r="M17" s="2" t="s">
        <v>55</v>
      </c>
      <c r="N17" s="2"/>
      <c r="O17" s="2"/>
      <c r="P17" s="7">
        <v>606.82355959439599</v>
      </c>
      <c r="Q17" s="8">
        <v>531.87720727081603</v>
      </c>
      <c r="R17" s="9">
        <v>11936</v>
      </c>
      <c r="S17" s="2" t="s">
        <v>80</v>
      </c>
      <c r="T17" s="9">
        <v>15666</v>
      </c>
      <c r="U17" s="9">
        <v>15390</v>
      </c>
      <c r="V17" s="9">
        <v>16342</v>
      </c>
      <c r="W17" s="9">
        <v>37811</v>
      </c>
      <c r="X17" s="9">
        <v>37675</v>
      </c>
      <c r="Y17" s="9">
        <v>30518</v>
      </c>
      <c r="Z17" s="9">
        <v>44598</v>
      </c>
      <c r="AA17" s="9">
        <v>47043</v>
      </c>
      <c r="AB17" s="9">
        <v>16388</v>
      </c>
      <c r="AC17" s="9">
        <v>16358</v>
      </c>
      <c r="AD17" s="9">
        <v>21746</v>
      </c>
      <c r="AE17" s="7">
        <v>0.0029301211768987699</v>
      </c>
      <c r="AF17" s="7">
        <v>0.0038459451516313602</v>
      </c>
      <c r="AG17" s="7">
        <v>0.0037782904609187499</v>
      </c>
      <c r="AH17" s="7">
        <v>0.0040119044913093796</v>
      </c>
      <c r="AI17" s="7">
        <v>0.0092824204557804407</v>
      </c>
      <c r="AJ17" s="7">
        <v>0.0092489594707750103</v>
      </c>
      <c r="AK17" s="7">
        <v>0.0074920805129054602</v>
      </c>
      <c r="AL17" s="7">
        <v>0.010948537694087801</v>
      </c>
      <c r="AM17" s="7">
        <v>0.0115488001678812</v>
      </c>
      <c r="AN17" s="7">
        <v>0.0040232519370714502</v>
      </c>
      <c r="AO17" s="7">
        <v>0.00401592920958861</v>
      </c>
      <c r="AP17" s="7">
        <v>0.00533856468039463</v>
      </c>
      <c r="AQ17" s="9">
        <v>629</v>
      </c>
    </row>
    <row r="18" spans="1:43" ht="15">
      <c r="A18" s="2" t="s">
        <v>81</v>
      </c>
      <c r="B18" s="5">
        <v>4143307</v>
      </c>
      <c r="C18" s="2" t="s">
        <v>23</v>
      </c>
      <c r="D18" s="2" t="s">
        <v>82</v>
      </c>
      <c r="E18" s="2" t="s">
        <v>83</v>
      </c>
      <c r="F18" s="2" t="s">
        <v>26</v>
      </c>
      <c r="G18" s="2" t="s">
        <v>26</v>
      </c>
      <c r="H18" s="2" t="s">
        <v>27</v>
      </c>
      <c r="I18" s="2" t="s">
        <v>28</v>
      </c>
      <c r="J18" s="6"/>
      <c r="K18" s="2" t="s">
        <v>55</v>
      </c>
      <c r="L18" s="2" t="s">
        <v>56</v>
      </c>
      <c r="M18" s="2" t="s">
        <v>55</v>
      </c>
      <c r="N18" s="2"/>
      <c r="O18" s="2"/>
      <c r="P18" s="7">
        <v>1753.6951997240001</v>
      </c>
      <c r="Q18" s="8">
        <v>1567.1173268339701</v>
      </c>
      <c r="R18" s="9">
        <v>2038</v>
      </c>
      <c r="S18" s="2" t="s">
        <v>84</v>
      </c>
      <c r="T18" s="9">
        <v>1400</v>
      </c>
      <c r="U18" s="9">
        <v>3384</v>
      </c>
      <c r="V18" s="9">
        <v>2718</v>
      </c>
      <c r="W18" s="9">
        <v>4336</v>
      </c>
      <c r="X18" s="9">
        <v>4319</v>
      </c>
      <c r="Y18" s="9">
        <v>3501</v>
      </c>
      <c r="Z18" s="9">
        <v>3824</v>
      </c>
      <c r="AA18" s="9">
        <v>8861</v>
      </c>
      <c r="AB18" s="9">
        <v>3740</v>
      </c>
      <c r="AC18" s="9">
        <v>2746</v>
      </c>
      <c r="AD18" s="9">
        <v>2527</v>
      </c>
      <c r="AE18" s="7">
        <v>0.00310579683908994</v>
      </c>
      <c r="AF18" s="7">
        <v>0.00213379040094204</v>
      </c>
      <c r="AG18" s="7">
        <v>0.0051587349010511702</v>
      </c>
      <c r="AH18" s="7">
        <v>0.0041425947087404304</v>
      </c>
      <c r="AI18" s="7">
        <v>0.0066100588345232702</v>
      </c>
      <c r="AJ18" s="7">
        <v>0.0065841612562034402</v>
      </c>
      <c r="AK18" s="7">
        <v>0.0053364575639449499</v>
      </c>
      <c r="AL18" s="7">
        <v>0.0058288980445082702</v>
      </c>
      <c r="AM18" s="7">
        <v>0.0135067260833911</v>
      </c>
      <c r="AN18" s="7">
        <v>0.0057015280190905399</v>
      </c>
      <c r="AO18" s="7">
        <v>0.0041856258316207602</v>
      </c>
      <c r="AP18" s="7">
        <v>0.0038521838039782198</v>
      </c>
      <c r="AQ18" s="9">
        <v>1190</v>
      </c>
    </row>
    <row r="19" spans="1:43" ht="15">
      <c r="A19" s="2" t="s">
        <v>85</v>
      </c>
      <c r="B19" s="5">
        <v>4996500</v>
      </c>
      <c r="C19" s="2" t="s">
        <v>35</v>
      </c>
      <c r="D19" s="2" t="s">
        <v>86</v>
      </c>
      <c r="E19" s="2" t="s">
        <v>87</v>
      </c>
      <c r="F19" s="2" t="s">
        <v>38</v>
      </c>
      <c r="G19" s="2" t="s">
        <v>38</v>
      </c>
      <c r="H19" s="2" t="s">
        <v>39</v>
      </c>
      <c r="I19" s="2" t="s">
        <v>28</v>
      </c>
      <c r="J19" s="6"/>
      <c r="K19" s="2" t="s">
        <v>55</v>
      </c>
      <c r="L19" s="2" t="s">
        <v>56</v>
      </c>
      <c r="M19" s="2" t="s">
        <v>55</v>
      </c>
      <c r="N19" s="2"/>
      <c r="O19" s="2"/>
      <c r="P19" s="7">
        <v>653.866239691548</v>
      </c>
      <c r="Q19" s="8">
        <v>-115.411782463452</v>
      </c>
      <c r="R19" s="9">
        <v>0</v>
      </c>
      <c r="S19" s="2" t="s">
        <v>88</v>
      </c>
      <c r="T19" s="9">
        <v>0</v>
      </c>
      <c r="U19" s="9">
        <v>0</v>
      </c>
      <c r="V19" s="9">
        <v>0</v>
      </c>
      <c r="W19" s="9">
        <v>4</v>
      </c>
      <c r="X19" s="9">
        <v>4</v>
      </c>
      <c r="Y19" s="9">
        <v>2</v>
      </c>
      <c r="Z19" s="9">
        <v>3</v>
      </c>
      <c r="AA19" s="9">
        <v>3</v>
      </c>
      <c r="AB19" s="9">
        <v>0</v>
      </c>
      <c r="AC19" s="9">
        <v>0</v>
      </c>
      <c r="AD19" s="9">
        <v>0</v>
      </c>
      <c r="AE19" s="7">
        <v>0</v>
      </c>
      <c r="AF19" s="7">
        <v>0</v>
      </c>
      <c r="AG19" s="7">
        <v>0</v>
      </c>
      <c r="AH19" s="7">
        <v>0</v>
      </c>
      <c r="AI19" s="7">
        <v>7.1413008840436604E-05</v>
      </c>
      <c r="AJ19" s="7">
        <v>7.1120332574697094E-05</v>
      </c>
      <c r="AK19" s="7">
        <v>3.7616692877545303E-05</v>
      </c>
      <c r="AL19" s="7">
        <v>5.2107496999728103E-05</v>
      </c>
      <c r="AM19" s="7">
        <v>5.5184256482820502E-05</v>
      </c>
      <c r="AN19" s="7">
        <v>0</v>
      </c>
      <c r="AO19" s="7">
        <v>0</v>
      </c>
      <c r="AP19" s="7">
        <v>0</v>
      </c>
      <c r="AQ19" s="9">
        <v>0</v>
      </c>
    </row>
    <row r="20" spans="1:43" ht="15">
      <c r="A20" s="2" t="s">
        <v>89</v>
      </c>
      <c r="B20" s="5">
        <v>13385471</v>
      </c>
      <c r="C20" s="2" t="s">
        <v>23</v>
      </c>
      <c r="D20" s="2" t="s">
        <v>90</v>
      </c>
      <c r="E20" s="2" t="s">
        <v>91</v>
      </c>
      <c r="F20" s="2" t="s">
        <v>26</v>
      </c>
      <c r="G20" s="2"/>
      <c r="H20" s="2"/>
      <c r="I20" s="2" t="s">
        <v>28</v>
      </c>
      <c r="J20" s="6"/>
      <c r="K20" s="2" t="s">
        <v>55</v>
      </c>
      <c r="L20" s="2" t="s">
        <v>56</v>
      </c>
      <c r="M20" s="2" t="s">
        <v>55</v>
      </c>
      <c r="N20" s="2"/>
      <c r="O20" s="2"/>
      <c r="P20" s="6" t="s">
        <v>57</v>
      </c>
      <c r="Q20" s="6" t="s">
        <v>57</v>
      </c>
      <c r="R20" s="9">
        <v>0</v>
      </c>
      <c r="S20" s="2"/>
      <c r="T20" s="9">
        <v>0</v>
      </c>
      <c r="U20" s="9">
        <v>0</v>
      </c>
      <c r="V20" s="9">
        <v>0</v>
      </c>
      <c r="W20" s="9">
        <v>0</v>
      </c>
      <c r="X20" s="9">
        <v>0</v>
      </c>
      <c r="Y20" s="9">
        <v>86</v>
      </c>
      <c r="Z20" s="9">
        <v>325</v>
      </c>
      <c r="AA20" s="9">
        <v>648</v>
      </c>
      <c r="AB20" s="9">
        <v>0</v>
      </c>
      <c r="AC20" s="9">
        <v>0</v>
      </c>
      <c r="AD20" s="9">
        <v>0</v>
      </c>
      <c r="AE20" s="6" t="s">
        <v>57</v>
      </c>
      <c r="AF20" s="6" t="s">
        <v>57</v>
      </c>
      <c r="AG20" s="6" t="s">
        <v>57</v>
      </c>
      <c r="AH20" s="6" t="s">
        <v>57</v>
      </c>
      <c r="AI20" s="6" t="s">
        <v>57</v>
      </c>
      <c r="AJ20" s="6" t="s">
        <v>57</v>
      </c>
      <c r="AK20" s="6" t="s">
        <v>57</v>
      </c>
      <c r="AL20" s="6" t="s">
        <v>57</v>
      </c>
      <c r="AM20" s="6" t="s">
        <v>57</v>
      </c>
      <c r="AN20" s="6" t="s">
        <v>57</v>
      </c>
      <c r="AO20" s="6" t="s">
        <v>57</v>
      </c>
      <c r="AP20" s="6" t="s">
        <v>57</v>
      </c>
      <c r="AQ20" s="9">
        <v>0</v>
      </c>
    </row>
    <row r="21" spans="1:43" ht="15">
      <c r="A21" s="2" t="s">
        <v>92</v>
      </c>
      <c r="B21" s="5">
        <v>29541784</v>
      </c>
      <c r="C21" s="2" t="s">
        <v>23</v>
      </c>
      <c r="D21" s="2" t="s">
        <v>93</v>
      </c>
      <c r="E21" s="2" t="s">
        <v>94</v>
      </c>
      <c r="F21" s="2" t="s">
        <v>26</v>
      </c>
      <c r="G21" s="2" t="s">
        <v>26</v>
      </c>
      <c r="H21" s="2" t="s">
        <v>27</v>
      </c>
      <c r="I21" s="2" t="s">
        <v>28</v>
      </c>
      <c r="J21" s="6"/>
      <c r="K21" s="2" t="s">
        <v>55</v>
      </c>
      <c r="L21" s="2" t="s">
        <v>56</v>
      </c>
      <c r="M21" s="2" t="s">
        <v>55</v>
      </c>
      <c r="N21" s="2"/>
      <c r="O21" s="2"/>
      <c r="P21" s="6" t="s">
        <v>57</v>
      </c>
      <c r="Q21" s="6" t="s">
        <v>57</v>
      </c>
      <c r="R21" s="9">
        <v>0</v>
      </c>
      <c r="S21" s="2"/>
      <c r="T21" s="9">
        <v>0</v>
      </c>
      <c r="U21" s="9">
        <v>0</v>
      </c>
      <c r="V21" s="9">
        <v>0</v>
      </c>
      <c r="W21" s="9">
        <v>0</v>
      </c>
      <c r="X21" s="9">
        <v>0</v>
      </c>
      <c r="Y21" s="9">
        <v>0</v>
      </c>
      <c r="Z21" s="9">
        <v>1</v>
      </c>
      <c r="AA21" s="9">
        <v>169</v>
      </c>
      <c r="AB21" s="9">
        <v>0</v>
      </c>
      <c r="AC21" s="9">
        <v>0</v>
      </c>
      <c r="AD21" s="9">
        <v>0</v>
      </c>
      <c r="AE21" s="6" t="s">
        <v>57</v>
      </c>
      <c r="AF21" s="6" t="s">
        <v>57</v>
      </c>
      <c r="AG21" s="6" t="s">
        <v>57</v>
      </c>
      <c r="AH21" s="6" t="s">
        <v>57</v>
      </c>
      <c r="AI21" s="6" t="s">
        <v>57</v>
      </c>
      <c r="AJ21" s="6" t="s">
        <v>57</v>
      </c>
      <c r="AK21" s="6" t="s">
        <v>57</v>
      </c>
      <c r="AL21" s="6" t="s">
        <v>57</v>
      </c>
      <c r="AM21" s="6" t="s">
        <v>57</v>
      </c>
      <c r="AN21" s="6" t="s">
        <v>57</v>
      </c>
      <c r="AO21" s="6" t="s">
        <v>57</v>
      </c>
      <c r="AP21" s="6" t="s">
        <v>57</v>
      </c>
      <c r="AQ21" s="9">
        <v>0</v>
      </c>
    </row>
    <row r="22" spans="1:43" ht="15">
      <c r="A22" s="2" t="s">
        <v>95</v>
      </c>
      <c r="B22" s="5">
        <v>101409766</v>
      </c>
      <c r="C22" s="2" t="s">
        <v>23</v>
      </c>
      <c r="D22" s="2" t="s">
        <v>96</v>
      </c>
      <c r="E22" s="2" t="s">
        <v>97</v>
      </c>
      <c r="F22" s="2" t="s">
        <v>26</v>
      </c>
      <c r="G22" s="2"/>
      <c r="H22" s="2"/>
      <c r="I22" s="2" t="s">
        <v>28</v>
      </c>
      <c r="J22" s="6"/>
      <c r="K22" s="2" t="s">
        <v>98</v>
      </c>
      <c r="L22" s="2" t="s">
        <v>99</v>
      </c>
      <c r="M22" s="2" t="s">
        <v>100</v>
      </c>
      <c r="N22" s="2" t="s">
        <v>98</v>
      </c>
      <c r="O22" s="2"/>
      <c r="P22" s="6" t="s">
        <v>57</v>
      </c>
      <c r="Q22" s="6" t="s">
        <v>57</v>
      </c>
      <c r="R22" s="9">
        <v>0</v>
      </c>
      <c r="S22" s="2"/>
      <c r="T22" s="9">
        <v>0</v>
      </c>
      <c r="U22" s="9">
        <v>0</v>
      </c>
      <c r="V22" s="9">
        <v>0</v>
      </c>
      <c r="W22" s="9">
        <v>0</v>
      </c>
      <c r="X22" s="9">
        <v>0</v>
      </c>
      <c r="Y22" s="9">
        <v>0</v>
      </c>
      <c r="Z22" s="9">
        <v>0</v>
      </c>
      <c r="AA22" s="9">
        <v>148</v>
      </c>
      <c r="AB22" s="9">
        <v>0</v>
      </c>
      <c r="AC22" s="9">
        <v>0</v>
      </c>
      <c r="AD22" s="9">
        <v>0</v>
      </c>
      <c r="AE22" s="6" t="s">
        <v>57</v>
      </c>
      <c r="AF22" s="6" t="s">
        <v>57</v>
      </c>
      <c r="AG22" s="6" t="s">
        <v>57</v>
      </c>
      <c r="AH22" s="6" t="s">
        <v>57</v>
      </c>
      <c r="AI22" s="6" t="s">
        <v>57</v>
      </c>
      <c r="AJ22" s="6" t="s">
        <v>57</v>
      </c>
      <c r="AK22" s="6" t="s">
        <v>57</v>
      </c>
      <c r="AL22" s="6" t="s">
        <v>57</v>
      </c>
      <c r="AM22" s="6" t="s">
        <v>57</v>
      </c>
      <c r="AN22" s="6" t="s">
        <v>57</v>
      </c>
      <c r="AO22" s="6" t="s">
        <v>57</v>
      </c>
      <c r="AP22" s="6" t="s">
        <v>57</v>
      </c>
      <c r="AQ22" s="9">
        <v>0</v>
      </c>
    </row>
    <row r="23" spans="1:43" ht="15">
      <c r="A23" s="2" t="s">
        <v>101</v>
      </c>
      <c r="B23" s="5">
        <v>29541495</v>
      </c>
      <c r="C23" s="2" t="s">
        <v>23</v>
      </c>
      <c r="D23" s="2" t="s">
        <v>102</v>
      </c>
      <c r="E23" s="2" t="s">
        <v>103</v>
      </c>
      <c r="F23" s="2" t="s">
        <v>26</v>
      </c>
      <c r="G23" s="2" t="s">
        <v>26</v>
      </c>
      <c r="H23" s="2" t="s">
        <v>27</v>
      </c>
      <c r="I23" s="2" t="s">
        <v>28</v>
      </c>
      <c r="J23" s="6"/>
      <c r="K23" s="2" t="s">
        <v>55</v>
      </c>
      <c r="L23" s="2" t="s">
        <v>56</v>
      </c>
      <c r="M23" s="2" t="s">
        <v>55</v>
      </c>
      <c r="N23" s="2"/>
      <c r="O23" s="2"/>
      <c r="P23" s="6" t="s">
        <v>57</v>
      </c>
      <c r="Q23" s="6" t="s">
        <v>57</v>
      </c>
      <c r="R23" s="9">
        <v>0</v>
      </c>
      <c r="S23" s="2"/>
      <c r="T23" s="9">
        <v>0</v>
      </c>
      <c r="U23" s="9">
        <v>0</v>
      </c>
      <c r="V23" s="9">
        <v>0</v>
      </c>
      <c r="W23" s="9">
        <v>0</v>
      </c>
      <c r="X23" s="9">
        <v>0</v>
      </c>
      <c r="Y23" s="9">
        <v>0</v>
      </c>
      <c r="Z23" s="9">
        <v>25</v>
      </c>
      <c r="AA23" s="9">
        <v>312</v>
      </c>
      <c r="AB23" s="9">
        <v>0</v>
      </c>
      <c r="AC23" s="9">
        <v>0</v>
      </c>
      <c r="AD23" s="9">
        <v>0</v>
      </c>
      <c r="AE23" s="6" t="s">
        <v>57</v>
      </c>
      <c r="AF23" s="6" t="s">
        <v>57</v>
      </c>
      <c r="AG23" s="6" t="s">
        <v>57</v>
      </c>
      <c r="AH23" s="6" t="s">
        <v>57</v>
      </c>
      <c r="AI23" s="6" t="s">
        <v>57</v>
      </c>
      <c r="AJ23" s="6" t="s">
        <v>57</v>
      </c>
      <c r="AK23" s="6" t="s">
        <v>57</v>
      </c>
      <c r="AL23" s="6" t="s">
        <v>57</v>
      </c>
      <c r="AM23" s="6" t="s">
        <v>57</v>
      </c>
      <c r="AN23" s="6" t="s">
        <v>57</v>
      </c>
      <c r="AO23" s="6" t="s">
        <v>57</v>
      </c>
      <c r="AP23" s="6" t="s">
        <v>57</v>
      </c>
      <c r="AQ23" s="9">
        <v>0</v>
      </c>
    </row>
    <row r="24" spans="1:43" ht="15">
      <c r="A24" s="2" t="s">
        <v>104</v>
      </c>
      <c r="B24" s="5">
        <v>106514990</v>
      </c>
      <c r="C24" s="2" t="s">
        <v>23</v>
      </c>
      <c r="D24" s="2" t="s">
        <v>105</v>
      </c>
      <c r="E24" s="2" t="s">
        <v>106</v>
      </c>
      <c r="F24" s="2" t="s">
        <v>26</v>
      </c>
      <c r="G24" s="2"/>
      <c r="H24" s="2"/>
      <c r="I24" s="2" t="s">
        <v>28</v>
      </c>
      <c r="J24" s="6"/>
      <c r="K24" s="2" t="s">
        <v>55</v>
      </c>
      <c r="L24" s="2" t="s">
        <v>56</v>
      </c>
      <c r="M24" s="2" t="s">
        <v>55</v>
      </c>
      <c r="N24" s="2"/>
      <c r="O24" s="2"/>
      <c r="P24" s="6" t="s">
        <v>57</v>
      </c>
      <c r="Q24" s="6" t="s">
        <v>57</v>
      </c>
      <c r="R24" s="9">
        <v>7577</v>
      </c>
      <c r="S24" s="2"/>
      <c r="T24" s="9">
        <v>5317</v>
      </c>
      <c r="U24" s="9">
        <v>6042</v>
      </c>
      <c r="V24" s="9">
        <v>3525</v>
      </c>
      <c r="W24" s="9">
        <v>6585</v>
      </c>
      <c r="X24" s="9">
        <v>6692</v>
      </c>
      <c r="Y24" s="9">
        <v>5191</v>
      </c>
      <c r="Z24" s="9">
        <v>9344</v>
      </c>
      <c r="AA24" s="9">
        <v>11148</v>
      </c>
      <c r="AB24" s="9">
        <v>6895</v>
      </c>
      <c r="AC24" s="9">
        <v>3507</v>
      </c>
      <c r="AD24" s="9">
        <v>5445</v>
      </c>
      <c r="AE24" s="6" t="s">
        <v>57</v>
      </c>
      <c r="AF24" s="6" t="s">
        <v>57</v>
      </c>
      <c r="AG24" s="6" t="s">
        <v>57</v>
      </c>
      <c r="AH24" s="6" t="s">
        <v>57</v>
      </c>
      <c r="AI24" s="6" t="s">
        <v>57</v>
      </c>
      <c r="AJ24" s="6" t="s">
        <v>57</v>
      </c>
      <c r="AK24" s="6" t="s">
        <v>57</v>
      </c>
      <c r="AL24" s="6" t="s">
        <v>57</v>
      </c>
      <c r="AM24" s="6" t="s">
        <v>57</v>
      </c>
      <c r="AN24" s="6" t="s">
        <v>57</v>
      </c>
      <c r="AO24" s="6" t="s">
        <v>57</v>
      </c>
      <c r="AP24" s="6" t="s">
        <v>57</v>
      </c>
      <c r="AQ24" s="9">
        <v>0</v>
      </c>
    </row>
    <row r="25" spans="1:43" ht="15">
      <c r="A25" s="2" t="s">
        <v>107</v>
      </c>
      <c r="B25" s="5">
        <v>110963432</v>
      </c>
      <c r="C25" s="2" t="s">
        <v>23</v>
      </c>
      <c r="D25" s="2" t="s">
        <v>108</v>
      </c>
      <c r="E25" s="2" t="s">
        <v>109</v>
      </c>
      <c r="F25" s="2" t="s">
        <v>26</v>
      </c>
      <c r="G25" s="2" t="s">
        <v>26</v>
      </c>
      <c r="H25" s="2" t="s">
        <v>27</v>
      </c>
      <c r="I25" s="2" t="s">
        <v>28</v>
      </c>
      <c r="J25" s="6"/>
      <c r="K25" s="2" t="s">
        <v>55</v>
      </c>
      <c r="L25" s="2" t="s">
        <v>56</v>
      </c>
      <c r="M25" s="2" t="s">
        <v>55</v>
      </c>
      <c r="N25" s="2"/>
      <c r="O25" s="2"/>
      <c r="P25" s="6" t="s">
        <v>57</v>
      </c>
      <c r="Q25" s="6" t="s">
        <v>57</v>
      </c>
      <c r="R25" s="9">
        <v>0</v>
      </c>
      <c r="S25" s="2"/>
      <c r="T25" s="9">
        <v>0</v>
      </c>
      <c r="U25" s="9">
        <v>0</v>
      </c>
      <c r="V25" s="9">
        <v>0</v>
      </c>
      <c r="W25" s="9">
        <v>0</v>
      </c>
      <c r="X25" s="9">
        <v>0</v>
      </c>
      <c r="Y25" s="9">
        <v>3</v>
      </c>
      <c r="Z25" s="9">
        <v>17</v>
      </c>
      <c r="AA25" s="9">
        <v>17</v>
      </c>
      <c r="AB25" s="9">
        <v>0</v>
      </c>
      <c r="AC25" s="9">
        <v>0</v>
      </c>
      <c r="AD25" s="9">
        <v>0</v>
      </c>
      <c r="AE25" s="6" t="s">
        <v>57</v>
      </c>
      <c r="AF25" s="6" t="s">
        <v>57</v>
      </c>
      <c r="AG25" s="6" t="s">
        <v>57</v>
      </c>
      <c r="AH25" s="6" t="s">
        <v>57</v>
      </c>
      <c r="AI25" s="6" t="s">
        <v>57</v>
      </c>
      <c r="AJ25" s="6" t="s">
        <v>57</v>
      </c>
      <c r="AK25" s="6" t="s">
        <v>57</v>
      </c>
      <c r="AL25" s="6" t="s">
        <v>57</v>
      </c>
      <c r="AM25" s="6" t="s">
        <v>57</v>
      </c>
      <c r="AN25" s="6" t="s">
        <v>57</v>
      </c>
      <c r="AO25" s="6" t="s">
        <v>57</v>
      </c>
      <c r="AP25" s="6" t="s">
        <v>57</v>
      </c>
      <c r="AQ25" s="9">
        <v>0</v>
      </c>
    </row>
    <row r="26" spans="1:43" ht="15">
      <c r="A26" s="2" t="s">
        <v>110</v>
      </c>
      <c r="B26" s="5">
        <v>110695391</v>
      </c>
      <c r="C26" s="2" t="s">
        <v>23</v>
      </c>
      <c r="D26" s="2" t="s">
        <v>111</v>
      </c>
      <c r="E26" s="2" t="s">
        <v>112</v>
      </c>
      <c r="F26" s="2" t="s">
        <v>113</v>
      </c>
      <c r="G26" s="2" t="s">
        <v>26</v>
      </c>
      <c r="H26" s="2" t="s">
        <v>27</v>
      </c>
      <c r="I26" s="2" t="s">
        <v>28</v>
      </c>
      <c r="J26" s="6"/>
      <c r="K26" s="2" t="s">
        <v>55</v>
      </c>
      <c r="L26" s="2" t="s">
        <v>56</v>
      </c>
      <c r="M26" s="2" t="s">
        <v>55</v>
      </c>
      <c r="N26" s="2"/>
      <c r="O26" s="2"/>
      <c r="P26" s="6" t="s">
        <v>57</v>
      </c>
      <c r="Q26" s="6" t="s">
        <v>57</v>
      </c>
      <c r="R26" s="9">
        <v>0</v>
      </c>
      <c r="S26" s="2"/>
      <c r="T26" s="9">
        <v>0</v>
      </c>
      <c r="U26" s="9">
        <v>0</v>
      </c>
      <c r="V26" s="9">
        <v>0</v>
      </c>
      <c r="W26" s="9">
        <v>0</v>
      </c>
      <c r="X26" s="9">
        <v>0</v>
      </c>
      <c r="Y26" s="9">
        <v>0</v>
      </c>
      <c r="Z26" s="9">
        <v>0</v>
      </c>
      <c r="AA26" s="9">
        <v>0</v>
      </c>
      <c r="AB26" s="9">
        <v>0</v>
      </c>
      <c r="AC26" s="9">
        <v>0</v>
      </c>
      <c r="AD26" s="9">
        <v>0</v>
      </c>
      <c r="AE26" s="6" t="s">
        <v>57</v>
      </c>
      <c r="AF26" s="6" t="s">
        <v>57</v>
      </c>
      <c r="AG26" s="6" t="s">
        <v>57</v>
      </c>
      <c r="AH26" s="6" t="s">
        <v>57</v>
      </c>
      <c r="AI26" s="6" t="s">
        <v>57</v>
      </c>
      <c r="AJ26" s="6" t="s">
        <v>57</v>
      </c>
      <c r="AK26" s="6" t="s">
        <v>57</v>
      </c>
      <c r="AL26" s="6" t="s">
        <v>57</v>
      </c>
      <c r="AM26" s="6" t="s">
        <v>57</v>
      </c>
      <c r="AN26" s="6" t="s">
        <v>57</v>
      </c>
      <c r="AO26" s="6" t="s">
        <v>57</v>
      </c>
      <c r="AP26" s="6" t="s">
        <v>57</v>
      </c>
      <c r="AQ26" s="9">
        <v>0</v>
      </c>
    </row>
    <row r="27" spans="1:43" ht="15">
      <c r="A27" s="2" t="s">
        <v>114</v>
      </c>
      <c r="B27" s="5">
        <v>114275882</v>
      </c>
      <c r="C27" s="2" t="s">
        <v>23</v>
      </c>
      <c r="D27" s="2" t="s">
        <v>115</v>
      </c>
      <c r="E27" s="2" t="s">
        <v>116</v>
      </c>
      <c r="F27" s="2" t="s">
        <v>26</v>
      </c>
      <c r="G27" s="2"/>
      <c r="H27" s="2"/>
      <c r="I27" s="2" t="s">
        <v>28</v>
      </c>
      <c r="J27" s="6"/>
      <c r="K27" s="2" t="s">
        <v>55</v>
      </c>
      <c r="L27" s="2" t="s">
        <v>56</v>
      </c>
      <c r="M27" s="2" t="s">
        <v>55</v>
      </c>
      <c r="N27" s="2"/>
      <c r="O27" s="2"/>
      <c r="P27" s="6" t="s">
        <v>57</v>
      </c>
      <c r="Q27" s="6" t="s">
        <v>57</v>
      </c>
      <c r="R27" s="6" t="s">
        <v>57</v>
      </c>
      <c r="S27" s="2"/>
      <c r="T27" s="6" t="s">
        <v>57</v>
      </c>
      <c r="U27" s="6" t="s">
        <v>57</v>
      </c>
      <c r="V27" s="6" t="s">
        <v>57</v>
      </c>
      <c r="W27" s="6" t="s">
        <v>57</v>
      </c>
      <c r="X27" s="6" t="s">
        <v>57</v>
      </c>
      <c r="Y27" s="6" t="s">
        <v>57</v>
      </c>
      <c r="Z27" s="6" t="s">
        <v>57</v>
      </c>
      <c r="AA27" s="6" t="s">
        <v>57</v>
      </c>
      <c r="AB27" s="6" t="s">
        <v>57</v>
      </c>
      <c r="AC27" s="6" t="s">
        <v>57</v>
      </c>
      <c r="AD27" s="6" t="s">
        <v>57</v>
      </c>
      <c r="AE27" s="6" t="s">
        <v>57</v>
      </c>
      <c r="AF27" s="6" t="s">
        <v>57</v>
      </c>
      <c r="AG27" s="6" t="s">
        <v>57</v>
      </c>
      <c r="AH27" s="6" t="s">
        <v>57</v>
      </c>
      <c r="AI27" s="6" t="s">
        <v>57</v>
      </c>
      <c r="AJ27" s="6" t="s">
        <v>57</v>
      </c>
      <c r="AK27" s="6" t="s">
        <v>57</v>
      </c>
      <c r="AL27" s="6" t="s">
        <v>57</v>
      </c>
      <c r="AM27" s="6" t="s">
        <v>57</v>
      </c>
      <c r="AN27" s="6" t="s">
        <v>57</v>
      </c>
      <c r="AO27" s="6" t="s">
        <v>57</v>
      </c>
      <c r="AP27" s="6" t="s">
        <v>57</v>
      </c>
      <c r="AQ27" s="6" t="s">
        <v>57</v>
      </c>
    </row>
    <row r="28" spans="1:43" ht="15">
      <c r="A28" s="2" t="s">
        <v>117</v>
      </c>
      <c r="B28" s="5">
        <v>117725110</v>
      </c>
      <c r="C28" s="2" t="s">
        <v>23</v>
      </c>
      <c r="D28" s="2" t="s">
        <v>118</v>
      </c>
      <c r="E28" s="2" t="s">
        <v>119</v>
      </c>
      <c r="F28" s="2" t="s">
        <v>26</v>
      </c>
      <c r="G28" s="2"/>
      <c r="H28" s="2"/>
      <c r="I28" s="2" t="s">
        <v>28</v>
      </c>
      <c r="J28" s="6"/>
      <c r="K28" s="2" t="s">
        <v>55</v>
      </c>
      <c r="L28" s="2" t="s">
        <v>56</v>
      </c>
      <c r="M28" s="2" t="s">
        <v>55</v>
      </c>
      <c r="N28" s="2"/>
      <c r="O28" s="2"/>
      <c r="P28" s="6" t="s">
        <v>57</v>
      </c>
      <c r="Q28" s="6" t="s">
        <v>57</v>
      </c>
      <c r="R28" s="6" t="s">
        <v>57</v>
      </c>
      <c r="S28" s="2"/>
      <c r="T28" s="6" t="s">
        <v>57</v>
      </c>
      <c r="U28" s="6" t="s">
        <v>57</v>
      </c>
      <c r="V28" s="6" t="s">
        <v>57</v>
      </c>
      <c r="W28" s="6" t="s">
        <v>57</v>
      </c>
      <c r="X28" s="6" t="s">
        <v>57</v>
      </c>
      <c r="Y28" s="6" t="s">
        <v>57</v>
      </c>
      <c r="Z28" s="6" t="s">
        <v>57</v>
      </c>
      <c r="AA28" s="6" t="s">
        <v>57</v>
      </c>
      <c r="AB28" s="6" t="s">
        <v>57</v>
      </c>
      <c r="AC28" s="6" t="s">
        <v>57</v>
      </c>
      <c r="AD28" s="6" t="s">
        <v>57</v>
      </c>
      <c r="AE28" s="6" t="s">
        <v>57</v>
      </c>
      <c r="AF28" s="6" t="s">
        <v>57</v>
      </c>
      <c r="AG28" s="6" t="s">
        <v>57</v>
      </c>
      <c r="AH28" s="6" t="s">
        <v>57</v>
      </c>
      <c r="AI28" s="6" t="s">
        <v>57</v>
      </c>
      <c r="AJ28" s="6" t="s">
        <v>57</v>
      </c>
      <c r="AK28" s="6" t="s">
        <v>57</v>
      </c>
      <c r="AL28" s="6" t="s">
        <v>57</v>
      </c>
      <c r="AM28" s="6" t="s">
        <v>57</v>
      </c>
      <c r="AN28" s="6" t="s">
        <v>57</v>
      </c>
      <c r="AO28" s="6" t="s">
        <v>57</v>
      </c>
      <c r="AP28" s="6" t="s">
        <v>57</v>
      </c>
      <c r="AQ28" s="6" t="s">
        <v>57</v>
      </c>
    </row>
    <row r="29" spans="1:43" ht="15">
      <c r="A29" s="2" t="s">
        <v>120</v>
      </c>
      <c r="B29" s="5">
        <v>122970125</v>
      </c>
      <c r="C29" s="2" t="s">
        <v>23</v>
      </c>
      <c r="D29" s="2" t="s">
        <v>121</v>
      </c>
      <c r="E29" s="2" t="s">
        <v>122</v>
      </c>
      <c r="F29" s="2" t="s">
        <v>26</v>
      </c>
      <c r="G29" s="2" t="s">
        <v>26</v>
      </c>
      <c r="H29" s="2" t="s">
        <v>27</v>
      </c>
      <c r="I29" s="2" t="s">
        <v>28</v>
      </c>
      <c r="J29" s="6"/>
      <c r="K29" s="2" t="s">
        <v>55</v>
      </c>
      <c r="L29" s="2" t="s">
        <v>56</v>
      </c>
      <c r="M29" s="2" t="s">
        <v>55</v>
      </c>
      <c r="N29" s="2"/>
      <c r="O29" s="2"/>
      <c r="P29" s="6" t="s">
        <v>57</v>
      </c>
      <c r="Q29" s="6" t="s">
        <v>57</v>
      </c>
      <c r="R29" s="9">
        <v>0</v>
      </c>
      <c r="S29" s="2"/>
      <c r="T29" s="9">
        <v>0</v>
      </c>
      <c r="U29" s="9">
        <v>0</v>
      </c>
      <c r="V29" s="9">
        <v>0</v>
      </c>
      <c r="W29" s="9">
        <v>0</v>
      </c>
      <c r="X29" s="9">
        <v>0</v>
      </c>
      <c r="Y29" s="9">
        <v>0</v>
      </c>
      <c r="Z29" s="9">
        <v>0</v>
      </c>
      <c r="AA29" s="9">
        <v>0</v>
      </c>
      <c r="AB29" s="9">
        <v>0</v>
      </c>
      <c r="AC29" s="9">
        <v>0</v>
      </c>
      <c r="AD29" s="9">
        <v>0</v>
      </c>
      <c r="AE29" s="6" t="s">
        <v>57</v>
      </c>
      <c r="AF29" s="6" t="s">
        <v>57</v>
      </c>
      <c r="AG29" s="6" t="s">
        <v>57</v>
      </c>
      <c r="AH29" s="6" t="s">
        <v>57</v>
      </c>
      <c r="AI29" s="6" t="s">
        <v>57</v>
      </c>
      <c r="AJ29" s="6" t="s">
        <v>57</v>
      </c>
      <c r="AK29" s="6" t="s">
        <v>57</v>
      </c>
      <c r="AL29" s="6" t="s">
        <v>57</v>
      </c>
      <c r="AM29" s="6" t="s">
        <v>57</v>
      </c>
      <c r="AN29" s="6" t="s">
        <v>57</v>
      </c>
      <c r="AO29" s="6" t="s">
        <v>57</v>
      </c>
      <c r="AP29" s="6" t="s">
        <v>57</v>
      </c>
      <c r="AQ29" s="9">
        <v>0</v>
      </c>
    </row>
    <row r="30" spans="1:43" ht="15">
      <c r="A30" s="2" t="s">
        <v>123</v>
      </c>
      <c r="B30" s="5">
        <v>114112175</v>
      </c>
      <c r="C30" s="2" t="s">
        <v>23</v>
      </c>
      <c r="D30" s="2" t="s">
        <v>124</v>
      </c>
      <c r="E30" s="2" t="s">
        <v>125</v>
      </c>
      <c r="F30" s="2" t="s">
        <v>26</v>
      </c>
      <c r="G30" s="2" t="s">
        <v>26</v>
      </c>
      <c r="H30" s="2" t="s">
        <v>27</v>
      </c>
      <c r="I30" s="2" t="s">
        <v>28</v>
      </c>
      <c r="J30" s="6"/>
      <c r="K30" s="2" t="s">
        <v>55</v>
      </c>
      <c r="L30" s="2" t="s">
        <v>56</v>
      </c>
      <c r="M30" s="2" t="s">
        <v>55</v>
      </c>
      <c r="N30" s="2"/>
      <c r="O30" s="2"/>
      <c r="P30" s="6" t="s">
        <v>57</v>
      </c>
      <c r="Q30" s="6" t="s">
        <v>57</v>
      </c>
      <c r="R30" s="6" t="s">
        <v>57</v>
      </c>
      <c r="S30" s="2"/>
      <c r="T30" s="6" t="s">
        <v>57</v>
      </c>
      <c r="U30" s="6" t="s">
        <v>57</v>
      </c>
      <c r="V30" s="6" t="s">
        <v>57</v>
      </c>
      <c r="W30" s="6" t="s">
        <v>57</v>
      </c>
      <c r="X30" s="6" t="s">
        <v>57</v>
      </c>
      <c r="Y30" s="6" t="s">
        <v>57</v>
      </c>
      <c r="Z30" s="6" t="s">
        <v>57</v>
      </c>
      <c r="AA30" s="6" t="s">
        <v>57</v>
      </c>
      <c r="AB30" s="6" t="s">
        <v>57</v>
      </c>
      <c r="AC30" s="6" t="s">
        <v>57</v>
      </c>
      <c r="AD30" s="6" t="s">
        <v>57</v>
      </c>
      <c r="AE30" s="6" t="s">
        <v>57</v>
      </c>
      <c r="AF30" s="6" t="s">
        <v>57</v>
      </c>
      <c r="AG30" s="6" t="s">
        <v>57</v>
      </c>
      <c r="AH30" s="6" t="s">
        <v>57</v>
      </c>
      <c r="AI30" s="6" t="s">
        <v>57</v>
      </c>
      <c r="AJ30" s="6" t="s">
        <v>57</v>
      </c>
      <c r="AK30" s="6" t="s">
        <v>57</v>
      </c>
      <c r="AL30" s="6" t="s">
        <v>57</v>
      </c>
      <c r="AM30" s="6" t="s">
        <v>57</v>
      </c>
      <c r="AN30" s="6" t="s">
        <v>57</v>
      </c>
      <c r="AO30" s="6" t="s">
        <v>57</v>
      </c>
      <c r="AP30" s="6" t="s">
        <v>57</v>
      </c>
      <c r="AQ30" s="6" t="s">
        <v>57</v>
      </c>
    </row>
    <row r="31" spans="1:43" ht="15">
      <c r="A31" s="2" t="s">
        <v>126</v>
      </c>
      <c r="B31" s="5">
        <v>107040707</v>
      </c>
      <c r="C31" s="2" t="s">
        <v>23</v>
      </c>
      <c r="D31" s="2" t="s">
        <v>127</v>
      </c>
      <c r="E31" s="2" t="s">
        <v>128</v>
      </c>
      <c r="F31" s="2" t="s">
        <v>26</v>
      </c>
      <c r="G31" s="2"/>
      <c r="H31" s="2"/>
      <c r="I31" s="2" t="s">
        <v>28</v>
      </c>
      <c r="J31" s="6"/>
      <c r="K31" s="2" t="s">
        <v>55</v>
      </c>
      <c r="L31" s="2" t="s">
        <v>56</v>
      </c>
      <c r="M31" s="2" t="s">
        <v>55</v>
      </c>
      <c r="N31" s="2"/>
      <c r="O31" s="2"/>
      <c r="P31" s="6" t="s">
        <v>57</v>
      </c>
      <c r="Q31" s="6" t="s">
        <v>57</v>
      </c>
      <c r="R31" s="9">
        <v>0</v>
      </c>
      <c r="S31" s="2"/>
      <c r="T31" s="9">
        <v>0</v>
      </c>
      <c r="U31" s="9">
        <v>0</v>
      </c>
      <c r="V31" s="9">
        <v>0</v>
      </c>
      <c r="W31" s="9">
        <v>0</v>
      </c>
      <c r="X31" s="9">
        <v>0</v>
      </c>
      <c r="Y31" s="9">
        <v>0</v>
      </c>
      <c r="Z31" s="9">
        <v>0</v>
      </c>
      <c r="AA31" s="9">
        <v>0</v>
      </c>
      <c r="AB31" s="9">
        <v>0</v>
      </c>
      <c r="AC31" s="9">
        <v>0</v>
      </c>
      <c r="AD31" s="9">
        <v>0</v>
      </c>
      <c r="AE31" s="6" t="s">
        <v>57</v>
      </c>
      <c r="AF31" s="6" t="s">
        <v>57</v>
      </c>
      <c r="AG31" s="6" t="s">
        <v>57</v>
      </c>
      <c r="AH31" s="6" t="s">
        <v>57</v>
      </c>
      <c r="AI31" s="6" t="s">
        <v>57</v>
      </c>
      <c r="AJ31" s="6" t="s">
        <v>57</v>
      </c>
      <c r="AK31" s="6" t="s">
        <v>57</v>
      </c>
      <c r="AL31" s="6" t="s">
        <v>57</v>
      </c>
      <c r="AM31" s="6" t="s">
        <v>57</v>
      </c>
      <c r="AN31" s="6" t="s">
        <v>57</v>
      </c>
      <c r="AO31" s="6" t="s">
        <v>57</v>
      </c>
      <c r="AP31" s="6" t="s">
        <v>57</v>
      </c>
      <c r="AQ31" s="9">
        <v>0</v>
      </c>
    </row>
    <row r="32" spans="1:43" ht="15">
      <c r="A32" s="2" t="s">
        <v>129</v>
      </c>
      <c r="B32" s="5">
        <v>114218656</v>
      </c>
      <c r="C32" s="2" t="s">
        <v>23</v>
      </c>
      <c r="D32" s="2" t="s">
        <v>130</v>
      </c>
      <c r="E32" s="2" t="s">
        <v>131</v>
      </c>
      <c r="F32" s="2" t="s">
        <v>26</v>
      </c>
      <c r="G32" s="2" t="s">
        <v>26</v>
      </c>
      <c r="H32" s="2" t="s">
        <v>27</v>
      </c>
      <c r="I32" s="2" t="s">
        <v>28</v>
      </c>
      <c r="J32" s="6"/>
      <c r="K32" s="2" t="s">
        <v>55</v>
      </c>
      <c r="L32" s="2" t="s">
        <v>56</v>
      </c>
      <c r="M32" s="2" t="s">
        <v>55</v>
      </c>
      <c r="N32" s="2"/>
      <c r="O32" s="2"/>
      <c r="P32" s="6" t="s">
        <v>57</v>
      </c>
      <c r="Q32" s="6" t="s">
        <v>57</v>
      </c>
      <c r="R32" s="6" t="s">
        <v>57</v>
      </c>
      <c r="S32" s="2"/>
      <c r="T32" s="6" t="s">
        <v>57</v>
      </c>
      <c r="U32" s="6" t="s">
        <v>57</v>
      </c>
      <c r="V32" s="6" t="s">
        <v>57</v>
      </c>
      <c r="W32" s="6" t="s">
        <v>57</v>
      </c>
      <c r="X32" s="6" t="s">
        <v>57</v>
      </c>
      <c r="Y32" s="6" t="s">
        <v>57</v>
      </c>
      <c r="Z32" s="6" t="s">
        <v>57</v>
      </c>
      <c r="AA32" s="6" t="s">
        <v>57</v>
      </c>
      <c r="AB32" s="6" t="s">
        <v>57</v>
      </c>
      <c r="AC32" s="6" t="s">
        <v>57</v>
      </c>
      <c r="AD32" s="6" t="s">
        <v>57</v>
      </c>
      <c r="AE32" s="6" t="s">
        <v>57</v>
      </c>
      <c r="AF32" s="6" t="s">
        <v>57</v>
      </c>
      <c r="AG32" s="6" t="s">
        <v>57</v>
      </c>
      <c r="AH32" s="6" t="s">
        <v>57</v>
      </c>
      <c r="AI32" s="6" t="s">
        <v>57</v>
      </c>
      <c r="AJ32" s="6" t="s">
        <v>57</v>
      </c>
      <c r="AK32" s="6" t="s">
        <v>57</v>
      </c>
      <c r="AL32" s="6" t="s">
        <v>57</v>
      </c>
      <c r="AM32" s="6" t="s">
        <v>57</v>
      </c>
      <c r="AN32" s="6" t="s">
        <v>57</v>
      </c>
      <c r="AO32" s="6" t="s">
        <v>57</v>
      </c>
      <c r="AP32" s="6" t="s">
        <v>57</v>
      </c>
      <c r="AQ32" s="6" t="s">
        <v>57</v>
      </c>
    </row>
    <row r="33" spans="1:43" ht="15">
      <c r="A33" s="2" t="s">
        <v>132</v>
      </c>
      <c r="B33" s="5">
        <v>17420644</v>
      </c>
      <c r="C33" s="2" t="s">
        <v>23</v>
      </c>
      <c r="D33" s="2" t="s">
        <v>133</v>
      </c>
      <c r="E33" s="2" t="s">
        <v>134</v>
      </c>
      <c r="F33" s="2" t="s">
        <v>26</v>
      </c>
      <c r="G33" s="2"/>
      <c r="H33" s="2"/>
      <c r="I33" s="2" t="s">
        <v>28</v>
      </c>
      <c r="J33" s="6"/>
      <c r="K33" s="2" t="s">
        <v>55</v>
      </c>
      <c r="L33" s="2" t="s">
        <v>56</v>
      </c>
      <c r="M33" s="2" t="s">
        <v>55</v>
      </c>
      <c r="N33" s="2"/>
      <c r="O33" s="2"/>
      <c r="P33" s="6" t="s">
        <v>57</v>
      </c>
      <c r="Q33" s="6" t="s">
        <v>57</v>
      </c>
      <c r="R33" s="9">
        <v>0</v>
      </c>
      <c r="S33" s="2"/>
      <c r="T33" s="9">
        <v>0</v>
      </c>
      <c r="U33" s="9">
        <v>0</v>
      </c>
      <c r="V33" s="9">
        <v>0</v>
      </c>
      <c r="W33" s="9">
        <v>0</v>
      </c>
      <c r="X33" s="9">
        <v>0</v>
      </c>
      <c r="Y33" s="9">
        <v>0</v>
      </c>
      <c r="Z33" s="9">
        <v>0</v>
      </c>
      <c r="AA33" s="9">
        <v>2</v>
      </c>
      <c r="AB33" s="9">
        <v>0</v>
      </c>
      <c r="AC33" s="9">
        <v>0</v>
      </c>
      <c r="AD33" s="9">
        <v>0</v>
      </c>
      <c r="AE33" s="6" t="s">
        <v>57</v>
      </c>
      <c r="AF33" s="6" t="s">
        <v>57</v>
      </c>
      <c r="AG33" s="6" t="s">
        <v>57</v>
      </c>
      <c r="AH33" s="6" t="s">
        <v>57</v>
      </c>
      <c r="AI33" s="6" t="s">
        <v>57</v>
      </c>
      <c r="AJ33" s="6" t="s">
        <v>57</v>
      </c>
      <c r="AK33" s="6" t="s">
        <v>57</v>
      </c>
      <c r="AL33" s="6" t="s">
        <v>57</v>
      </c>
      <c r="AM33" s="6" t="s">
        <v>57</v>
      </c>
      <c r="AN33" s="6" t="s">
        <v>57</v>
      </c>
      <c r="AO33" s="6" t="s">
        <v>57</v>
      </c>
      <c r="AP33" s="6" t="s">
        <v>57</v>
      </c>
      <c r="AQ33" s="9">
        <v>0</v>
      </c>
    </row>
    <row r="34" spans="1:43" ht="15">
      <c r="A34" s="2" t="s">
        <v>135</v>
      </c>
      <c r="B34" s="5">
        <v>125132846</v>
      </c>
      <c r="C34" s="2" t="s">
        <v>23</v>
      </c>
      <c r="D34" s="2" t="s">
        <v>136</v>
      </c>
      <c r="E34" s="2" t="s">
        <v>137</v>
      </c>
      <c r="F34" s="2" t="s">
        <v>26</v>
      </c>
      <c r="G34" s="2" t="s">
        <v>26</v>
      </c>
      <c r="H34" s="2" t="s">
        <v>27</v>
      </c>
      <c r="I34" s="2" t="s">
        <v>28</v>
      </c>
      <c r="J34" s="6"/>
      <c r="K34" s="2" t="s">
        <v>55</v>
      </c>
      <c r="L34" s="2" t="s">
        <v>56</v>
      </c>
      <c r="M34" s="2" t="s">
        <v>55</v>
      </c>
      <c r="N34" s="2"/>
      <c r="O34" s="2"/>
      <c r="P34" s="6" t="s">
        <v>57</v>
      </c>
      <c r="Q34" s="6" t="s">
        <v>57</v>
      </c>
      <c r="R34" s="6" t="s">
        <v>57</v>
      </c>
      <c r="S34" s="2"/>
      <c r="T34" s="6" t="s">
        <v>57</v>
      </c>
      <c r="U34" s="6" t="s">
        <v>57</v>
      </c>
      <c r="V34" s="6" t="s">
        <v>57</v>
      </c>
      <c r="W34" s="6" t="s">
        <v>57</v>
      </c>
      <c r="X34" s="6" t="s">
        <v>57</v>
      </c>
      <c r="Y34" s="6" t="s">
        <v>57</v>
      </c>
      <c r="Z34" s="6" t="s">
        <v>57</v>
      </c>
      <c r="AA34" s="6" t="s">
        <v>57</v>
      </c>
      <c r="AB34" s="6" t="s">
        <v>57</v>
      </c>
      <c r="AC34" s="6" t="s">
        <v>57</v>
      </c>
      <c r="AD34" s="6" t="s">
        <v>57</v>
      </c>
      <c r="AE34" s="6" t="s">
        <v>57</v>
      </c>
      <c r="AF34" s="6" t="s">
        <v>57</v>
      </c>
      <c r="AG34" s="6" t="s">
        <v>57</v>
      </c>
      <c r="AH34" s="6" t="s">
        <v>57</v>
      </c>
      <c r="AI34" s="6" t="s">
        <v>57</v>
      </c>
      <c r="AJ34" s="6" t="s">
        <v>57</v>
      </c>
      <c r="AK34" s="6" t="s">
        <v>57</v>
      </c>
      <c r="AL34" s="6" t="s">
        <v>57</v>
      </c>
      <c r="AM34" s="6" t="s">
        <v>57</v>
      </c>
      <c r="AN34" s="6" t="s">
        <v>57</v>
      </c>
      <c r="AO34" s="6" t="s">
        <v>57</v>
      </c>
      <c r="AP34" s="6" t="s">
        <v>57</v>
      </c>
      <c r="AQ34" s="6" t="s">
        <v>57</v>
      </c>
    </row>
    <row r="35" spans="1:43" ht="15">
      <c r="A35" s="2" t="s">
        <v>138</v>
      </c>
      <c r="B35" s="5">
        <v>117788486</v>
      </c>
      <c r="C35" s="2" t="s">
        <v>23</v>
      </c>
      <c r="D35" s="2" t="s">
        <v>136</v>
      </c>
      <c r="E35" s="2" t="s">
        <v>139</v>
      </c>
      <c r="F35" s="2" t="s">
        <v>26</v>
      </c>
      <c r="G35" s="2" t="s">
        <v>26</v>
      </c>
      <c r="H35" s="2" t="s">
        <v>27</v>
      </c>
      <c r="I35" s="2" t="s">
        <v>28</v>
      </c>
      <c r="J35" s="6"/>
      <c r="K35" s="2" t="s">
        <v>55</v>
      </c>
      <c r="L35" s="2" t="s">
        <v>56</v>
      </c>
      <c r="M35" s="2" t="s">
        <v>55</v>
      </c>
      <c r="N35" s="2"/>
      <c r="O35" s="2"/>
      <c r="P35" s="6" t="s">
        <v>57</v>
      </c>
      <c r="Q35" s="6" t="s">
        <v>57</v>
      </c>
      <c r="R35" s="9">
        <v>0</v>
      </c>
      <c r="S35" s="2"/>
      <c r="T35" s="9">
        <v>0</v>
      </c>
      <c r="U35" s="9">
        <v>0</v>
      </c>
      <c r="V35" s="9">
        <v>0</v>
      </c>
      <c r="W35" s="9">
        <v>0</v>
      </c>
      <c r="X35" s="9">
        <v>0</v>
      </c>
      <c r="Y35" s="9">
        <v>0</v>
      </c>
      <c r="Z35" s="9">
        <v>0</v>
      </c>
      <c r="AA35" s="9">
        <v>0</v>
      </c>
      <c r="AB35" s="9">
        <v>0</v>
      </c>
      <c r="AC35" s="9">
        <v>0</v>
      </c>
      <c r="AD35" s="9">
        <v>0</v>
      </c>
      <c r="AE35" s="6" t="s">
        <v>57</v>
      </c>
      <c r="AF35" s="6" t="s">
        <v>57</v>
      </c>
      <c r="AG35" s="6" t="s">
        <v>57</v>
      </c>
      <c r="AH35" s="6" t="s">
        <v>57</v>
      </c>
      <c r="AI35" s="6" t="s">
        <v>57</v>
      </c>
      <c r="AJ35" s="6" t="s">
        <v>57</v>
      </c>
      <c r="AK35" s="6" t="s">
        <v>57</v>
      </c>
      <c r="AL35" s="6" t="s">
        <v>57</v>
      </c>
      <c r="AM35" s="6" t="s">
        <v>57</v>
      </c>
      <c r="AN35" s="6" t="s">
        <v>57</v>
      </c>
      <c r="AO35" s="6" t="s">
        <v>57</v>
      </c>
      <c r="AP35" s="6" t="s">
        <v>57</v>
      </c>
      <c r="AQ35" s="9">
        <v>0</v>
      </c>
    </row>
    <row r="36" spans="1:43" ht="15">
      <c r="A36" s="2" t="s">
        <v>140</v>
      </c>
      <c r="B36" s="5">
        <v>116333542</v>
      </c>
      <c r="C36" s="2" t="s">
        <v>23</v>
      </c>
      <c r="D36" s="2" t="s">
        <v>141</v>
      </c>
      <c r="E36" s="2" t="s">
        <v>142</v>
      </c>
      <c r="F36" s="2" t="s">
        <v>26</v>
      </c>
      <c r="G36" s="2" t="s">
        <v>26</v>
      </c>
      <c r="H36" s="2" t="s">
        <v>27</v>
      </c>
      <c r="I36" s="2" t="s">
        <v>28</v>
      </c>
      <c r="J36" s="6"/>
      <c r="K36" s="2" t="s">
        <v>55</v>
      </c>
      <c r="L36" s="2" t="s">
        <v>56</v>
      </c>
      <c r="M36" s="2" t="s">
        <v>55</v>
      </c>
      <c r="N36" s="2"/>
      <c r="O36" s="2"/>
      <c r="P36" s="6" t="s">
        <v>57</v>
      </c>
      <c r="Q36" s="6" t="s">
        <v>57</v>
      </c>
      <c r="R36" s="6" t="s">
        <v>57</v>
      </c>
      <c r="S36" s="2"/>
      <c r="T36" s="6" t="s">
        <v>57</v>
      </c>
      <c r="U36" s="6" t="s">
        <v>57</v>
      </c>
      <c r="V36" s="6" t="s">
        <v>57</v>
      </c>
      <c r="W36" s="6" t="s">
        <v>57</v>
      </c>
      <c r="X36" s="6" t="s">
        <v>57</v>
      </c>
      <c r="Y36" s="6" t="s">
        <v>57</v>
      </c>
      <c r="Z36" s="6" t="s">
        <v>57</v>
      </c>
      <c r="AA36" s="6" t="s">
        <v>57</v>
      </c>
      <c r="AB36" s="6" t="s">
        <v>57</v>
      </c>
      <c r="AC36" s="6" t="s">
        <v>57</v>
      </c>
      <c r="AD36" s="6" t="s">
        <v>57</v>
      </c>
      <c r="AE36" s="6" t="s">
        <v>57</v>
      </c>
      <c r="AF36" s="6" t="s">
        <v>57</v>
      </c>
      <c r="AG36" s="6" t="s">
        <v>57</v>
      </c>
      <c r="AH36" s="6" t="s">
        <v>57</v>
      </c>
      <c r="AI36" s="6" t="s">
        <v>57</v>
      </c>
      <c r="AJ36" s="6" t="s">
        <v>57</v>
      </c>
      <c r="AK36" s="6" t="s">
        <v>57</v>
      </c>
      <c r="AL36" s="6" t="s">
        <v>57</v>
      </c>
      <c r="AM36" s="6" t="s">
        <v>57</v>
      </c>
      <c r="AN36" s="6" t="s">
        <v>57</v>
      </c>
      <c r="AO36" s="6" t="s">
        <v>57</v>
      </c>
      <c r="AP36" s="6" t="s">
        <v>57</v>
      </c>
      <c r="AQ36" s="6" t="s">
        <v>57</v>
      </c>
    </row>
    <row r="37" spans="1:43" ht="15">
      <c r="A37" s="2" t="s">
        <v>143</v>
      </c>
      <c r="B37" s="5">
        <v>10594039</v>
      </c>
      <c r="C37" s="2" t="s">
        <v>23</v>
      </c>
      <c r="D37" s="2" t="s">
        <v>144</v>
      </c>
      <c r="E37" s="2" t="s">
        <v>145</v>
      </c>
      <c r="F37" s="2" t="s">
        <v>26</v>
      </c>
      <c r="G37" s="2" t="s">
        <v>26</v>
      </c>
      <c r="H37" s="2" t="s">
        <v>27</v>
      </c>
      <c r="I37" s="2" t="s">
        <v>28</v>
      </c>
      <c r="J37" s="6"/>
      <c r="K37" s="2" t="s">
        <v>55</v>
      </c>
      <c r="L37" s="2" t="s">
        <v>56</v>
      </c>
      <c r="M37" s="2" t="s">
        <v>55</v>
      </c>
      <c r="N37" s="2"/>
      <c r="O37" s="2"/>
      <c r="P37" s="7">
        <v>45.347278495037301</v>
      </c>
      <c r="Q37" s="6" t="s">
        <v>57</v>
      </c>
      <c r="R37" s="9">
        <v>0</v>
      </c>
      <c r="S37" s="2"/>
      <c r="T37" s="9">
        <v>0</v>
      </c>
      <c r="U37" s="9">
        <v>0</v>
      </c>
      <c r="V37" s="9">
        <v>0</v>
      </c>
      <c r="W37" s="9">
        <v>29429</v>
      </c>
      <c r="X37" s="9">
        <v>29312</v>
      </c>
      <c r="Y37" s="9">
        <v>15193</v>
      </c>
      <c r="Z37" s="9">
        <v>13891</v>
      </c>
      <c r="AA37" s="9">
        <v>19226</v>
      </c>
      <c r="AB37" s="9">
        <v>0</v>
      </c>
      <c r="AC37" s="9">
        <v>0</v>
      </c>
      <c r="AD37" s="9">
        <v>0</v>
      </c>
      <c r="AE37" s="6" t="s">
        <v>57</v>
      </c>
      <c r="AF37" s="6" t="s">
        <v>57</v>
      </c>
      <c r="AG37" s="6" t="s">
        <v>57</v>
      </c>
      <c r="AH37" s="6" t="s">
        <v>57</v>
      </c>
      <c r="AI37" s="6" t="s">
        <v>57</v>
      </c>
      <c r="AJ37" s="6" t="s">
        <v>57</v>
      </c>
      <c r="AK37" s="6" t="s">
        <v>57</v>
      </c>
      <c r="AL37" s="6" t="s">
        <v>57</v>
      </c>
      <c r="AM37" s="6" t="s">
        <v>57</v>
      </c>
      <c r="AN37" s="6" t="s">
        <v>57</v>
      </c>
      <c r="AO37" s="6" t="s">
        <v>57</v>
      </c>
      <c r="AP37" s="6" t="s">
        <v>57</v>
      </c>
      <c r="AQ37" s="9">
        <v>0</v>
      </c>
    </row>
    <row r="38" spans="1:43" ht="15">
      <c r="A38" s="2" t="s">
        <v>146</v>
      </c>
      <c r="B38" s="5">
        <v>29517593</v>
      </c>
      <c r="C38" s="2" t="s">
        <v>23</v>
      </c>
      <c r="D38" s="2" t="s">
        <v>147</v>
      </c>
      <c r="E38" s="2" t="s">
        <v>148</v>
      </c>
      <c r="F38" s="2" t="s">
        <v>26</v>
      </c>
      <c r="G38" s="2" t="s">
        <v>26</v>
      </c>
      <c r="H38" s="2" t="s">
        <v>27</v>
      </c>
      <c r="I38" s="2" t="s">
        <v>28</v>
      </c>
      <c r="J38" s="6"/>
      <c r="K38" s="2" t="s">
        <v>55</v>
      </c>
      <c r="L38" s="2" t="s">
        <v>56</v>
      </c>
      <c r="M38" s="2" t="s">
        <v>55</v>
      </c>
      <c r="N38" s="2"/>
      <c r="O38" s="2"/>
      <c r="P38" s="6" t="s">
        <v>57</v>
      </c>
      <c r="Q38" s="6" t="s">
        <v>57</v>
      </c>
      <c r="R38" s="9">
        <v>0</v>
      </c>
      <c r="S38" s="2"/>
      <c r="T38" s="9">
        <v>0</v>
      </c>
      <c r="U38" s="9">
        <v>0</v>
      </c>
      <c r="V38" s="9">
        <v>0</v>
      </c>
      <c r="W38" s="9">
        <v>331</v>
      </c>
      <c r="X38" s="9">
        <v>329</v>
      </c>
      <c r="Y38" s="9">
        <v>274</v>
      </c>
      <c r="Z38" s="9">
        <v>188</v>
      </c>
      <c r="AA38" s="9">
        <v>497</v>
      </c>
      <c r="AB38" s="9">
        <v>0</v>
      </c>
      <c r="AC38" s="9">
        <v>0</v>
      </c>
      <c r="AD38" s="9">
        <v>0</v>
      </c>
      <c r="AE38" s="6" t="s">
        <v>57</v>
      </c>
      <c r="AF38" s="6" t="s">
        <v>57</v>
      </c>
      <c r="AG38" s="6" t="s">
        <v>57</v>
      </c>
      <c r="AH38" s="6" t="s">
        <v>57</v>
      </c>
      <c r="AI38" s="6" t="s">
        <v>57</v>
      </c>
      <c r="AJ38" s="6" t="s">
        <v>57</v>
      </c>
      <c r="AK38" s="6" t="s">
        <v>57</v>
      </c>
      <c r="AL38" s="6" t="s">
        <v>57</v>
      </c>
      <c r="AM38" s="6" t="s">
        <v>57</v>
      </c>
      <c r="AN38" s="6" t="s">
        <v>57</v>
      </c>
      <c r="AO38" s="6" t="s">
        <v>57</v>
      </c>
      <c r="AP38" s="6" t="s">
        <v>57</v>
      </c>
      <c r="AQ38" s="9">
        <v>0</v>
      </c>
    </row>
    <row r="39" spans="1:43" ht="15">
      <c r="A39" s="2" t="s">
        <v>149</v>
      </c>
      <c r="B39" s="5">
        <v>29523112</v>
      </c>
      <c r="C39" s="2" t="s">
        <v>23</v>
      </c>
      <c r="D39" s="2" t="s">
        <v>147</v>
      </c>
      <c r="E39" s="2" t="s">
        <v>150</v>
      </c>
      <c r="F39" s="2" t="s">
        <v>26</v>
      </c>
      <c r="G39" s="2" t="s">
        <v>26</v>
      </c>
      <c r="H39" s="2" t="s">
        <v>27</v>
      </c>
      <c r="I39" s="2" t="s">
        <v>28</v>
      </c>
      <c r="J39" s="6"/>
      <c r="K39" s="2" t="s">
        <v>55</v>
      </c>
      <c r="L39" s="2" t="s">
        <v>56</v>
      </c>
      <c r="M39" s="2" t="s">
        <v>55</v>
      </c>
      <c r="N39" s="2"/>
      <c r="O39" s="2"/>
      <c r="P39" s="6" t="s">
        <v>57</v>
      </c>
      <c r="Q39" s="6" t="s">
        <v>57</v>
      </c>
      <c r="R39" s="9">
        <v>0</v>
      </c>
      <c r="S39" s="2"/>
      <c r="T39" s="9">
        <v>0</v>
      </c>
      <c r="U39" s="9">
        <v>0</v>
      </c>
      <c r="V39" s="9">
        <v>0</v>
      </c>
      <c r="W39" s="9">
        <v>0</v>
      </c>
      <c r="X39" s="9">
        <v>0</v>
      </c>
      <c r="Y39" s="9">
        <v>0</v>
      </c>
      <c r="Z39" s="9">
        <v>0</v>
      </c>
      <c r="AA39" s="9">
        <v>0</v>
      </c>
      <c r="AB39" s="9">
        <v>0</v>
      </c>
      <c r="AC39" s="9">
        <v>0</v>
      </c>
      <c r="AD39" s="9">
        <v>0</v>
      </c>
      <c r="AE39" s="6" t="s">
        <v>57</v>
      </c>
      <c r="AF39" s="6" t="s">
        <v>57</v>
      </c>
      <c r="AG39" s="6" t="s">
        <v>57</v>
      </c>
      <c r="AH39" s="6" t="s">
        <v>57</v>
      </c>
      <c r="AI39" s="6" t="s">
        <v>57</v>
      </c>
      <c r="AJ39" s="6" t="s">
        <v>57</v>
      </c>
      <c r="AK39" s="6" t="s">
        <v>57</v>
      </c>
      <c r="AL39" s="6" t="s">
        <v>57</v>
      </c>
      <c r="AM39" s="6" t="s">
        <v>57</v>
      </c>
      <c r="AN39" s="6" t="s">
        <v>57</v>
      </c>
      <c r="AO39" s="6" t="s">
        <v>57</v>
      </c>
      <c r="AP39" s="6" t="s">
        <v>57</v>
      </c>
      <c r="AQ39" s="9">
        <v>0</v>
      </c>
    </row>
    <row r="40" spans="1:43" ht="15">
      <c r="A40" s="2" t="s">
        <v>151</v>
      </c>
      <c r="B40" s="5">
        <v>117681019</v>
      </c>
      <c r="C40" s="2" t="s">
        <v>23</v>
      </c>
      <c r="D40" s="2" t="s">
        <v>152</v>
      </c>
      <c r="E40" s="2" t="s">
        <v>153</v>
      </c>
      <c r="F40" s="2" t="s">
        <v>26</v>
      </c>
      <c r="G40" s="2" t="s">
        <v>26</v>
      </c>
      <c r="H40" s="2" t="s">
        <v>27</v>
      </c>
      <c r="I40" s="2" t="s">
        <v>28</v>
      </c>
      <c r="J40" s="6"/>
      <c r="K40" s="2" t="s">
        <v>55</v>
      </c>
      <c r="L40" s="2" t="s">
        <v>56</v>
      </c>
      <c r="M40" s="2" t="s">
        <v>55</v>
      </c>
      <c r="N40" s="2"/>
      <c r="O40" s="2"/>
      <c r="P40" s="6" t="s">
        <v>57</v>
      </c>
      <c r="Q40" s="6" t="s">
        <v>57</v>
      </c>
      <c r="R40" s="9">
        <v>0</v>
      </c>
      <c r="S40" s="2"/>
      <c r="T40" s="9">
        <v>0</v>
      </c>
      <c r="U40" s="9">
        <v>0</v>
      </c>
      <c r="V40" s="9">
        <v>0</v>
      </c>
      <c r="W40" s="9">
        <v>0</v>
      </c>
      <c r="X40" s="9">
        <v>0</v>
      </c>
      <c r="Y40" s="9">
        <v>0</v>
      </c>
      <c r="Z40" s="9">
        <v>91</v>
      </c>
      <c r="AA40" s="9">
        <v>91</v>
      </c>
      <c r="AB40" s="9">
        <v>0</v>
      </c>
      <c r="AC40" s="9">
        <v>0</v>
      </c>
      <c r="AD40" s="9">
        <v>0</v>
      </c>
      <c r="AE40" s="6" t="s">
        <v>57</v>
      </c>
      <c r="AF40" s="6" t="s">
        <v>57</v>
      </c>
      <c r="AG40" s="6" t="s">
        <v>57</v>
      </c>
      <c r="AH40" s="6" t="s">
        <v>57</v>
      </c>
      <c r="AI40" s="6" t="s">
        <v>57</v>
      </c>
      <c r="AJ40" s="6" t="s">
        <v>57</v>
      </c>
      <c r="AK40" s="6" t="s">
        <v>57</v>
      </c>
      <c r="AL40" s="6" t="s">
        <v>57</v>
      </c>
      <c r="AM40" s="6" t="s">
        <v>57</v>
      </c>
      <c r="AN40" s="6" t="s">
        <v>57</v>
      </c>
      <c r="AO40" s="6" t="s">
        <v>57</v>
      </c>
      <c r="AP40" s="6" t="s">
        <v>57</v>
      </c>
      <c r="AQ40" s="9">
        <v>0</v>
      </c>
    </row>
    <row r="41" spans="1:43" ht="15">
      <c r="A41" s="2" t="s">
        <v>154</v>
      </c>
      <c r="B41" s="5">
        <v>122970326</v>
      </c>
      <c r="C41" s="2" t="s">
        <v>23</v>
      </c>
      <c r="D41" s="2" t="s">
        <v>155</v>
      </c>
      <c r="E41" s="2" t="s">
        <v>156</v>
      </c>
      <c r="F41" s="2" t="s">
        <v>26</v>
      </c>
      <c r="G41" s="2" t="s">
        <v>26</v>
      </c>
      <c r="H41" s="2" t="s">
        <v>27</v>
      </c>
      <c r="I41" s="2" t="s">
        <v>28</v>
      </c>
      <c r="J41" s="6"/>
      <c r="K41" s="2" t="s">
        <v>55</v>
      </c>
      <c r="L41" s="2" t="s">
        <v>56</v>
      </c>
      <c r="M41" s="2" t="s">
        <v>55</v>
      </c>
      <c r="N41" s="2"/>
      <c r="O41" s="2"/>
      <c r="P41" s="6" t="s">
        <v>57</v>
      </c>
      <c r="Q41" s="6" t="s">
        <v>57</v>
      </c>
      <c r="R41" s="9">
        <v>0</v>
      </c>
      <c r="S41" s="2"/>
      <c r="T41" s="9">
        <v>0</v>
      </c>
      <c r="U41" s="9">
        <v>0</v>
      </c>
      <c r="V41" s="9">
        <v>0</v>
      </c>
      <c r="W41" s="9">
        <v>0</v>
      </c>
      <c r="X41" s="9">
        <v>0</v>
      </c>
      <c r="Y41" s="9">
        <v>0</v>
      </c>
      <c r="Z41" s="9">
        <v>0</v>
      </c>
      <c r="AA41" s="9">
        <v>0</v>
      </c>
      <c r="AB41" s="9">
        <v>0</v>
      </c>
      <c r="AC41" s="9">
        <v>0</v>
      </c>
      <c r="AD41" s="9">
        <v>0</v>
      </c>
      <c r="AE41" s="6" t="s">
        <v>57</v>
      </c>
      <c r="AF41" s="6" t="s">
        <v>57</v>
      </c>
      <c r="AG41" s="6" t="s">
        <v>57</v>
      </c>
      <c r="AH41" s="6" t="s">
        <v>57</v>
      </c>
      <c r="AI41" s="6" t="s">
        <v>57</v>
      </c>
      <c r="AJ41" s="6" t="s">
        <v>57</v>
      </c>
      <c r="AK41" s="6" t="s">
        <v>57</v>
      </c>
      <c r="AL41" s="6" t="s">
        <v>57</v>
      </c>
      <c r="AM41" s="6" t="s">
        <v>57</v>
      </c>
      <c r="AN41" s="6" t="s">
        <v>57</v>
      </c>
      <c r="AO41" s="6" t="s">
        <v>57</v>
      </c>
      <c r="AP41" s="6" t="s">
        <v>57</v>
      </c>
      <c r="AQ41" s="9">
        <v>0</v>
      </c>
    </row>
    <row r="42" spans="1:43" ht="15">
      <c r="A42" s="2" t="s">
        <v>157</v>
      </c>
      <c r="B42" s="5">
        <v>138697995</v>
      </c>
      <c r="C42" s="2" t="s">
        <v>23</v>
      </c>
      <c r="D42" s="2" t="s">
        <v>158</v>
      </c>
      <c r="E42" s="2" t="s">
        <v>159</v>
      </c>
      <c r="F42" s="2" t="s">
        <v>26</v>
      </c>
      <c r="G42" s="2"/>
      <c r="H42" s="2"/>
      <c r="I42" s="2" t="s">
        <v>28</v>
      </c>
      <c r="J42" s="6"/>
      <c r="K42" s="2" t="s">
        <v>55</v>
      </c>
      <c r="L42" s="2" t="s">
        <v>56</v>
      </c>
      <c r="M42" s="2" t="s">
        <v>55</v>
      </c>
      <c r="N42" s="2"/>
      <c r="O42" s="2"/>
      <c r="P42" s="6" t="s">
        <v>57</v>
      </c>
      <c r="Q42" s="6" t="s">
        <v>57</v>
      </c>
      <c r="R42" s="9">
        <v>0</v>
      </c>
      <c r="S42" s="2"/>
      <c r="T42" s="9">
        <v>0</v>
      </c>
      <c r="U42" s="9">
        <v>0</v>
      </c>
      <c r="V42" s="9">
        <v>0</v>
      </c>
      <c r="W42" s="9">
        <v>0</v>
      </c>
      <c r="X42" s="9">
        <v>0</v>
      </c>
      <c r="Y42" s="9">
        <v>0</v>
      </c>
      <c r="Z42" s="9">
        <v>0</v>
      </c>
      <c r="AA42" s="9">
        <v>0</v>
      </c>
      <c r="AB42" s="9">
        <v>0</v>
      </c>
      <c r="AC42" s="9">
        <v>0</v>
      </c>
      <c r="AD42" s="9">
        <v>0</v>
      </c>
      <c r="AE42" s="6" t="s">
        <v>57</v>
      </c>
      <c r="AF42" s="6" t="s">
        <v>57</v>
      </c>
      <c r="AG42" s="6" t="s">
        <v>57</v>
      </c>
      <c r="AH42" s="6" t="s">
        <v>57</v>
      </c>
      <c r="AI42" s="6" t="s">
        <v>57</v>
      </c>
      <c r="AJ42" s="6" t="s">
        <v>57</v>
      </c>
      <c r="AK42" s="6" t="s">
        <v>57</v>
      </c>
      <c r="AL42" s="6" t="s">
        <v>57</v>
      </c>
      <c r="AM42" s="6" t="s">
        <v>57</v>
      </c>
      <c r="AN42" s="6" t="s">
        <v>57</v>
      </c>
      <c r="AO42" s="6" t="s">
        <v>57</v>
      </c>
      <c r="AP42" s="6" t="s">
        <v>57</v>
      </c>
      <c r="AQ42" s="9">
        <v>0</v>
      </c>
    </row>
    <row r="43" spans="1:43" ht="15">
      <c r="A43" s="2" t="s">
        <v>160</v>
      </c>
      <c r="B43" s="5">
        <v>14743974</v>
      </c>
      <c r="C43" s="2" t="s">
        <v>23</v>
      </c>
      <c r="D43" s="2" t="s">
        <v>161</v>
      </c>
      <c r="E43" s="2" t="s">
        <v>162</v>
      </c>
      <c r="F43" s="2" t="s">
        <v>26</v>
      </c>
      <c r="G43" s="2" t="s">
        <v>26</v>
      </c>
      <c r="H43" s="2" t="s">
        <v>27</v>
      </c>
      <c r="I43" s="2" t="s">
        <v>28</v>
      </c>
      <c r="J43" s="6"/>
      <c r="K43" s="2" t="s">
        <v>55</v>
      </c>
      <c r="L43" s="2" t="s">
        <v>56</v>
      </c>
      <c r="M43" s="2" t="s">
        <v>55</v>
      </c>
      <c r="N43" s="2"/>
      <c r="O43" s="2"/>
      <c r="P43" s="7">
        <v>8.2140330156464199</v>
      </c>
      <c r="Q43" s="6" t="s">
        <v>57</v>
      </c>
      <c r="R43" s="9">
        <v>0</v>
      </c>
      <c r="S43" s="2"/>
      <c r="T43" s="9">
        <v>0</v>
      </c>
      <c r="U43" s="9">
        <v>15</v>
      </c>
      <c r="V43" s="9">
        <v>6</v>
      </c>
      <c r="W43" s="9">
        <v>1</v>
      </c>
      <c r="X43" s="9">
        <v>1</v>
      </c>
      <c r="Y43" s="9">
        <v>14</v>
      </c>
      <c r="Z43" s="9">
        <v>16</v>
      </c>
      <c r="AA43" s="9">
        <v>24</v>
      </c>
      <c r="AB43" s="9">
        <v>17</v>
      </c>
      <c r="AC43" s="9">
        <v>6</v>
      </c>
      <c r="AD43" s="9">
        <v>3</v>
      </c>
      <c r="AE43" s="6" t="s">
        <v>57</v>
      </c>
      <c r="AF43" s="6" t="s">
        <v>57</v>
      </c>
      <c r="AG43" s="6" t="s">
        <v>57</v>
      </c>
      <c r="AH43" s="6" t="s">
        <v>57</v>
      </c>
      <c r="AI43" s="6" t="s">
        <v>57</v>
      </c>
      <c r="AJ43" s="6" t="s">
        <v>57</v>
      </c>
      <c r="AK43" s="6" t="s">
        <v>57</v>
      </c>
      <c r="AL43" s="6" t="s">
        <v>57</v>
      </c>
      <c r="AM43" s="6" t="s">
        <v>57</v>
      </c>
      <c r="AN43" s="6" t="s">
        <v>57</v>
      </c>
      <c r="AO43" s="6" t="s">
        <v>57</v>
      </c>
      <c r="AP43" s="6" t="s">
        <v>57</v>
      </c>
      <c r="AQ43" s="9">
        <v>0</v>
      </c>
    </row>
    <row r="44" spans="1:43" ht="15">
      <c r="A44" s="2" t="s">
        <v>163</v>
      </c>
      <c r="B44" s="5">
        <v>136353367</v>
      </c>
      <c r="C44" s="2" t="s">
        <v>23</v>
      </c>
      <c r="D44" s="2" t="s">
        <v>164</v>
      </c>
      <c r="E44" s="2" t="s">
        <v>165</v>
      </c>
      <c r="F44" s="2" t="s">
        <v>26</v>
      </c>
      <c r="G44" s="2"/>
      <c r="H44" s="2"/>
      <c r="I44" s="2" t="s">
        <v>28</v>
      </c>
      <c r="J44" s="6"/>
      <c r="K44" s="2" t="s">
        <v>55</v>
      </c>
      <c r="L44" s="2" t="s">
        <v>56</v>
      </c>
      <c r="M44" s="2" t="s">
        <v>55</v>
      </c>
      <c r="N44" s="2"/>
      <c r="O44" s="2"/>
      <c r="P44" s="6" t="s">
        <v>57</v>
      </c>
      <c r="Q44" s="6" t="s">
        <v>57</v>
      </c>
      <c r="R44" s="6" t="s">
        <v>57</v>
      </c>
      <c r="S44" s="2"/>
      <c r="T44" s="6" t="s">
        <v>57</v>
      </c>
      <c r="U44" s="6" t="s">
        <v>57</v>
      </c>
      <c r="V44" s="6" t="s">
        <v>57</v>
      </c>
      <c r="W44" s="6" t="s">
        <v>57</v>
      </c>
      <c r="X44" s="6" t="s">
        <v>57</v>
      </c>
      <c r="Y44" s="6" t="s">
        <v>57</v>
      </c>
      <c r="Z44" s="6" t="s">
        <v>57</v>
      </c>
      <c r="AA44" s="6" t="s">
        <v>57</v>
      </c>
      <c r="AB44" s="6" t="s">
        <v>57</v>
      </c>
      <c r="AC44" s="6" t="s">
        <v>57</v>
      </c>
      <c r="AD44" s="6" t="s">
        <v>57</v>
      </c>
      <c r="AE44" s="6" t="s">
        <v>57</v>
      </c>
      <c r="AF44" s="6" t="s">
        <v>57</v>
      </c>
      <c r="AG44" s="6" t="s">
        <v>57</v>
      </c>
      <c r="AH44" s="6" t="s">
        <v>57</v>
      </c>
      <c r="AI44" s="6" t="s">
        <v>57</v>
      </c>
      <c r="AJ44" s="6" t="s">
        <v>57</v>
      </c>
      <c r="AK44" s="6" t="s">
        <v>57</v>
      </c>
      <c r="AL44" s="6" t="s">
        <v>57</v>
      </c>
      <c r="AM44" s="6" t="s">
        <v>57</v>
      </c>
      <c r="AN44" s="6" t="s">
        <v>57</v>
      </c>
      <c r="AO44" s="6" t="s">
        <v>57</v>
      </c>
      <c r="AP44" s="6" t="s">
        <v>57</v>
      </c>
      <c r="AQ44" s="6" t="s">
        <v>57</v>
      </c>
    </row>
    <row r="45" spans="1:43" ht="15">
      <c r="A45" s="2" t="s">
        <v>166</v>
      </c>
      <c r="B45" s="5">
        <v>7717196</v>
      </c>
      <c r="C45" s="2" t="s">
        <v>23</v>
      </c>
      <c r="D45" s="2" t="s">
        <v>167</v>
      </c>
      <c r="E45" s="2" t="s">
        <v>168</v>
      </c>
      <c r="F45" s="2" t="s">
        <v>26</v>
      </c>
      <c r="G45" s="2" t="s">
        <v>26</v>
      </c>
      <c r="H45" s="2" t="s">
        <v>27</v>
      </c>
      <c r="I45" s="2" t="s">
        <v>28</v>
      </c>
      <c r="J45" s="6"/>
      <c r="K45" s="2" t="s">
        <v>55</v>
      </c>
      <c r="L45" s="2" t="s">
        <v>56</v>
      </c>
      <c r="M45" s="2" t="s">
        <v>55</v>
      </c>
      <c r="N45" s="2"/>
      <c r="O45" s="2"/>
      <c r="P45" s="7">
        <v>22.381218456097599</v>
      </c>
      <c r="Q45" s="6" t="s">
        <v>57</v>
      </c>
      <c r="R45" s="9">
        <v>0</v>
      </c>
      <c r="S45" s="2"/>
      <c r="T45" s="9">
        <v>0</v>
      </c>
      <c r="U45" s="9">
        <v>0</v>
      </c>
      <c r="V45" s="9">
        <v>0</v>
      </c>
      <c r="W45" s="9">
        <v>0</v>
      </c>
      <c r="X45" s="9">
        <v>0</v>
      </c>
      <c r="Y45" s="9">
        <v>0</v>
      </c>
      <c r="Z45" s="9">
        <v>314</v>
      </c>
      <c r="AA45" s="9">
        <v>1534</v>
      </c>
      <c r="AB45" s="9">
        <v>0</v>
      </c>
      <c r="AC45" s="9">
        <v>0</v>
      </c>
      <c r="AD45" s="9">
        <v>0</v>
      </c>
      <c r="AE45" s="6" t="s">
        <v>57</v>
      </c>
      <c r="AF45" s="6" t="s">
        <v>57</v>
      </c>
      <c r="AG45" s="6" t="s">
        <v>57</v>
      </c>
      <c r="AH45" s="6" t="s">
        <v>57</v>
      </c>
      <c r="AI45" s="6" t="s">
        <v>57</v>
      </c>
      <c r="AJ45" s="6" t="s">
        <v>57</v>
      </c>
      <c r="AK45" s="6" t="s">
        <v>57</v>
      </c>
      <c r="AL45" s="6" t="s">
        <v>57</v>
      </c>
      <c r="AM45" s="6" t="s">
        <v>57</v>
      </c>
      <c r="AN45" s="6" t="s">
        <v>57</v>
      </c>
      <c r="AO45" s="6" t="s">
        <v>57</v>
      </c>
      <c r="AP45" s="6" t="s">
        <v>57</v>
      </c>
      <c r="AQ45" s="9">
        <v>0</v>
      </c>
    </row>
    <row r="46" spans="1:43" ht="15">
      <c r="A46" s="2" t="s">
        <v>169</v>
      </c>
      <c r="B46" s="5">
        <v>13574760</v>
      </c>
      <c r="C46" s="2" t="s">
        <v>23</v>
      </c>
      <c r="D46" s="2" t="s">
        <v>170</v>
      </c>
      <c r="E46" s="2" t="s">
        <v>171</v>
      </c>
      <c r="F46" s="2" t="s">
        <v>26</v>
      </c>
      <c r="G46" s="2" t="s">
        <v>26</v>
      </c>
      <c r="H46" s="2" t="s">
        <v>27</v>
      </c>
      <c r="I46" s="2" t="s">
        <v>28</v>
      </c>
      <c r="J46" s="6"/>
      <c r="K46" s="2" t="s">
        <v>55</v>
      </c>
      <c r="L46" s="2" t="s">
        <v>56</v>
      </c>
      <c r="M46" s="2" t="s">
        <v>55</v>
      </c>
      <c r="N46" s="2"/>
      <c r="O46" s="2"/>
      <c r="P46" s="7">
        <v>2.1548206993600001</v>
      </c>
      <c r="Q46" s="6" t="s">
        <v>57</v>
      </c>
      <c r="R46" s="9">
        <v>0</v>
      </c>
      <c r="S46" s="2"/>
      <c r="T46" s="9">
        <v>0</v>
      </c>
      <c r="U46" s="9">
        <v>0</v>
      </c>
      <c r="V46" s="9">
        <v>0</v>
      </c>
      <c r="W46" s="9">
        <v>0</v>
      </c>
      <c r="X46" s="9">
        <v>0</v>
      </c>
      <c r="Y46" s="9">
        <v>16</v>
      </c>
      <c r="Z46" s="9">
        <v>21</v>
      </c>
      <c r="AA46" s="9">
        <v>21</v>
      </c>
      <c r="AB46" s="9">
        <v>0</v>
      </c>
      <c r="AC46" s="9">
        <v>0</v>
      </c>
      <c r="AD46" s="9">
        <v>0</v>
      </c>
      <c r="AE46" s="6" t="s">
        <v>57</v>
      </c>
      <c r="AF46" s="6" t="s">
        <v>57</v>
      </c>
      <c r="AG46" s="6" t="s">
        <v>57</v>
      </c>
      <c r="AH46" s="6" t="s">
        <v>57</v>
      </c>
      <c r="AI46" s="6" t="s">
        <v>57</v>
      </c>
      <c r="AJ46" s="6" t="s">
        <v>57</v>
      </c>
      <c r="AK46" s="6" t="s">
        <v>57</v>
      </c>
      <c r="AL46" s="6" t="s">
        <v>57</v>
      </c>
      <c r="AM46" s="6" t="s">
        <v>57</v>
      </c>
      <c r="AN46" s="6" t="s">
        <v>57</v>
      </c>
      <c r="AO46" s="6" t="s">
        <v>57</v>
      </c>
      <c r="AP46" s="6" t="s">
        <v>57</v>
      </c>
      <c r="AQ46" s="9">
        <v>0</v>
      </c>
    </row>
    <row r="47" spans="1:43" ht="15">
      <c r="A47" s="2" t="s">
        <v>172</v>
      </c>
      <c r="B47" s="5">
        <v>29741925</v>
      </c>
      <c r="C47" s="2" t="s">
        <v>23</v>
      </c>
      <c r="D47" s="2" t="s">
        <v>173</v>
      </c>
      <c r="E47" s="2" t="s">
        <v>174</v>
      </c>
      <c r="F47" s="2" t="s">
        <v>26</v>
      </c>
      <c r="G47" s="2" t="s">
        <v>26</v>
      </c>
      <c r="H47" s="2" t="s">
        <v>27</v>
      </c>
      <c r="I47" s="2" t="s">
        <v>28</v>
      </c>
      <c r="J47" s="6"/>
      <c r="K47" s="2" t="s">
        <v>55</v>
      </c>
      <c r="L47" s="2" t="s">
        <v>56</v>
      </c>
      <c r="M47" s="2" t="s">
        <v>55</v>
      </c>
      <c r="N47" s="2"/>
      <c r="O47" s="2"/>
      <c r="P47" s="6" t="s">
        <v>57</v>
      </c>
      <c r="Q47" s="6" t="s">
        <v>57</v>
      </c>
      <c r="R47" s="9">
        <v>0</v>
      </c>
      <c r="S47" s="2"/>
      <c r="T47" s="9">
        <v>0</v>
      </c>
      <c r="U47" s="9">
        <v>0</v>
      </c>
      <c r="V47" s="9">
        <v>0</v>
      </c>
      <c r="W47" s="9">
        <v>66</v>
      </c>
      <c r="X47" s="9">
        <v>65</v>
      </c>
      <c r="Y47" s="9">
        <v>45</v>
      </c>
      <c r="Z47" s="9">
        <v>55</v>
      </c>
      <c r="AA47" s="9">
        <v>58</v>
      </c>
      <c r="AB47" s="9">
        <v>0</v>
      </c>
      <c r="AC47" s="9">
        <v>0</v>
      </c>
      <c r="AD47" s="9">
        <v>35</v>
      </c>
      <c r="AE47" s="6" t="s">
        <v>57</v>
      </c>
      <c r="AF47" s="6" t="s">
        <v>57</v>
      </c>
      <c r="AG47" s="6" t="s">
        <v>57</v>
      </c>
      <c r="AH47" s="6" t="s">
        <v>57</v>
      </c>
      <c r="AI47" s="6" t="s">
        <v>57</v>
      </c>
      <c r="AJ47" s="6" t="s">
        <v>57</v>
      </c>
      <c r="AK47" s="6" t="s">
        <v>57</v>
      </c>
      <c r="AL47" s="6" t="s">
        <v>57</v>
      </c>
      <c r="AM47" s="6" t="s">
        <v>57</v>
      </c>
      <c r="AN47" s="6" t="s">
        <v>57</v>
      </c>
      <c r="AO47" s="6" t="s">
        <v>57</v>
      </c>
      <c r="AP47" s="6" t="s">
        <v>57</v>
      </c>
      <c r="AQ47" s="9">
        <v>0</v>
      </c>
    </row>
    <row r="48" spans="1:43" ht="15">
      <c r="A48" s="2" t="s">
        <v>175</v>
      </c>
      <c r="B48" s="5">
        <v>22225561</v>
      </c>
      <c r="C48" s="2" t="s">
        <v>23</v>
      </c>
      <c r="D48" s="2" t="s">
        <v>176</v>
      </c>
      <c r="E48" s="2" t="s">
        <v>177</v>
      </c>
      <c r="F48" s="2" t="s">
        <v>26</v>
      </c>
      <c r="G48" s="2" t="s">
        <v>26</v>
      </c>
      <c r="H48" s="2" t="s">
        <v>27</v>
      </c>
      <c r="I48" s="2" t="s">
        <v>28</v>
      </c>
      <c r="J48" s="6"/>
      <c r="K48" s="2" t="s">
        <v>55</v>
      </c>
      <c r="L48" s="2" t="s">
        <v>56</v>
      </c>
      <c r="M48" s="2" t="s">
        <v>55</v>
      </c>
      <c r="N48" s="2"/>
      <c r="O48" s="2"/>
      <c r="P48" s="6" t="s">
        <v>57</v>
      </c>
      <c r="Q48" s="6" t="s">
        <v>57</v>
      </c>
      <c r="R48" s="9">
        <v>0</v>
      </c>
      <c r="S48" s="2"/>
      <c r="T48" s="9">
        <v>0</v>
      </c>
      <c r="U48" s="9">
        <v>0</v>
      </c>
      <c r="V48" s="9">
        <v>0</v>
      </c>
      <c r="W48" s="9">
        <v>45</v>
      </c>
      <c r="X48" s="9">
        <v>44</v>
      </c>
      <c r="Y48" s="9">
        <v>476</v>
      </c>
      <c r="Z48" s="9">
        <v>424</v>
      </c>
      <c r="AA48" s="9">
        <v>424</v>
      </c>
      <c r="AB48" s="9">
        <v>0</v>
      </c>
      <c r="AC48" s="9">
        <v>0</v>
      </c>
      <c r="AD48" s="9">
        <v>0</v>
      </c>
      <c r="AE48" s="6" t="s">
        <v>57</v>
      </c>
      <c r="AF48" s="6" t="s">
        <v>57</v>
      </c>
      <c r="AG48" s="6" t="s">
        <v>57</v>
      </c>
      <c r="AH48" s="6" t="s">
        <v>57</v>
      </c>
      <c r="AI48" s="6" t="s">
        <v>57</v>
      </c>
      <c r="AJ48" s="6" t="s">
        <v>57</v>
      </c>
      <c r="AK48" s="6" t="s">
        <v>57</v>
      </c>
      <c r="AL48" s="6" t="s">
        <v>57</v>
      </c>
      <c r="AM48" s="6" t="s">
        <v>57</v>
      </c>
      <c r="AN48" s="6" t="s">
        <v>57</v>
      </c>
      <c r="AO48" s="6" t="s">
        <v>57</v>
      </c>
      <c r="AP48" s="6" t="s">
        <v>57</v>
      </c>
      <c r="AQ48" s="9">
        <v>0</v>
      </c>
    </row>
    <row r="49" spans="1:43" ht="15">
      <c r="A49" s="2" t="s">
        <v>178</v>
      </c>
      <c r="B49" s="5">
        <v>4360278</v>
      </c>
      <c r="C49" s="2" t="s">
        <v>46</v>
      </c>
      <c r="D49" s="2" t="s">
        <v>179</v>
      </c>
      <c r="E49" s="2" t="s">
        <v>180</v>
      </c>
      <c r="F49" s="2" t="s">
        <v>49</v>
      </c>
      <c r="G49" s="2" t="s">
        <v>49</v>
      </c>
      <c r="H49" s="2" t="s">
        <v>50</v>
      </c>
      <c r="I49" s="2" t="s">
        <v>28</v>
      </c>
      <c r="J49" s="6"/>
      <c r="K49" s="2" t="s">
        <v>181</v>
      </c>
      <c r="L49" s="2" t="s">
        <v>182</v>
      </c>
      <c r="M49" s="2" t="s">
        <v>183</v>
      </c>
      <c r="N49" s="2" t="s">
        <v>181</v>
      </c>
      <c r="O49" s="2"/>
      <c r="P49" s="7">
        <v>220.09219271917499</v>
      </c>
      <c r="Q49" s="8">
        <v>633.72538294379001</v>
      </c>
      <c r="R49" s="9">
        <v>27120</v>
      </c>
      <c r="S49" s="2" t="s">
        <v>184</v>
      </c>
      <c r="T49" s="9">
        <v>79139</v>
      </c>
      <c r="U49" s="9">
        <v>457259</v>
      </c>
      <c r="V49" s="9">
        <v>201915</v>
      </c>
      <c r="W49" s="9">
        <v>467072</v>
      </c>
      <c r="X49" s="9">
        <v>465204</v>
      </c>
      <c r="Y49" s="9">
        <v>248772</v>
      </c>
      <c r="Z49" s="9">
        <v>236251</v>
      </c>
      <c r="AA49" s="9">
        <v>353274</v>
      </c>
      <c r="AB49" s="9">
        <v>517225</v>
      </c>
      <c r="AC49" s="9">
        <v>210471</v>
      </c>
      <c r="AD49" s="9">
        <v>167689</v>
      </c>
      <c r="AE49" s="7">
        <v>0.0075897310350276203</v>
      </c>
      <c r="AF49" s="7">
        <v>0.022147490026384001</v>
      </c>
      <c r="AG49" s="7">
        <v>0.127967193710743</v>
      </c>
      <c r="AH49" s="7">
        <v>0.056507350886509197</v>
      </c>
      <c r="AI49" s="7">
        <v>0.13071359000442101</v>
      </c>
      <c r="AJ49" s="7">
        <v>0.13019084758733801</v>
      </c>
      <c r="AK49" s="7">
        <v>0.069620639664906794</v>
      </c>
      <c r="AL49" s="7">
        <v>0.066116500459775504</v>
      </c>
      <c r="AM49" s="7">
        <v>0.098866230395924307</v>
      </c>
      <c r="AN49" s="7">
        <v>0.144749318802296</v>
      </c>
      <c r="AO49" s="7">
        <v>0.058901876946253699</v>
      </c>
      <c r="AP49" s="7">
        <v>0.046929008612473802</v>
      </c>
      <c r="AQ49" s="9">
        <v>53117</v>
      </c>
    </row>
    <row r="50" spans="1:43" ht="15">
      <c r="A50" s="2" t="s">
        <v>185</v>
      </c>
      <c r="B50" s="5">
        <v>4912559</v>
      </c>
      <c r="C50" s="2" t="s">
        <v>46</v>
      </c>
      <c r="D50" s="2" t="s">
        <v>186</v>
      </c>
      <c r="E50" s="2" t="s">
        <v>187</v>
      </c>
      <c r="F50" s="2" t="s">
        <v>49</v>
      </c>
      <c r="G50" s="2" t="s">
        <v>49</v>
      </c>
      <c r="H50" s="2" t="s">
        <v>50</v>
      </c>
      <c r="I50" s="2" t="s">
        <v>40</v>
      </c>
      <c r="J50" s="6"/>
      <c r="K50" s="2" t="s">
        <v>188</v>
      </c>
      <c r="L50" s="2" t="s">
        <v>30</v>
      </c>
      <c r="M50" s="2" t="s">
        <v>189</v>
      </c>
      <c r="N50" s="2" t="s">
        <v>188</v>
      </c>
      <c r="O50" s="2"/>
      <c r="P50" s="7">
        <v>69.794848022160707</v>
      </c>
      <c r="Q50" s="8">
        <v>176.029376023201</v>
      </c>
      <c r="R50" s="9">
        <v>0</v>
      </c>
      <c r="S50" s="2" t="s">
        <v>190</v>
      </c>
      <c r="T50" s="9">
        <v>0</v>
      </c>
      <c r="U50" s="9">
        <v>0</v>
      </c>
      <c r="V50" s="9">
        <v>0</v>
      </c>
      <c r="W50" s="9">
        <v>79</v>
      </c>
      <c r="X50" s="9">
        <v>78</v>
      </c>
      <c r="Y50" s="9">
        <v>159</v>
      </c>
      <c r="Z50" s="9">
        <v>132</v>
      </c>
      <c r="AA50" s="9">
        <v>106</v>
      </c>
      <c r="AB50" s="9">
        <v>0</v>
      </c>
      <c r="AC50" s="9">
        <v>0</v>
      </c>
      <c r="AD50" s="9">
        <v>0</v>
      </c>
      <c r="AE50" s="7">
        <v>0</v>
      </c>
      <c r="AF50" s="7">
        <v>0</v>
      </c>
      <c r="AG50" s="7">
        <v>0</v>
      </c>
      <c r="AH50" s="7">
        <v>0</v>
      </c>
      <c r="AI50" s="7">
        <v>0.000165370837885992</v>
      </c>
      <c r="AJ50" s="7">
        <v>0.00016470935453444799</v>
      </c>
      <c r="AK50" s="7">
        <v>0.00033322014907318903</v>
      </c>
      <c r="AL50" s="7">
        <v>0.000277743043671337</v>
      </c>
      <c r="AM50" s="7">
        <v>0.00022181991181994301</v>
      </c>
      <c r="AN50" s="7">
        <v>0</v>
      </c>
      <c r="AO50" s="7">
        <v>0</v>
      </c>
      <c r="AP50" s="7">
        <v>0</v>
      </c>
      <c r="AQ50" s="9">
        <v>0</v>
      </c>
    </row>
    <row r="51" spans="1:43" ht="15">
      <c r="A51" s="2" t="s">
        <v>191</v>
      </c>
      <c r="B51" s="5">
        <v>4911900</v>
      </c>
      <c r="C51" s="2" t="s">
        <v>46</v>
      </c>
      <c r="D51" s="2" t="s">
        <v>192</v>
      </c>
      <c r="E51" s="2" t="s">
        <v>193</v>
      </c>
      <c r="F51" s="2" t="s">
        <v>49</v>
      </c>
      <c r="G51" s="2" t="s">
        <v>49</v>
      </c>
      <c r="H51" s="2" t="s">
        <v>50</v>
      </c>
      <c r="I51" s="2" t="s">
        <v>40</v>
      </c>
      <c r="J51" s="6"/>
      <c r="K51" s="2" t="s">
        <v>188</v>
      </c>
      <c r="L51" s="2" t="s">
        <v>30</v>
      </c>
      <c r="M51" s="2" t="s">
        <v>189</v>
      </c>
      <c r="N51" s="2" t="s">
        <v>188</v>
      </c>
      <c r="O51" s="2"/>
      <c r="P51" s="7">
        <v>67.334407066392004</v>
      </c>
      <c r="Q51" s="8">
        <v>156.361508375868</v>
      </c>
      <c r="R51" s="9">
        <v>0</v>
      </c>
      <c r="S51" s="2" t="s">
        <v>194</v>
      </c>
      <c r="T51" s="9">
        <v>0</v>
      </c>
      <c r="U51" s="9">
        <v>0</v>
      </c>
      <c r="V51" s="9">
        <v>0</v>
      </c>
      <c r="W51" s="9">
        <v>1</v>
      </c>
      <c r="X51" s="9">
        <v>1</v>
      </c>
      <c r="Y51" s="9">
        <v>0</v>
      </c>
      <c r="Z51" s="9">
        <v>0</v>
      </c>
      <c r="AA51" s="9">
        <v>1</v>
      </c>
      <c r="AB51" s="9">
        <v>0</v>
      </c>
      <c r="AC51" s="9">
        <v>0</v>
      </c>
      <c r="AD51" s="9">
        <v>1</v>
      </c>
      <c r="AE51" s="6" t="s">
        <v>57</v>
      </c>
      <c r="AF51" s="6" t="s">
        <v>57</v>
      </c>
      <c r="AG51" s="6" t="s">
        <v>57</v>
      </c>
      <c r="AH51" s="6" t="s">
        <v>57</v>
      </c>
      <c r="AI51" s="6" t="s">
        <v>57</v>
      </c>
      <c r="AJ51" s="6" t="s">
        <v>57</v>
      </c>
      <c r="AK51" s="6" t="s">
        <v>57</v>
      </c>
      <c r="AL51" s="6" t="s">
        <v>57</v>
      </c>
      <c r="AM51" s="6" t="s">
        <v>57</v>
      </c>
      <c r="AN51" s="6" t="s">
        <v>57</v>
      </c>
      <c r="AO51" s="6" t="s">
        <v>57</v>
      </c>
      <c r="AP51" s="6" t="s">
        <v>57</v>
      </c>
      <c r="AQ51" s="9">
        <v>0</v>
      </c>
    </row>
    <row r="52" spans="1:43" ht="15">
      <c r="A52" s="2" t="s">
        <v>195</v>
      </c>
      <c r="B52" s="5">
        <v>4912829</v>
      </c>
      <c r="C52" s="2" t="s">
        <v>46</v>
      </c>
      <c r="D52" s="2" t="s">
        <v>196</v>
      </c>
      <c r="E52" s="2" t="s">
        <v>197</v>
      </c>
      <c r="F52" s="2" t="s">
        <v>49</v>
      </c>
      <c r="G52" s="2" t="s">
        <v>49</v>
      </c>
      <c r="H52" s="2" t="s">
        <v>50</v>
      </c>
      <c r="I52" s="2" t="s">
        <v>198</v>
      </c>
      <c r="J52" s="6"/>
      <c r="K52" s="2" t="s">
        <v>188</v>
      </c>
      <c r="L52" s="2" t="s">
        <v>30</v>
      </c>
      <c r="M52" s="2" t="s">
        <v>189</v>
      </c>
      <c r="N52" s="2" t="s">
        <v>188</v>
      </c>
      <c r="O52" s="2"/>
      <c r="P52" s="7">
        <v>3.7341432486071202</v>
      </c>
      <c r="Q52" s="6" t="s">
        <v>57</v>
      </c>
      <c r="R52" s="9">
        <v>0</v>
      </c>
      <c r="S52" s="2" t="s">
        <v>199</v>
      </c>
      <c r="T52" s="9">
        <v>0</v>
      </c>
      <c r="U52" s="9">
        <v>203</v>
      </c>
      <c r="V52" s="9">
        <v>459</v>
      </c>
      <c r="W52" s="9">
        <v>119</v>
      </c>
      <c r="X52" s="9">
        <v>119</v>
      </c>
      <c r="Y52" s="9">
        <v>520</v>
      </c>
      <c r="Z52" s="9">
        <v>532</v>
      </c>
      <c r="AA52" s="9">
        <v>644</v>
      </c>
      <c r="AB52" s="9">
        <v>232</v>
      </c>
      <c r="AC52" s="9">
        <v>482</v>
      </c>
      <c r="AD52" s="9">
        <v>240</v>
      </c>
      <c r="AE52" s="6" t="s">
        <v>57</v>
      </c>
      <c r="AF52" s="6" t="s">
        <v>57</v>
      </c>
      <c r="AG52" s="6" t="s">
        <v>57</v>
      </c>
      <c r="AH52" s="6" t="s">
        <v>57</v>
      </c>
      <c r="AI52" s="6" t="s">
        <v>57</v>
      </c>
      <c r="AJ52" s="6" t="s">
        <v>57</v>
      </c>
      <c r="AK52" s="6" t="s">
        <v>57</v>
      </c>
      <c r="AL52" s="6" t="s">
        <v>57</v>
      </c>
      <c r="AM52" s="6" t="s">
        <v>57</v>
      </c>
      <c r="AN52" s="6" t="s">
        <v>57</v>
      </c>
      <c r="AO52" s="6" t="s">
        <v>57</v>
      </c>
      <c r="AP52" s="6" t="s">
        <v>57</v>
      </c>
      <c r="AQ52" s="9">
        <v>0</v>
      </c>
    </row>
    <row r="53" spans="1:43" ht="15">
      <c r="A53" s="2" t="s">
        <v>200</v>
      </c>
      <c r="B53" s="5">
        <v>4913515</v>
      </c>
      <c r="C53" s="2" t="s">
        <v>35</v>
      </c>
      <c r="D53" s="2" t="s">
        <v>201</v>
      </c>
      <c r="E53" s="2" t="s">
        <v>202</v>
      </c>
      <c r="F53" s="2" t="s">
        <v>38</v>
      </c>
      <c r="G53" s="2" t="s">
        <v>38</v>
      </c>
      <c r="H53" s="2" t="s">
        <v>39</v>
      </c>
      <c r="I53" s="2" t="s">
        <v>28</v>
      </c>
      <c r="J53" s="6"/>
      <c r="K53" s="2" t="s">
        <v>188</v>
      </c>
      <c r="L53" s="2" t="s">
        <v>30</v>
      </c>
      <c r="M53" s="2" t="s">
        <v>189</v>
      </c>
      <c r="N53" s="2" t="s">
        <v>188</v>
      </c>
      <c r="O53" s="2"/>
      <c r="P53" s="7">
        <v>8.8330294800000004</v>
      </c>
      <c r="Q53" s="8">
        <v>6.8573670732360004</v>
      </c>
      <c r="R53" s="9">
        <v>0</v>
      </c>
      <c r="S53" s="2" t="s">
        <v>203</v>
      </c>
      <c r="T53" s="9">
        <v>0</v>
      </c>
      <c r="U53" s="9">
        <v>0</v>
      </c>
      <c r="V53" s="9">
        <v>0</v>
      </c>
      <c r="W53" s="9">
        <v>0</v>
      </c>
      <c r="X53" s="9">
        <v>0</v>
      </c>
      <c r="Y53" s="9">
        <v>0</v>
      </c>
      <c r="Z53" s="9">
        <v>0</v>
      </c>
      <c r="AA53" s="9">
        <v>0</v>
      </c>
      <c r="AB53" s="9">
        <v>0</v>
      </c>
      <c r="AC53" s="9">
        <v>0</v>
      </c>
      <c r="AD53" s="9">
        <v>0</v>
      </c>
      <c r="AE53" s="7">
        <v>0</v>
      </c>
      <c r="AF53" s="7">
        <v>0</v>
      </c>
      <c r="AG53" s="7">
        <v>0</v>
      </c>
      <c r="AH53" s="7">
        <v>0</v>
      </c>
      <c r="AI53" s="7">
        <v>0</v>
      </c>
      <c r="AJ53" s="7">
        <v>0</v>
      </c>
      <c r="AK53" s="7">
        <v>0</v>
      </c>
      <c r="AL53" s="7">
        <v>0</v>
      </c>
      <c r="AM53" s="7">
        <v>0</v>
      </c>
      <c r="AN53" s="7">
        <v>0</v>
      </c>
      <c r="AO53" s="7">
        <v>0</v>
      </c>
      <c r="AP53" s="7">
        <v>0</v>
      </c>
      <c r="AQ53" s="9">
        <v>0</v>
      </c>
    </row>
    <row r="54" spans="1:43" ht="15">
      <c r="A54" s="2" t="s">
        <v>204</v>
      </c>
      <c r="B54" s="5">
        <v>4915268</v>
      </c>
      <c r="C54" s="2" t="s">
        <v>46</v>
      </c>
      <c r="D54" s="2" t="s">
        <v>205</v>
      </c>
      <c r="E54" s="2" t="s">
        <v>206</v>
      </c>
      <c r="F54" s="2" t="s">
        <v>49</v>
      </c>
      <c r="G54" s="2" t="s">
        <v>49</v>
      </c>
      <c r="H54" s="2" t="s">
        <v>50</v>
      </c>
      <c r="I54" s="2" t="s">
        <v>40</v>
      </c>
      <c r="J54" s="6"/>
      <c r="K54" s="2" t="s">
        <v>188</v>
      </c>
      <c r="L54" s="2" t="s">
        <v>30</v>
      </c>
      <c r="M54" s="2" t="s">
        <v>189</v>
      </c>
      <c r="N54" s="2" t="s">
        <v>188</v>
      </c>
      <c r="O54" s="2"/>
      <c r="P54" s="7">
        <v>64.440667231334103</v>
      </c>
      <c r="Q54" s="8">
        <v>118.834988777814</v>
      </c>
      <c r="R54" s="9">
        <v>0</v>
      </c>
      <c r="S54" s="2" t="s">
        <v>207</v>
      </c>
      <c r="T54" s="9">
        <v>0</v>
      </c>
      <c r="U54" s="9">
        <v>133</v>
      </c>
      <c r="V54" s="9">
        <v>72</v>
      </c>
      <c r="W54" s="9">
        <v>315</v>
      </c>
      <c r="X54" s="9">
        <v>313</v>
      </c>
      <c r="Y54" s="9">
        <v>391</v>
      </c>
      <c r="Z54" s="9">
        <v>299</v>
      </c>
      <c r="AA54" s="9">
        <v>768</v>
      </c>
      <c r="AB54" s="9">
        <v>152</v>
      </c>
      <c r="AC54" s="9">
        <v>72</v>
      </c>
      <c r="AD54" s="9">
        <v>96</v>
      </c>
      <c r="AE54" s="7">
        <v>0</v>
      </c>
      <c r="AF54" s="7">
        <v>0</v>
      </c>
      <c r="AG54" s="7">
        <v>0.0057653324620762902</v>
      </c>
      <c r="AH54" s="7">
        <v>0.0031159820291128001</v>
      </c>
      <c r="AI54" s="7">
        <v>0.0136042744099855</v>
      </c>
      <c r="AJ54" s="7">
        <v>0.013549857312345599</v>
      </c>
      <c r="AK54" s="7">
        <v>0.016894446024065601</v>
      </c>
      <c r="AL54" s="7">
        <v>0.0129413264709734</v>
      </c>
      <c r="AM54" s="7">
        <v>0.033218641465621902</v>
      </c>
      <c r="AN54" s="7">
        <v>0.0065889513852300501</v>
      </c>
      <c r="AO54" s="7">
        <v>0.00309201395896436</v>
      </c>
      <c r="AP54" s="7">
        <v>0.0041377884069554796</v>
      </c>
      <c r="AQ54" s="9">
        <v>0</v>
      </c>
    </row>
    <row r="55" spans="1:43" ht="15">
      <c r="A55" s="2" t="s">
        <v>208</v>
      </c>
      <c r="B55" s="5">
        <v>4910917</v>
      </c>
      <c r="C55" s="2" t="s">
        <v>46</v>
      </c>
      <c r="D55" s="2" t="s">
        <v>209</v>
      </c>
      <c r="E55" s="2" t="s">
        <v>210</v>
      </c>
      <c r="F55" s="2" t="s">
        <v>49</v>
      </c>
      <c r="G55" s="2" t="s">
        <v>49</v>
      </c>
      <c r="H55" s="2" t="s">
        <v>50</v>
      </c>
      <c r="I55" s="2" t="s">
        <v>40</v>
      </c>
      <c r="J55" s="6"/>
      <c r="K55" s="2" t="s">
        <v>211</v>
      </c>
      <c r="L55" s="2" t="s">
        <v>30</v>
      </c>
      <c r="M55" s="2" t="s">
        <v>189</v>
      </c>
      <c r="N55" s="2" t="s">
        <v>211</v>
      </c>
      <c r="O55" s="2"/>
      <c r="P55" s="7">
        <v>76.777623931314295</v>
      </c>
      <c r="Q55" s="8">
        <v>144.14695567651299</v>
      </c>
      <c r="R55" s="9">
        <v>500</v>
      </c>
      <c r="S55" s="2" t="s">
        <v>212</v>
      </c>
      <c r="T55" s="9">
        <v>187</v>
      </c>
      <c r="U55" s="9">
        <v>170</v>
      </c>
      <c r="V55" s="9">
        <v>86</v>
      </c>
      <c r="W55" s="9">
        <v>180</v>
      </c>
      <c r="X55" s="9">
        <v>180</v>
      </c>
      <c r="Y55" s="9">
        <v>277</v>
      </c>
      <c r="Z55" s="9">
        <v>308</v>
      </c>
      <c r="AA55" s="9">
        <v>282</v>
      </c>
      <c r="AB55" s="9">
        <v>194</v>
      </c>
      <c r="AC55" s="9">
        <v>83</v>
      </c>
      <c r="AD55" s="9">
        <v>210</v>
      </c>
      <c r="AE55" s="7">
        <v>0.00878648579439637</v>
      </c>
      <c r="AF55" s="7">
        <v>0.0032861456871042401</v>
      </c>
      <c r="AG55" s="7">
        <v>0.0029815475128984999</v>
      </c>
      <c r="AH55" s="7">
        <v>0.00150907893518758</v>
      </c>
      <c r="AI55" s="7">
        <v>0.00315685378368791</v>
      </c>
      <c r="AJ55" s="7">
        <v>0.0031696720314137298</v>
      </c>
      <c r="AK55" s="7">
        <v>0.0048760594111908698</v>
      </c>
      <c r="AL55" s="7">
        <v>0.0054088200712577002</v>
      </c>
      <c r="AM55" s="7">
        <v>0.0049570657955382898</v>
      </c>
      <c r="AN55" s="7">
        <v>0.0034074828718840002</v>
      </c>
      <c r="AO55" s="7">
        <v>0.0014623017013887199</v>
      </c>
      <c r="AP55" s="7">
        <v>0.0036823878529289602</v>
      </c>
      <c r="AQ55" s="9">
        <v>0</v>
      </c>
    </row>
    <row r="56" spans="1:43" ht="15">
      <c r="A56" s="2" t="s">
        <v>213</v>
      </c>
      <c r="B56" s="5">
        <v>5000828</v>
      </c>
      <c r="C56" s="2" t="s">
        <v>23</v>
      </c>
      <c r="D56" s="2" t="s">
        <v>214</v>
      </c>
      <c r="E56" s="2" t="s">
        <v>215</v>
      </c>
      <c r="F56" s="2" t="s">
        <v>26</v>
      </c>
      <c r="G56" s="2" t="s">
        <v>26</v>
      </c>
      <c r="H56" s="2" t="s">
        <v>27</v>
      </c>
      <c r="I56" s="2" t="s">
        <v>40</v>
      </c>
      <c r="J56" s="6"/>
      <c r="K56" s="2" t="s">
        <v>216</v>
      </c>
      <c r="L56" s="2" t="s">
        <v>217</v>
      </c>
      <c r="M56" s="2" t="s">
        <v>218</v>
      </c>
      <c r="N56" s="2" t="s">
        <v>216</v>
      </c>
      <c r="O56" s="2"/>
      <c r="P56" s="7">
        <v>2151.24790851343</v>
      </c>
      <c r="Q56" s="8">
        <v>3498.5797366479001</v>
      </c>
      <c r="R56" s="9">
        <v>2562761</v>
      </c>
      <c r="S56" s="2" t="s">
        <v>219</v>
      </c>
      <c r="T56" s="9">
        <v>3420733</v>
      </c>
      <c r="U56" s="9">
        <v>6565651</v>
      </c>
      <c r="V56" s="9">
        <v>6762733</v>
      </c>
      <c r="W56" s="9">
        <v>6658033</v>
      </c>
      <c r="X56" s="9">
        <v>6637527</v>
      </c>
      <c r="Y56" s="9">
        <v>6543313</v>
      </c>
      <c r="Z56" s="9">
        <v>6262833</v>
      </c>
      <c r="AA56" s="9">
        <v>6962722</v>
      </c>
      <c r="AB56" s="9">
        <v>6674361</v>
      </c>
      <c r="AC56" s="9">
        <v>6736185</v>
      </c>
      <c r="AD56" s="9">
        <v>6640822</v>
      </c>
      <c r="AE56" s="7">
        <v>0.220508229615032</v>
      </c>
      <c r="AF56" s="7">
        <v>0.29433095330771097</v>
      </c>
      <c r="AG56" s="7">
        <v>0.56492993918363499</v>
      </c>
      <c r="AH56" s="7">
        <v>0.58188749652005201</v>
      </c>
      <c r="AI56" s="7">
        <v>0.57287873674378298</v>
      </c>
      <c r="AJ56" s="7">
        <v>0.57111437778344398</v>
      </c>
      <c r="AK56" s="7">
        <v>0.56300786046690698</v>
      </c>
      <c r="AL56" s="7">
        <v>0.53887449183561598</v>
      </c>
      <c r="AM56" s="7">
        <v>0.59909522563017403</v>
      </c>
      <c r="AN56" s="7">
        <v>0.57428366244916196</v>
      </c>
      <c r="AO56" s="7">
        <v>0.57960317833341402</v>
      </c>
      <c r="AP56" s="7">
        <v>0.57139785987197</v>
      </c>
      <c r="AQ56" s="9">
        <v>1217635</v>
      </c>
    </row>
    <row r="57" spans="1:43" ht="15">
      <c r="A57" s="2" t="s">
        <v>220</v>
      </c>
      <c r="B57" s="5">
        <v>5737949</v>
      </c>
      <c r="C57" s="2" t="s">
        <v>23</v>
      </c>
      <c r="D57" s="2" t="s">
        <v>221</v>
      </c>
      <c r="E57" s="2" t="s">
        <v>222</v>
      </c>
      <c r="F57" s="2" t="s">
        <v>26</v>
      </c>
      <c r="G57" s="2" t="s">
        <v>26</v>
      </c>
      <c r="H57" s="2" t="s">
        <v>27</v>
      </c>
      <c r="I57" s="2" t="s">
        <v>28</v>
      </c>
      <c r="J57" s="6"/>
      <c r="K57" s="2" t="s">
        <v>55</v>
      </c>
      <c r="L57" s="2" t="s">
        <v>56</v>
      </c>
      <c r="M57" s="2" t="s">
        <v>55</v>
      </c>
      <c r="N57" s="2"/>
      <c r="O57" s="2"/>
      <c r="P57" s="7">
        <v>4.0388688558590404</v>
      </c>
      <c r="Q57" s="6" t="s">
        <v>57</v>
      </c>
      <c r="R57" s="9">
        <v>0</v>
      </c>
      <c r="S57" s="2"/>
      <c r="T57" s="9">
        <v>0</v>
      </c>
      <c r="U57" s="9">
        <v>0</v>
      </c>
      <c r="V57" s="9">
        <v>0</v>
      </c>
      <c r="W57" s="9">
        <v>0</v>
      </c>
      <c r="X57" s="9">
        <v>0</v>
      </c>
      <c r="Y57" s="9">
        <v>0</v>
      </c>
      <c r="Z57" s="9">
        <v>0</v>
      </c>
      <c r="AA57" s="9">
        <v>923</v>
      </c>
      <c r="AB57" s="9">
        <v>0</v>
      </c>
      <c r="AC57" s="9">
        <v>0</v>
      </c>
      <c r="AD57" s="9">
        <v>0</v>
      </c>
      <c r="AE57" s="6" t="s">
        <v>57</v>
      </c>
      <c r="AF57" s="6" t="s">
        <v>57</v>
      </c>
      <c r="AG57" s="6" t="s">
        <v>57</v>
      </c>
      <c r="AH57" s="6" t="s">
        <v>57</v>
      </c>
      <c r="AI57" s="6" t="s">
        <v>57</v>
      </c>
      <c r="AJ57" s="6" t="s">
        <v>57</v>
      </c>
      <c r="AK57" s="6" t="s">
        <v>57</v>
      </c>
      <c r="AL57" s="6" t="s">
        <v>57</v>
      </c>
      <c r="AM57" s="6" t="s">
        <v>57</v>
      </c>
      <c r="AN57" s="6" t="s">
        <v>57</v>
      </c>
      <c r="AO57" s="6" t="s">
        <v>57</v>
      </c>
      <c r="AP57" s="6" t="s">
        <v>57</v>
      </c>
      <c r="AQ57" s="9">
        <v>0</v>
      </c>
    </row>
    <row r="58" spans="1:43" ht="15">
      <c r="A58" s="2" t="s">
        <v>223</v>
      </c>
      <c r="B58" s="5">
        <v>6663406</v>
      </c>
      <c r="C58" s="2" t="s">
        <v>46</v>
      </c>
      <c r="D58" s="2" t="s">
        <v>224</v>
      </c>
      <c r="E58" s="2" t="s">
        <v>225</v>
      </c>
      <c r="F58" s="2" t="s">
        <v>49</v>
      </c>
      <c r="G58" s="2" t="s">
        <v>49</v>
      </c>
      <c r="H58" s="2" t="s">
        <v>50</v>
      </c>
      <c r="I58" s="2" t="s">
        <v>28</v>
      </c>
      <c r="J58" s="6"/>
      <c r="K58" s="2" t="s">
        <v>226</v>
      </c>
      <c r="L58" s="2" t="s">
        <v>56</v>
      </c>
      <c r="M58" s="2" t="s">
        <v>227</v>
      </c>
      <c r="N58" s="2" t="s">
        <v>226</v>
      </c>
      <c r="O58" s="2"/>
      <c r="P58" s="7">
        <v>127.195101952462</v>
      </c>
      <c r="Q58" s="6" t="s">
        <v>57</v>
      </c>
      <c r="R58" s="9">
        <v>0</v>
      </c>
      <c r="S58" s="2" t="s">
        <v>228</v>
      </c>
      <c r="T58" s="9">
        <v>0</v>
      </c>
      <c r="U58" s="9">
        <v>0</v>
      </c>
      <c r="V58" s="9">
        <v>0</v>
      </c>
      <c r="W58" s="9">
        <v>0</v>
      </c>
      <c r="X58" s="9">
        <v>0</v>
      </c>
      <c r="Y58" s="9">
        <v>0</v>
      </c>
      <c r="Z58" s="9">
        <v>0</v>
      </c>
      <c r="AA58" s="9">
        <v>13116</v>
      </c>
      <c r="AB58" s="9">
        <v>0</v>
      </c>
      <c r="AC58" s="9">
        <v>0</v>
      </c>
      <c r="AD58" s="9">
        <v>0</v>
      </c>
      <c r="AE58" s="7">
        <v>0</v>
      </c>
      <c r="AF58" s="7">
        <v>0</v>
      </c>
      <c r="AG58" s="7">
        <v>0</v>
      </c>
      <c r="AH58" s="7">
        <v>0</v>
      </c>
      <c r="AI58" s="7">
        <v>0</v>
      </c>
      <c r="AJ58" s="7">
        <v>0</v>
      </c>
      <c r="AK58" s="7">
        <v>0</v>
      </c>
      <c r="AL58" s="7">
        <v>0</v>
      </c>
      <c r="AM58" s="7">
        <v>0.0035279834229165201</v>
      </c>
      <c r="AN58" s="7">
        <v>0</v>
      </c>
      <c r="AO58" s="7">
        <v>0</v>
      </c>
      <c r="AP58" s="7">
        <v>0</v>
      </c>
      <c r="AQ58" s="9">
        <v>0</v>
      </c>
    </row>
    <row r="59" spans="1:43" ht="15">
      <c r="A59" s="2" t="s">
        <v>229</v>
      </c>
      <c r="B59" s="5">
        <v>4914584</v>
      </c>
      <c r="C59" s="2" t="s">
        <v>46</v>
      </c>
      <c r="D59" s="2" t="s">
        <v>230</v>
      </c>
      <c r="E59" s="2" t="s">
        <v>231</v>
      </c>
      <c r="F59" s="2" t="s">
        <v>49</v>
      </c>
      <c r="G59" s="2" t="s">
        <v>49</v>
      </c>
      <c r="H59" s="2" t="s">
        <v>50</v>
      </c>
      <c r="I59" s="2" t="s">
        <v>28</v>
      </c>
      <c r="J59" s="6"/>
      <c r="K59" s="2" t="s">
        <v>211</v>
      </c>
      <c r="L59" s="2" t="s">
        <v>30</v>
      </c>
      <c r="M59" s="2" t="s">
        <v>189</v>
      </c>
      <c r="N59" s="2" t="s">
        <v>211</v>
      </c>
      <c r="O59" s="2"/>
      <c r="P59" s="7">
        <v>1977.8177273588899</v>
      </c>
      <c r="Q59" s="8">
        <v>3096.45443691009</v>
      </c>
      <c r="R59" s="9">
        <v>4278</v>
      </c>
      <c r="S59" s="2" t="s">
        <v>232</v>
      </c>
      <c r="T59" s="9">
        <v>8227</v>
      </c>
      <c r="U59" s="9">
        <v>49397</v>
      </c>
      <c r="V59" s="9">
        <v>44802</v>
      </c>
      <c r="W59" s="9">
        <v>63125</v>
      </c>
      <c r="X59" s="9">
        <v>63173</v>
      </c>
      <c r="Y59" s="9">
        <v>320038</v>
      </c>
      <c r="Z59" s="9">
        <v>372066</v>
      </c>
      <c r="AA59" s="9">
        <v>419666</v>
      </c>
      <c r="AB59" s="9">
        <v>55629</v>
      </c>
      <c r="AC59" s="9">
        <v>44917</v>
      </c>
      <c r="AD59" s="9">
        <v>53487</v>
      </c>
      <c r="AE59" s="7">
        <v>0.00384868723653428</v>
      </c>
      <c r="AF59" s="7">
        <v>0.0074013908122878801</v>
      </c>
      <c r="AG59" s="7">
        <v>0.044439795011948502</v>
      </c>
      <c r="AH59" s="7">
        <v>0.040305718387952702</v>
      </c>
      <c r="AI59" s="7">
        <v>0.056789769802062601</v>
      </c>
      <c r="AJ59" s="7">
        <v>0.056833267538594599</v>
      </c>
      <c r="AK59" s="7">
        <v>0.28792120295342799</v>
      </c>
      <c r="AL59" s="7">
        <v>0.33472793277263602</v>
      </c>
      <c r="AM59" s="7">
        <v>0.37755059252726197</v>
      </c>
      <c r="AN59" s="7">
        <v>0.050046600131942197</v>
      </c>
      <c r="AO59" s="7">
        <v>0.0404091512214141</v>
      </c>
      <c r="AP59" s="7">
        <v>0.048119008942237897</v>
      </c>
      <c r="AQ59" s="9">
        <v>2625</v>
      </c>
    </row>
    <row r="60" spans="1:43" ht="15">
      <c r="A60" s="2" t="s">
        <v>233</v>
      </c>
      <c r="B60" s="5">
        <v>4916913</v>
      </c>
      <c r="C60" s="2" t="s">
        <v>35</v>
      </c>
      <c r="D60" s="2" t="s">
        <v>234</v>
      </c>
      <c r="E60" s="2" t="s">
        <v>235</v>
      </c>
      <c r="F60" s="2" t="s">
        <v>38</v>
      </c>
      <c r="G60" s="2" t="s">
        <v>38</v>
      </c>
      <c r="H60" s="2" t="s">
        <v>39</v>
      </c>
      <c r="I60" s="2" t="s">
        <v>40</v>
      </c>
      <c r="J60" s="6"/>
      <c r="K60" s="2" t="s">
        <v>188</v>
      </c>
      <c r="L60" s="2" t="s">
        <v>30</v>
      </c>
      <c r="M60" s="2" t="s">
        <v>189</v>
      </c>
      <c r="N60" s="2" t="s">
        <v>188</v>
      </c>
      <c r="O60" s="2"/>
      <c r="P60" s="7">
        <v>25.425769120343499</v>
      </c>
      <c r="Q60" s="8">
        <v>26.070283845108001</v>
      </c>
      <c r="R60" s="9">
        <v>0</v>
      </c>
      <c r="S60" s="2" t="s">
        <v>236</v>
      </c>
      <c r="T60" s="9">
        <v>0</v>
      </c>
      <c r="U60" s="9">
        <v>0</v>
      </c>
      <c r="V60" s="9">
        <v>0</v>
      </c>
      <c r="W60" s="9">
        <v>0</v>
      </c>
      <c r="X60" s="9">
        <v>0</v>
      </c>
      <c r="Y60" s="9">
        <v>0</v>
      </c>
      <c r="Z60" s="9">
        <v>0</v>
      </c>
      <c r="AA60" s="9">
        <v>0</v>
      </c>
      <c r="AB60" s="9">
        <v>0</v>
      </c>
      <c r="AC60" s="9">
        <v>0</v>
      </c>
      <c r="AD60" s="9">
        <v>0</v>
      </c>
      <c r="AE60" s="7">
        <v>0</v>
      </c>
      <c r="AF60" s="7">
        <v>0</v>
      </c>
      <c r="AG60" s="7">
        <v>0</v>
      </c>
      <c r="AH60" s="7">
        <v>0</v>
      </c>
      <c r="AI60" s="7">
        <v>0</v>
      </c>
      <c r="AJ60" s="7">
        <v>0</v>
      </c>
      <c r="AK60" s="7">
        <v>0</v>
      </c>
      <c r="AL60" s="7">
        <v>0</v>
      </c>
      <c r="AM60" s="7">
        <v>0</v>
      </c>
      <c r="AN60" s="7">
        <v>0</v>
      </c>
      <c r="AO60" s="7">
        <v>0</v>
      </c>
      <c r="AP60" s="7">
        <v>0</v>
      </c>
      <c r="AQ60" s="9">
        <v>0</v>
      </c>
    </row>
    <row r="61" spans="1:43" ht="15">
      <c r="A61" s="2" t="s">
        <v>237</v>
      </c>
      <c r="B61" s="5">
        <v>4209918</v>
      </c>
      <c r="C61" s="2" t="s">
        <v>35</v>
      </c>
      <c r="D61" s="2" t="s">
        <v>238</v>
      </c>
      <c r="E61" s="2" t="s">
        <v>239</v>
      </c>
      <c r="F61" s="2" t="s">
        <v>38</v>
      </c>
      <c r="G61" s="2" t="s">
        <v>38</v>
      </c>
      <c r="H61" s="2" t="s">
        <v>39</v>
      </c>
      <c r="I61" s="2" t="s">
        <v>40</v>
      </c>
      <c r="J61" s="6"/>
      <c r="K61" s="2" t="s">
        <v>240</v>
      </c>
      <c r="L61" s="2" t="s">
        <v>30</v>
      </c>
      <c r="M61" s="2" t="s">
        <v>31</v>
      </c>
      <c r="N61" s="2" t="s">
        <v>241</v>
      </c>
      <c r="O61" s="2" t="s">
        <v>240</v>
      </c>
      <c r="P61" s="7">
        <v>1834.8359177836801</v>
      </c>
      <c r="Q61" s="8">
        <v>2909.6015715916801</v>
      </c>
      <c r="R61" s="9">
        <v>45549</v>
      </c>
      <c r="S61" s="2" t="s">
        <v>242</v>
      </c>
      <c r="T61" s="9">
        <v>185961</v>
      </c>
      <c r="U61" s="9">
        <v>205299</v>
      </c>
      <c r="V61" s="9">
        <v>211502</v>
      </c>
      <c r="W61" s="9">
        <v>1019004</v>
      </c>
      <c r="X61" s="9">
        <v>1015451</v>
      </c>
      <c r="Y61" s="9">
        <v>685650</v>
      </c>
      <c r="Z61" s="9">
        <v>545837</v>
      </c>
      <c r="AA61" s="9">
        <v>358257</v>
      </c>
      <c r="AB61" s="9">
        <v>211472</v>
      </c>
      <c r="AC61" s="9">
        <v>211724</v>
      </c>
      <c r="AD61" s="9">
        <v>560866</v>
      </c>
      <c r="AE61" s="7">
        <v>0.0175476783391788</v>
      </c>
      <c r="AF61" s="7">
        <v>0.071641173497377197</v>
      </c>
      <c r="AG61" s="7">
        <v>0.0790910190618095</v>
      </c>
      <c r="AH61" s="7">
        <v>0.081480890720521101</v>
      </c>
      <c r="AI61" s="7">
        <v>0.39256970408282599</v>
      </c>
      <c r="AJ61" s="7">
        <v>0.391200846854246</v>
      </c>
      <c r="AK61" s="7">
        <v>0.26414548925611098</v>
      </c>
      <c r="AL61" s="7">
        <v>0.21028283959059199</v>
      </c>
      <c r="AM61" s="7">
        <v>0.13801802470347299</v>
      </c>
      <c r="AN61" s="7">
        <v>0.081469143470388694</v>
      </c>
      <c r="AO61" s="7">
        <v>0.081566354011482406</v>
      </c>
      <c r="AP61" s="7">
        <v>0.21607262899242299</v>
      </c>
      <c r="AQ61" s="9">
        <v>30329</v>
      </c>
    </row>
    <row r="62" spans="1:43" ht="15">
      <c r="A62" s="2" t="s">
        <v>243</v>
      </c>
      <c r="B62" s="5">
        <v>4999942</v>
      </c>
      <c r="C62" s="2" t="s">
        <v>23</v>
      </c>
      <c r="D62" s="2" t="s">
        <v>244</v>
      </c>
      <c r="E62" s="2" t="s">
        <v>245</v>
      </c>
      <c r="F62" s="2" t="s">
        <v>26</v>
      </c>
      <c r="G62" s="2" t="s">
        <v>26</v>
      </c>
      <c r="H62" s="2" t="s">
        <v>27</v>
      </c>
      <c r="I62" s="2" t="s">
        <v>28</v>
      </c>
      <c r="J62" s="6"/>
      <c r="K62" s="2" t="s">
        <v>246</v>
      </c>
      <c r="L62" s="2" t="s">
        <v>247</v>
      </c>
      <c r="M62" s="2" t="s">
        <v>248</v>
      </c>
      <c r="N62" s="2" t="s">
        <v>246</v>
      </c>
      <c r="O62" s="2"/>
      <c r="P62" s="7">
        <v>521.65139985262397</v>
      </c>
      <c r="Q62" s="8">
        <v>3767.2894061218599</v>
      </c>
      <c r="R62" s="9">
        <v>36352</v>
      </c>
      <c r="S62" s="2" t="s">
        <v>249</v>
      </c>
      <c r="T62" s="9">
        <v>325740</v>
      </c>
      <c r="U62" s="9">
        <v>948920</v>
      </c>
      <c r="V62" s="9">
        <v>728721</v>
      </c>
      <c r="W62" s="9">
        <v>2371285</v>
      </c>
      <c r="X62" s="9">
        <v>2421527</v>
      </c>
      <c r="Y62" s="9">
        <v>2094663</v>
      </c>
      <c r="Z62" s="9">
        <v>1895313</v>
      </c>
      <c r="AA62" s="9">
        <v>1940803</v>
      </c>
      <c r="AB62" s="9">
        <v>728203</v>
      </c>
      <c r="AC62" s="9">
        <v>744721</v>
      </c>
      <c r="AD62" s="9">
        <v>836450</v>
      </c>
      <c r="AE62" s="7">
        <v>0.00100877869706302</v>
      </c>
      <c r="AF62" s="7">
        <v>0.0090394913110039207</v>
      </c>
      <c r="AG62" s="7">
        <v>0.026333170273155002</v>
      </c>
      <c r="AH62" s="7">
        <v>0.020222512041620601</v>
      </c>
      <c r="AI62" s="7">
        <v>0.065804749601048401</v>
      </c>
      <c r="AJ62" s="7">
        <v>0.067199016316061594</v>
      </c>
      <c r="AK62" s="7">
        <v>0.058128327218527197</v>
      </c>
      <c r="AL62" s="7">
        <v>0.052596204178562402</v>
      </c>
      <c r="AM62" s="7">
        <v>0.053858585676898899</v>
      </c>
      <c r="AN62" s="7">
        <v>0.020208122841236801</v>
      </c>
      <c r="AO62" s="7">
        <v>0.020666517973558299</v>
      </c>
      <c r="AP62" s="7">
        <v>0.023212043952680901</v>
      </c>
      <c r="AQ62" s="9">
        <v>37000</v>
      </c>
    </row>
    <row r="63" spans="1:43" ht="15">
      <c r="A63" s="2" t="s">
        <v>250</v>
      </c>
      <c r="B63" s="5">
        <v>124063988</v>
      </c>
      <c r="C63" s="2" t="s">
        <v>23</v>
      </c>
      <c r="D63" s="2" t="s">
        <v>251</v>
      </c>
      <c r="E63" s="2" t="s">
        <v>252</v>
      </c>
      <c r="F63" s="2" t="s">
        <v>26</v>
      </c>
      <c r="G63" s="2"/>
      <c r="H63" s="2"/>
      <c r="I63" s="2" t="s">
        <v>28</v>
      </c>
      <c r="J63" s="6"/>
      <c r="K63" s="2" t="s">
        <v>55</v>
      </c>
      <c r="L63" s="2" t="s">
        <v>56</v>
      </c>
      <c r="M63" s="2" t="s">
        <v>55</v>
      </c>
      <c r="N63" s="2"/>
      <c r="O63" s="2"/>
      <c r="P63" s="6" t="s">
        <v>57</v>
      </c>
      <c r="Q63" s="6" t="s">
        <v>57</v>
      </c>
      <c r="R63" s="6" t="s">
        <v>57</v>
      </c>
      <c r="S63" s="2"/>
      <c r="T63" s="6" t="s">
        <v>57</v>
      </c>
      <c r="U63" s="6" t="s">
        <v>57</v>
      </c>
      <c r="V63" s="6" t="s">
        <v>57</v>
      </c>
      <c r="W63" s="6" t="s">
        <v>57</v>
      </c>
      <c r="X63" s="6" t="s">
        <v>57</v>
      </c>
      <c r="Y63" s="6" t="s">
        <v>57</v>
      </c>
      <c r="Z63" s="6" t="s">
        <v>57</v>
      </c>
      <c r="AA63" s="6" t="s">
        <v>57</v>
      </c>
      <c r="AB63" s="6" t="s">
        <v>57</v>
      </c>
      <c r="AC63" s="6" t="s">
        <v>57</v>
      </c>
      <c r="AD63" s="6" t="s">
        <v>57</v>
      </c>
      <c r="AE63" s="6" t="s">
        <v>57</v>
      </c>
      <c r="AF63" s="6" t="s">
        <v>57</v>
      </c>
      <c r="AG63" s="6" t="s">
        <v>57</v>
      </c>
      <c r="AH63" s="6" t="s">
        <v>57</v>
      </c>
      <c r="AI63" s="6" t="s">
        <v>57</v>
      </c>
      <c r="AJ63" s="6" t="s">
        <v>57</v>
      </c>
      <c r="AK63" s="6" t="s">
        <v>57</v>
      </c>
      <c r="AL63" s="6" t="s">
        <v>57</v>
      </c>
      <c r="AM63" s="6" t="s">
        <v>57</v>
      </c>
      <c r="AN63" s="6" t="s">
        <v>57</v>
      </c>
      <c r="AO63" s="6" t="s">
        <v>57</v>
      </c>
      <c r="AP63" s="6" t="s">
        <v>57</v>
      </c>
      <c r="AQ63" s="6" t="s">
        <v>57</v>
      </c>
    </row>
    <row r="64" spans="1:43" ht="15">
      <c r="A64" s="2" t="s">
        <v>253</v>
      </c>
      <c r="B64" s="5">
        <v>116339287</v>
      </c>
      <c r="C64" s="2" t="s">
        <v>23</v>
      </c>
      <c r="D64" s="2" t="s">
        <v>254</v>
      </c>
      <c r="E64" s="2" t="s">
        <v>255</v>
      </c>
      <c r="F64" s="2" t="s">
        <v>26</v>
      </c>
      <c r="G64" s="2" t="s">
        <v>26</v>
      </c>
      <c r="H64" s="2" t="s">
        <v>27</v>
      </c>
      <c r="I64" s="2" t="s">
        <v>28</v>
      </c>
      <c r="J64" s="6"/>
      <c r="K64" s="2" t="s">
        <v>55</v>
      </c>
      <c r="L64" s="2" t="s">
        <v>56</v>
      </c>
      <c r="M64" s="2" t="s">
        <v>55</v>
      </c>
      <c r="N64" s="2"/>
      <c r="O64" s="2"/>
      <c r="P64" s="6" t="s">
        <v>57</v>
      </c>
      <c r="Q64" s="6" t="s">
        <v>57</v>
      </c>
      <c r="R64" s="6" t="s">
        <v>57</v>
      </c>
      <c r="S64" s="2"/>
      <c r="T64" s="6" t="s">
        <v>57</v>
      </c>
      <c r="U64" s="6" t="s">
        <v>57</v>
      </c>
      <c r="V64" s="6" t="s">
        <v>57</v>
      </c>
      <c r="W64" s="6" t="s">
        <v>57</v>
      </c>
      <c r="X64" s="6" t="s">
        <v>57</v>
      </c>
      <c r="Y64" s="6" t="s">
        <v>57</v>
      </c>
      <c r="Z64" s="6" t="s">
        <v>57</v>
      </c>
      <c r="AA64" s="6" t="s">
        <v>57</v>
      </c>
      <c r="AB64" s="6" t="s">
        <v>57</v>
      </c>
      <c r="AC64" s="6" t="s">
        <v>57</v>
      </c>
      <c r="AD64" s="6" t="s">
        <v>57</v>
      </c>
      <c r="AE64" s="6" t="s">
        <v>57</v>
      </c>
      <c r="AF64" s="6" t="s">
        <v>57</v>
      </c>
      <c r="AG64" s="6" t="s">
        <v>57</v>
      </c>
      <c r="AH64" s="6" t="s">
        <v>57</v>
      </c>
      <c r="AI64" s="6" t="s">
        <v>57</v>
      </c>
      <c r="AJ64" s="6" t="s">
        <v>57</v>
      </c>
      <c r="AK64" s="6" t="s">
        <v>57</v>
      </c>
      <c r="AL64" s="6" t="s">
        <v>57</v>
      </c>
      <c r="AM64" s="6" t="s">
        <v>57</v>
      </c>
      <c r="AN64" s="6" t="s">
        <v>57</v>
      </c>
      <c r="AO64" s="6" t="s">
        <v>57</v>
      </c>
      <c r="AP64" s="6" t="s">
        <v>57</v>
      </c>
      <c r="AQ64" s="6" t="s">
        <v>57</v>
      </c>
    </row>
    <row r="65" spans="1:43" ht="15">
      <c r="A65" s="2" t="s">
        <v>256</v>
      </c>
      <c r="B65" s="5">
        <v>140054441</v>
      </c>
      <c r="C65" s="2" t="s">
        <v>23</v>
      </c>
      <c r="D65" s="2" t="s">
        <v>257</v>
      </c>
      <c r="E65" s="2" t="s">
        <v>258</v>
      </c>
      <c r="F65" s="2" t="s">
        <v>26</v>
      </c>
      <c r="G65" s="2"/>
      <c r="H65" s="2"/>
      <c r="I65" s="2" t="s">
        <v>28</v>
      </c>
      <c r="J65" s="6"/>
      <c r="K65" s="2" t="s">
        <v>55</v>
      </c>
      <c r="L65" s="2" t="s">
        <v>56</v>
      </c>
      <c r="M65" s="2" t="s">
        <v>55</v>
      </c>
      <c r="N65" s="2"/>
      <c r="O65" s="2"/>
      <c r="P65" s="6" t="s">
        <v>57</v>
      </c>
      <c r="Q65" s="6" t="s">
        <v>57</v>
      </c>
      <c r="R65" s="6" t="s">
        <v>57</v>
      </c>
      <c r="S65" s="2"/>
      <c r="T65" s="6" t="s">
        <v>57</v>
      </c>
      <c r="U65" s="6" t="s">
        <v>57</v>
      </c>
      <c r="V65" s="6" t="s">
        <v>57</v>
      </c>
      <c r="W65" s="6" t="s">
        <v>57</v>
      </c>
      <c r="X65" s="6" t="s">
        <v>57</v>
      </c>
      <c r="Y65" s="6" t="s">
        <v>57</v>
      </c>
      <c r="Z65" s="6" t="s">
        <v>57</v>
      </c>
      <c r="AA65" s="6" t="s">
        <v>57</v>
      </c>
      <c r="AB65" s="6" t="s">
        <v>57</v>
      </c>
      <c r="AC65" s="6" t="s">
        <v>57</v>
      </c>
      <c r="AD65" s="6" t="s">
        <v>57</v>
      </c>
      <c r="AE65" s="6" t="s">
        <v>57</v>
      </c>
      <c r="AF65" s="6" t="s">
        <v>57</v>
      </c>
      <c r="AG65" s="6" t="s">
        <v>57</v>
      </c>
      <c r="AH65" s="6" t="s">
        <v>57</v>
      </c>
      <c r="AI65" s="6" t="s">
        <v>57</v>
      </c>
      <c r="AJ65" s="6" t="s">
        <v>57</v>
      </c>
      <c r="AK65" s="6" t="s">
        <v>57</v>
      </c>
      <c r="AL65" s="6" t="s">
        <v>57</v>
      </c>
      <c r="AM65" s="6" t="s">
        <v>57</v>
      </c>
      <c r="AN65" s="6" t="s">
        <v>57</v>
      </c>
      <c r="AO65" s="6" t="s">
        <v>57</v>
      </c>
      <c r="AP65" s="6" t="s">
        <v>57</v>
      </c>
      <c r="AQ65" s="6" t="s">
        <v>57</v>
      </c>
    </row>
    <row r="66" spans="1:43" ht="15">
      <c r="A66" s="2" t="s">
        <v>259</v>
      </c>
      <c r="B66" s="5">
        <v>139581362</v>
      </c>
      <c r="C66" s="2" t="s">
        <v>23</v>
      </c>
      <c r="D66" s="2" t="s">
        <v>260</v>
      </c>
      <c r="E66" s="2" t="s">
        <v>261</v>
      </c>
      <c r="F66" s="2" t="s">
        <v>26</v>
      </c>
      <c r="G66" s="2"/>
      <c r="H66" s="2"/>
      <c r="I66" s="2" t="s">
        <v>28</v>
      </c>
      <c r="J66" s="6"/>
      <c r="K66" s="2" t="s">
        <v>55</v>
      </c>
      <c r="L66" s="2" t="s">
        <v>56</v>
      </c>
      <c r="M66" s="2" t="s">
        <v>55</v>
      </c>
      <c r="N66" s="2"/>
      <c r="O66" s="2"/>
      <c r="P66" s="6" t="s">
        <v>57</v>
      </c>
      <c r="Q66" s="6" t="s">
        <v>57</v>
      </c>
      <c r="R66" s="6" t="s">
        <v>57</v>
      </c>
      <c r="S66" s="2"/>
      <c r="T66" s="6" t="s">
        <v>57</v>
      </c>
      <c r="U66" s="6" t="s">
        <v>57</v>
      </c>
      <c r="V66" s="6" t="s">
        <v>57</v>
      </c>
      <c r="W66" s="6" t="s">
        <v>57</v>
      </c>
      <c r="X66" s="6" t="s">
        <v>57</v>
      </c>
      <c r="Y66" s="6" t="s">
        <v>57</v>
      </c>
      <c r="Z66" s="6" t="s">
        <v>57</v>
      </c>
      <c r="AA66" s="6" t="s">
        <v>57</v>
      </c>
      <c r="AB66" s="6" t="s">
        <v>57</v>
      </c>
      <c r="AC66" s="6" t="s">
        <v>57</v>
      </c>
      <c r="AD66" s="6" t="s">
        <v>57</v>
      </c>
      <c r="AE66" s="6" t="s">
        <v>57</v>
      </c>
      <c r="AF66" s="6" t="s">
        <v>57</v>
      </c>
      <c r="AG66" s="6" t="s">
        <v>57</v>
      </c>
      <c r="AH66" s="6" t="s">
        <v>57</v>
      </c>
      <c r="AI66" s="6" t="s">
        <v>57</v>
      </c>
      <c r="AJ66" s="6" t="s">
        <v>57</v>
      </c>
      <c r="AK66" s="6" t="s">
        <v>57</v>
      </c>
      <c r="AL66" s="6" t="s">
        <v>57</v>
      </c>
      <c r="AM66" s="6" t="s">
        <v>57</v>
      </c>
      <c r="AN66" s="6" t="s">
        <v>57</v>
      </c>
      <c r="AO66" s="6" t="s">
        <v>57</v>
      </c>
      <c r="AP66" s="6" t="s">
        <v>57</v>
      </c>
      <c r="AQ66" s="6" t="s">
        <v>57</v>
      </c>
    </row>
    <row r="67" spans="1:43" ht="15">
      <c r="A67" s="2" t="s">
        <v>262</v>
      </c>
      <c r="B67" s="5">
        <v>119043402</v>
      </c>
      <c r="C67" s="2" t="s">
        <v>23</v>
      </c>
      <c r="D67" s="2" t="s">
        <v>263</v>
      </c>
      <c r="E67" s="2" t="s">
        <v>264</v>
      </c>
      <c r="F67" s="2" t="s">
        <v>26</v>
      </c>
      <c r="G67" s="2" t="s">
        <v>26</v>
      </c>
      <c r="H67" s="2" t="s">
        <v>27</v>
      </c>
      <c r="I67" s="2" t="s">
        <v>28</v>
      </c>
      <c r="J67" s="6"/>
      <c r="K67" s="2" t="s">
        <v>55</v>
      </c>
      <c r="L67" s="2" t="s">
        <v>56</v>
      </c>
      <c r="M67" s="2" t="s">
        <v>55</v>
      </c>
      <c r="N67" s="2"/>
      <c r="O67" s="2"/>
      <c r="P67" s="6" t="s">
        <v>57</v>
      </c>
      <c r="Q67" s="6" t="s">
        <v>57</v>
      </c>
      <c r="R67" s="6" t="s">
        <v>57</v>
      </c>
      <c r="S67" s="2"/>
      <c r="T67" s="6" t="s">
        <v>57</v>
      </c>
      <c r="U67" s="6" t="s">
        <v>57</v>
      </c>
      <c r="V67" s="6" t="s">
        <v>57</v>
      </c>
      <c r="W67" s="6" t="s">
        <v>57</v>
      </c>
      <c r="X67" s="6" t="s">
        <v>57</v>
      </c>
      <c r="Y67" s="6" t="s">
        <v>57</v>
      </c>
      <c r="Z67" s="6" t="s">
        <v>57</v>
      </c>
      <c r="AA67" s="6" t="s">
        <v>57</v>
      </c>
      <c r="AB67" s="6" t="s">
        <v>57</v>
      </c>
      <c r="AC67" s="6" t="s">
        <v>57</v>
      </c>
      <c r="AD67" s="6" t="s">
        <v>57</v>
      </c>
      <c r="AE67" s="6" t="s">
        <v>57</v>
      </c>
      <c r="AF67" s="6" t="s">
        <v>57</v>
      </c>
      <c r="AG67" s="6" t="s">
        <v>57</v>
      </c>
      <c r="AH67" s="6" t="s">
        <v>57</v>
      </c>
      <c r="AI67" s="6" t="s">
        <v>57</v>
      </c>
      <c r="AJ67" s="6" t="s">
        <v>57</v>
      </c>
      <c r="AK67" s="6" t="s">
        <v>57</v>
      </c>
      <c r="AL67" s="6" t="s">
        <v>57</v>
      </c>
      <c r="AM67" s="6" t="s">
        <v>57</v>
      </c>
      <c r="AN67" s="6" t="s">
        <v>57</v>
      </c>
      <c r="AO67" s="6" t="s">
        <v>57</v>
      </c>
      <c r="AP67" s="6" t="s">
        <v>57</v>
      </c>
      <c r="AQ67" s="6" t="s">
        <v>57</v>
      </c>
    </row>
    <row r="68" spans="1:43" ht="15">
      <c r="A68" s="2" t="s">
        <v>265</v>
      </c>
      <c r="B68" s="5">
        <v>29558929</v>
      </c>
      <c r="C68" s="2" t="s">
        <v>23</v>
      </c>
      <c r="D68" s="2" t="s">
        <v>266</v>
      </c>
      <c r="E68" s="2" t="s">
        <v>267</v>
      </c>
      <c r="F68" s="2" t="s">
        <v>26</v>
      </c>
      <c r="G68" s="2" t="s">
        <v>26</v>
      </c>
      <c r="H68" s="2" t="s">
        <v>27</v>
      </c>
      <c r="I68" s="2" t="s">
        <v>28</v>
      </c>
      <c r="J68" s="6"/>
      <c r="K68" s="2" t="s">
        <v>55</v>
      </c>
      <c r="L68" s="2" t="s">
        <v>56</v>
      </c>
      <c r="M68" s="2" t="s">
        <v>55</v>
      </c>
      <c r="N68" s="2"/>
      <c r="O68" s="2"/>
      <c r="P68" s="7">
        <v>22.802157324</v>
      </c>
      <c r="Q68" s="6" t="s">
        <v>57</v>
      </c>
      <c r="R68" s="9">
        <v>198</v>
      </c>
      <c r="S68" s="2"/>
      <c r="T68" s="9">
        <v>613</v>
      </c>
      <c r="U68" s="9">
        <v>400</v>
      </c>
      <c r="V68" s="9">
        <v>161</v>
      </c>
      <c r="W68" s="9">
        <v>93</v>
      </c>
      <c r="X68" s="9">
        <v>93</v>
      </c>
      <c r="Y68" s="9">
        <v>56</v>
      </c>
      <c r="Z68" s="9">
        <v>247</v>
      </c>
      <c r="AA68" s="9">
        <v>470</v>
      </c>
      <c r="AB68" s="9">
        <v>316</v>
      </c>
      <c r="AC68" s="9">
        <v>169</v>
      </c>
      <c r="AD68" s="9">
        <v>144</v>
      </c>
      <c r="AE68" s="6" t="s">
        <v>57</v>
      </c>
      <c r="AF68" s="6" t="s">
        <v>57</v>
      </c>
      <c r="AG68" s="6" t="s">
        <v>57</v>
      </c>
      <c r="AH68" s="6" t="s">
        <v>57</v>
      </c>
      <c r="AI68" s="6" t="s">
        <v>57</v>
      </c>
      <c r="AJ68" s="6" t="s">
        <v>57</v>
      </c>
      <c r="AK68" s="6" t="s">
        <v>57</v>
      </c>
      <c r="AL68" s="6" t="s">
        <v>57</v>
      </c>
      <c r="AM68" s="6" t="s">
        <v>57</v>
      </c>
      <c r="AN68" s="6" t="s">
        <v>57</v>
      </c>
      <c r="AO68" s="6" t="s">
        <v>57</v>
      </c>
      <c r="AP68" s="6" t="s">
        <v>57</v>
      </c>
      <c r="AQ68" s="9">
        <v>0</v>
      </c>
    </row>
    <row r="69" spans="1:43" ht="15">
      <c r="A69" s="2" t="s">
        <v>268</v>
      </c>
      <c r="B69" s="5">
        <v>19739114</v>
      </c>
      <c r="C69" s="2" t="s">
        <v>23</v>
      </c>
      <c r="D69" s="2" t="s">
        <v>269</v>
      </c>
      <c r="E69" s="2" t="s">
        <v>270</v>
      </c>
      <c r="F69" s="2" t="s">
        <v>26</v>
      </c>
      <c r="G69" s="2" t="s">
        <v>26</v>
      </c>
      <c r="H69" s="2" t="s">
        <v>27</v>
      </c>
      <c r="I69" s="2" t="s">
        <v>28</v>
      </c>
      <c r="J69" s="6"/>
      <c r="K69" s="2" t="s">
        <v>55</v>
      </c>
      <c r="L69" s="2" t="s">
        <v>56</v>
      </c>
      <c r="M69" s="2" t="s">
        <v>55</v>
      </c>
      <c r="N69" s="2"/>
      <c r="O69" s="2"/>
      <c r="P69" s="7">
        <v>13.990210926226601</v>
      </c>
      <c r="Q69" s="6" t="s">
        <v>57</v>
      </c>
      <c r="R69" s="9">
        <v>0</v>
      </c>
      <c r="S69" s="2"/>
      <c r="T69" s="9">
        <v>0</v>
      </c>
      <c r="U69" s="9">
        <v>0</v>
      </c>
      <c r="V69" s="9">
        <v>0</v>
      </c>
      <c r="W69" s="9">
        <v>0</v>
      </c>
      <c r="X69" s="9">
        <v>0</v>
      </c>
      <c r="Y69" s="9">
        <v>0</v>
      </c>
      <c r="Z69" s="9">
        <v>11892</v>
      </c>
      <c r="AA69" s="9">
        <v>9747</v>
      </c>
      <c r="AB69" s="9">
        <v>0</v>
      </c>
      <c r="AC69" s="9">
        <v>0</v>
      </c>
      <c r="AD69" s="9">
        <v>0</v>
      </c>
      <c r="AE69" s="6" t="s">
        <v>57</v>
      </c>
      <c r="AF69" s="6" t="s">
        <v>57</v>
      </c>
      <c r="AG69" s="6" t="s">
        <v>57</v>
      </c>
      <c r="AH69" s="6" t="s">
        <v>57</v>
      </c>
      <c r="AI69" s="6" t="s">
        <v>57</v>
      </c>
      <c r="AJ69" s="6" t="s">
        <v>57</v>
      </c>
      <c r="AK69" s="6" t="s">
        <v>57</v>
      </c>
      <c r="AL69" s="6" t="s">
        <v>57</v>
      </c>
      <c r="AM69" s="6" t="s">
        <v>57</v>
      </c>
      <c r="AN69" s="6" t="s">
        <v>57</v>
      </c>
      <c r="AO69" s="6" t="s">
        <v>57</v>
      </c>
      <c r="AP69" s="6" t="s">
        <v>57</v>
      </c>
      <c r="AQ69" s="9">
        <v>0</v>
      </c>
    </row>
    <row r="70" spans="1:43" ht="15">
      <c r="A70" s="2" t="s">
        <v>271</v>
      </c>
      <c r="B70" s="5">
        <v>101317012</v>
      </c>
      <c r="C70" s="2" t="s">
        <v>23</v>
      </c>
      <c r="D70" s="2" t="s">
        <v>272</v>
      </c>
      <c r="E70" s="2" t="s">
        <v>273</v>
      </c>
      <c r="F70" s="2" t="s">
        <v>26</v>
      </c>
      <c r="G70" s="2" t="s">
        <v>26</v>
      </c>
      <c r="H70" s="2" t="s">
        <v>27</v>
      </c>
      <c r="I70" s="2" t="s">
        <v>28</v>
      </c>
      <c r="J70" s="6"/>
      <c r="K70" s="2" t="s">
        <v>55</v>
      </c>
      <c r="L70" s="2" t="s">
        <v>56</v>
      </c>
      <c r="M70" s="2" t="s">
        <v>55</v>
      </c>
      <c r="N70" s="2"/>
      <c r="O70" s="2"/>
      <c r="P70" s="6" t="s">
        <v>57</v>
      </c>
      <c r="Q70" s="6" t="s">
        <v>57</v>
      </c>
      <c r="R70" s="9">
        <v>0</v>
      </c>
      <c r="S70" s="2"/>
      <c r="T70" s="9">
        <v>0</v>
      </c>
      <c r="U70" s="9">
        <v>2083</v>
      </c>
      <c r="V70" s="9">
        <v>1869</v>
      </c>
      <c r="W70" s="9">
        <v>701</v>
      </c>
      <c r="X70" s="9">
        <v>698</v>
      </c>
      <c r="Y70" s="9">
        <v>399</v>
      </c>
      <c r="Z70" s="9">
        <v>611</v>
      </c>
      <c r="AA70" s="9">
        <v>3557</v>
      </c>
      <c r="AB70" s="9">
        <v>2381</v>
      </c>
      <c r="AC70" s="9">
        <v>1961</v>
      </c>
      <c r="AD70" s="9">
        <v>1123</v>
      </c>
      <c r="AE70" s="6" t="s">
        <v>57</v>
      </c>
      <c r="AF70" s="6" t="s">
        <v>57</v>
      </c>
      <c r="AG70" s="6" t="s">
        <v>57</v>
      </c>
      <c r="AH70" s="6" t="s">
        <v>57</v>
      </c>
      <c r="AI70" s="6" t="s">
        <v>57</v>
      </c>
      <c r="AJ70" s="6" t="s">
        <v>57</v>
      </c>
      <c r="AK70" s="6" t="s">
        <v>57</v>
      </c>
      <c r="AL70" s="6" t="s">
        <v>57</v>
      </c>
      <c r="AM70" s="6" t="s">
        <v>57</v>
      </c>
      <c r="AN70" s="6" t="s">
        <v>57</v>
      </c>
      <c r="AO70" s="6" t="s">
        <v>57</v>
      </c>
      <c r="AP70" s="6" t="s">
        <v>57</v>
      </c>
      <c r="AQ70" s="9">
        <v>0</v>
      </c>
    </row>
    <row r="71" spans="1:43" ht="15">
      <c r="A71" s="2" t="s">
        <v>274</v>
      </c>
      <c r="B71" s="5">
        <v>138975773</v>
      </c>
      <c r="C71" s="2" t="s">
        <v>23</v>
      </c>
      <c r="D71" s="2" t="s">
        <v>275</v>
      </c>
      <c r="E71" s="2" t="s">
        <v>276</v>
      </c>
      <c r="F71" s="2" t="s">
        <v>26</v>
      </c>
      <c r="G71" s="2" t="s">
        <v>26</v>
      </c>
      <c r="H71" s="2" t="s">
        <v>27</v>
      </c>
      <c r="I71" s="2" t="s">
        <v>28</v>
      </c>
      <c r="J71" s="6"/>
      <c r="K71" s="2" t="s">
        <v>55</v>
      </c>
      <c r="L71" s="2" t="s">
        <v>56</v>
      </c>
      <c r="M71" s="2" t="s">
        <v>55</v>
      </c>
      <c r="N71" s="2"/>
      <c r="O71" s="2"/>
      <c r="P71" s="6" t="s">
        <v>57</v>
      </c>
      <c r="Q71" s="6" t="s">
        <v>57</v>
      </c>
      <c r="R71" s="9">
        <v>98420</v>
      </c>
      <c r="S71" s="2"/>
      <c r="T71" s="9">
        <v>32807</v>
      </c>
      <c r="U71" s="9">
        <v>8202</v>
      </c>
      <c r="V71" s="9">
        <v>14362</v>
      </c>
      <c r="W71" s="9">
        <v>6428</v>
      </c>
      <c r="X71" s="9">
        <v>6428</v>
      </c>
      <c r="Y71" s="9">
        <v>6428</v>
      </c>
      <c r="Z71" s="9">
        <v>6428</v>
      </c>
      <c r="AA71" s="9">
        <v>6428</v>
      </c>
      <c r="AB71" s="9">
        <v>9373</v>
      </c>
      <c r="AC71" s="9">
        <v>11339</v>
      </c>
      <c r="AD71" s="9">
        <v>7814</v>
      </c>
      <c r="AE71" s="6" t="s">
        <v>57</v>
      </c>
      <c r="AF71" s="6" t="s">
        <v>57</v>
      </c>
      <c r="AG71" s="6" t="s">
        <v>57</v>
      </c>
      <c r="AH71" s="6" t="s">
        <v>57</v>
      </c>
      <c r="AI71" s="6" t="s">
        <v>57</v>
      </c>
      <c r="AJ71" s="6" t="s">
        <v>57</v>
      </c>
      <c r="AK71" s="6" t="s">
        <v>57</v>
      </c>
      <c r="AL71" s="6" t="s">
        <v>57</v>
      </c>
      <c r="AM71" s="6" t="s">
        <v>57</v>
      </c>
      <c r="AN71" s="6" t="s">
        <v>57</v>
      </c>
      <c r="AO71" s="6" t="s">
        <v>57</v>
      </c>
      <c r="AP71" s="6" t="s">
        <v>57</v>
      </c>
      <c r="AQ71" s="9">
        <v>196840</v>
      </c>
    </row>
    <row r="72" spans="1:43" ht="15">
      <c r="A72" s="2" t="s">
        <v>277</v>
      </c>
      <c r="B72" s="5">
        <v>115709120</v>
      </c>
      <c r="C72" s="2" t="s">
        <v>23</v>
      </c>
      <c r="D72" s="2" t="s">
        <v>278</v>
      </c>
      <c r="E72" s="2" t="s">
        <v>279</v>
      </c>
      <c r="F72" s="2" t="s">
        <v>26</v>
      </c>
      <c r="G72" s="2" t="s">
        <v>26</v>
      </c>
      <c r="H72" s="2" t="s">
        <v>27</v>
      </c>
      <c r="I72" s="2" t="s">
        <v>28</v>
      </c>
      <c r="J72" s="6"/>
      <c r="K72" s="2" t="s">
        <v>55</v>
      </c>
      <c r="L72" s="2" t="s">
        <v>56</v>
      </c>
      <c r="M72" s="2" t="s">
        <v>55</v>
      </c>
      <c r="N72" s="2"/>
      <c r="O72" s="2"/>
      <c r="P72" s="6" t="s">
        <v>57</v>
      </c>
      <c r="Q72" s="6" t="s">
        <v>57</v>
      </c>
      <c r="R72" s="6" t="s">
        <v>57</v>
      </c>
      <c r="S72" s="2"/>
      <c r="T72" s="6" t="s">
        <v>57</v>
      </c>
      <c r="U72" s="6" t="s">
        <v>57</v>
      </c>
      <c r="V72" s="6" t="s">
        <v>57</v>
      </c>
      <c r="W72" s="6" t="s">
        <v>57</v>
      </c>
      <c r="X72" s="6" t="s">
        <v>57</v>
      </c>
      <c r="Y72" s="6" t="s">
        <v>57</v>
      </c>
      <c r="Z72" s="6" t="s">
        <v>57</v>
      </c>
      <c r="AA72" s="6" t="s">
        <v>57</v>
      </c>
      <c r="AB72" s="6" t="s">
        <v>57</v>
      </c>
      <c r="AC72" s="6" t="s">
        <v>57</v>
      </c>
      <c r="AD72" s="6" t="s">
        <v>57</v>
      </c>
      <c r="AE72" s="6" t="s">
        <v>57</v>
      </c>
      <c r="AF72" s="6" t="s">
        <v>57</v>
      </c>
      <c r="AG72" s="6" t="s">
        <v>57</v>
      </c>
      <c r="AH72" s="6" t="s">
        <v>57</v>
      </c>
      <c r="AI72" s="6" t="s">
        <v>57</v>
      </c>
      <c r="AJ72" s="6" t="s">
        <v>57</v>
      </c>
      <c r="AK72" s="6" t="s">
        <v>57</v>
      </c>
      <c r="AL72" s="6" t="s">
        <v>57</v>
      </c>
      <c r="AM72" s="6" t="s">
        <v>57</v>
      </c>
      <c r="AN72" s="6" t="s">
        <v>57</v>
      </c>
      <c r="AO72" s="6" t="s">
        <v>57</v>
      </c>
      <c r="AP72" s="6" t="s">
        <v>57</v>
      </c>
      <c r="AQ72" s="6" t="s">
        <v>57</v>
      </c>
    </row>
    <row r="73" spans="1:43" ht="15">
      <c r="A73" s="2" t="s">
        <v>280</v>
      </c>
      <c r="B73" s="5">
        <v>13441084</v>
      </c>
      <c r="C73" s="2" t="s">
        <v>23</v>
      </c>
      <c r="D73" s="2" t="s">
        <v>281</v>
      </c>
      <c r="E73" s="2" t="s">
        <v>282</v>
      </c>
      <c r="F73" s="2" t="s">
        <v>26</v>
      </c>
      <c r="G73" s="2"/>
      <c r="H73" s="2"/>
      <c r="I73" s="2" t="s">
        <v>28</v>
      </c>
      <c r="J73" s="6"/>
      <c r="K73" s="2" t="s">
        <v>55</v>
      </c>
      <c r="L73" s="2" t="s">
        <v>56</v>
      </c>
      <c r="M73" s="2" t="s">
        <v>55</v>
      </c>
      <c r="N73" s="2"/>
      <c r="O73" s="2"/>
      <c r="P73" s="7">
        <v>8.7221026587849995</v>
      </c>
      <c r="Q73" s="6" t="s">
        <v>57</v>
      </c>
      <c r="R73" s="9">
        <v>0</v>
      </c>
      <c r="S73" s="2"/>
      <c r="T73" s="9">
        <v>0</v>
      </c>
      <c r="U73" s="9">
        <v>2408</v>
      </c>
      <c r="V73" s="9">
        <v>1684</v>
      </c>
      <c r="W73" s="9">
        <v>433</v>
      </c>
      <c r="X73" s="9">
        <v>431</v>
      </c>
      <c r="Y73" s="9">
        <v>217</v>
      </c>
      <c r="Z73" s="9">
        <v>145</v>
      </c>
      <c r="AA73" s="9">
        <v>87</v>
      </c>
      <c r="AB73" s="9">
        <v>2752</v>
      </c>
      <c r="AC73" s="9">
        <v>1767</v>
      </c>
      <c r="AD73" s="9">
        <v>869</v>
      </c>
      <c r="AE73" s="6" t="s">
        <v>57</v>
      </c>
      <c r="AF73" s="6" t="s">
        <v>57</v>
      </c>
      <c r="AG73" s="6" t="s">
        <v>57</v>
      </c>
      <c r="AH73" s="6" t="s">
        <v>57</v>
      </c>
      <c r="AI73" s="6" t="s">
        <v>57</v>
      </c>
      <c r="AJ73" s="6" t="s">
        <v>57</v>
      </c>
      <c r="AK73" s="6" t="s">
        <v>57</v>
      </c>
      <c r="AL73" s="6" t="s">
        <v>57</v>
      </c>
      <c r="AM73" s="6" t="s">
        <v>57</v>
      </c>
      <c r="AN73" s="6" t="s">
        <v>57</v>
      </c>
      <c r="AO73" s="6" t="s">
        <v>57</v>
      </c>
      <c r="AP73" s="6" t="s">
        <v>57</v>
      </c>
      <c r="AQ73" s="9">
        <v>0</v>
      </c>
    </row>
    <row r="74" spans="1:43" ht="15">
      <c r="A74" s="2" t="s">
        <v>283</v>
      </c>
      <c r="B74" s="5">
        <v>106240080</v>
      </c>
      <c r="C74" s="2" t="s">
        <v>23</v>
      </c>
      <c r="D74" s="2" t="s">
        <v>284</v>
      </c>
      <c r="E74" s="2" t="s">
        <v>285</v>
      </c>
      <c r="F74" s="2" t="s">
        <v>26</v>
      </c>
      <c r="G74" s="2"/>
      <c r="H74" s="2"/>
      <c r="I74" s="2" t="s">
        <v>28</v>
      </c>
      <c r="J74" s="6"/>
      <c r="K74" s="2" t="s">
        <v>55</v>
      </c>
      <c r="L74" s="2" t="s">
        <v>56</v>
      </c>
      <c r="M74" s="2" t="s">
        <v>55</v>
      </c>
      <c r="N74" s="2"/>
      <c r="O74" s="2"/>
      <c r="P74" s="7">
        <v>4.0145766568959997</v>
      </c>
      <c r="Q74" s="6" t="s">
        <v>57</v>
      </c>
      <c r="R74" s="9">
        <v>0</v>
      </c>
      <c r="S74" s="2"/>
      <c r="T74" s="9">
        <v>0</v>
      </c>
      <c r="U74" s="9">
        <v>0</v>
      </c>
      <c r="V74" s="9">
        <v>0</v>
      </c>
      <c r="W74" s="9">
        <v>0</v>
      </c>
      <c r="X74" s="9">
        <v>0</v>
      </c>
      <c r="Y74" s="9">
        <v>0</v>
      </c>
      <c r="Z74" s="9">
        <v>0</v>
      </c>
      <c r="AA74" s="9">
        <v>367</v>
      </c>
      <c r="AB74" s="9">
        <v>0</v>
      </c>
      <c r="AC74" s="9">
        <v>0</v>
      </c>
      <c r="AD74" s="9">
        <v>0</v>
      </c>
      <c r="AE74" s="6" t="s">
        <v>57</v>
      </c>
      <c r="AF74" s="6" t="s">
        <v>57</v>
      </c>
      <c r="AG74" s="6" t="s">
        <v>57</v>
      </c>
      <c r="AH74" s="6" t="s">
        <v>57</v>
      </c>
      <c r="AI74" s="6" t="s">
        <v>57</v>
      </c>
      <c r="AJ74" s="6" t="s">
        <v>57</v>
      </c>
      <c r="AK74" s="6" t="s">
        <v>57</v>
      </c>
      <c r="AL74" s="6" t="s">
        <v>57</v>
      </c>
      <c r="AM74" s="6" t="s">
        <v>57</v>
      </c>
      <c r="AN74" s="6" t="s">
        <v>57</v>
      </c>
      <c r="AO74" s="6" t="s">
        <v>57</v>
      </c>
      <c r="AP74" s="6" t="s">
        <v>57</v>
      </c>
      <c r="AQ74" s="9">
        <v>0</v>
      </c>
    </row>
    <row r="75" spans="1:43" ht="15">
      <c r="A75" s="2" t="s">
        <v>286</v>
      </c>
      <c r="B75" s="5">
        <v>139133010</v>
      </c>
      <c r="C75" s="2" t="s">
        <v>23</v>
      </c>
      <c r="D75" s="2" t="s">
        <v>287</v>
      </c>
      <c r="E75" s="2" t="s">
        <v>288</v>
      </c>
      <c r="F75" s="2" t="s">
        <v>26</v>
      </c>
      <c r="G75" s="2"/>
      <c r="H75" s="2"/>
      <c r="I75" s="2" t="s">
        <v>28</v>
      </c>
      <c r="J75" s="6"/>
      <c r="K75" s="2" t="s">
        <v>55</v>
      </c>
      <c r="L75" s="2" t="s">
        <v>56</v>
      </c>
      <c r="M75" s="2" t="s">
        <v>55</v>
      </c>
      <c r="N75" s="2"/>
      <c r="O75" s="2"/>
      <c r="P75" s="6" t="s">
        <v>57</v>
      </c>
      <c r="Q75" s="6" t="s">
        <v>57</v>
      </c>
      <c r="R75" s="6" t="s">
        <v>57</v>
      </c>
      <c r="S75" s="2"/>
      <c r="T75" s="6" t="s">
        <v>57</v>
      </c>
      <c r="U75" s="6" t="s">
        <v>57</v>
      </c>
      <c r="V75" s="6" t="s">
        <v>57</v>
      </c>
      <c r="W75" s="6" t="s">
        <v>57</v>
      </c>
      <c r="X75" s="6" t="s">
        <v>57</v>
      </c>
      <c r="Y75" s="6" t="s">
        <v>57</v>
      </c>
      <c r="Z75" s="6" t="s">
        <v>57</v>
      </c>
      <c r="AA75" s="6" t="s">
        <v>57</v>
      </c>
      <c r="AB75" s="6" t="s">
        <v>57</v>
      </c>
      <c r="AC75" s="6" t="s">
        <v>57</v>
      </c>
      <c r="AD75" s="6" t="s">
        <v>57</v>
      </c>
      <c r="AE75" s="6" t="s">
        <v>57</v>
      </c>
      <c r="AF75" s="6" t="s">
        <v>57</v>
      </c>
      <c r="AG75" s="6" t="s">
        <v>57</v>
      </c>
      <c r="AH75" s="6" t="s">
        <v>57</v>
      </c>
      <c r="AI75" s="6" t="s">
        <v>57</v>
      </c>
      <c r="AJ75" s="6" t="s">
        <v>57</v>
      </c>
      <c r="AK75" s="6" t="s">
        <v>57</v>
      </c>
      <c r="AL75" s="6" t="s">
        <v>57</v>
      </c>
      <c r="AM75" s="6" t="s">
        <v>57</v>
      </c>
      <c r="AN75" s="6" t="s">
        <v>57</v>
      </c>
      <c r="AO75" s="6" t="s">
        <v>57</v>
      </c>
      <c r="AP75" s="6" t="s">
        <v>57</v>
      </c>
      <c r="AQ75" s="6" t="s">
        <v>57</v>
      </c>
    </row>
    <row r="76" spans="1:43" ht="15">
      <c r="A76" s="2" t="s">
        <v>289</v>
      </c>
      <c r="B76" s="5">
        <v>108002641</v>
      </c>
      <c r="C76" s="2" t="s">
        <v>23</v>
      </c>
      <c r="D76" s="2" t="s">
        <v>290</v>
      </c>
      <c r="E76" s="2" t="s">
        <v>291</v>
      </c>
      <c r="F76" s="2" t="s">
        <v>26</v>
      </c>
      <c r="G76" s="2" t="s">
        <v>26</v>
      </c>
      <c r="H76" s="2" t="s">
        <v>27</v>
      </c>
      <c r="I76" s="2" t="s">
        <v>28</v>
      </c>
      <c r="J76" s="6"/>
      <c r="K76" s="2" t="s">
        <v>55</v>
      </c>
      <c r="L76" s="2" t="s">
        <v>56</v>
      </c>
      <c r="M76" s="2" t="s">
        <v>55</v>
      </c>
      <c r="N76" s="2"/>
      <c r="O76" s="2"/>
      <c r="P76" s="6" t="s">
        <v>57</v>
      </c>
      <c r="Q76" s="6" t="s">
        <v>57</v>
      </c>
      <c r="R76" s="9">
        <v>17349</v>
      </c>
      <c r="S76" s="2"/>
      <c r="T76" s="9">
        <v>9277</v>
      </c>
      <c r="U76" s="9">
        <v>27980</v>
      </c>
      <c r="V76" s="9">
        <v>19288</v>
      </c>
      <c r="W76" s="9">
        <v>8330</v>
      </c>
      <c r="X76" s="9">
        <v>8297</v>
      </c>
      <c r="Y76" s="9">
        <v>4851</v>
      </c>
      <c r="Z76" s="9">
        <v>3613</v>
      </c>
      <c r="AA76" s="9">
        <v>3773</v>
      </c>
      <c r="AB76" s="9">
        <v>30373</v>
      </c>
      <c r="AC76" s="9">
        <v>20175</v>
      </c>
      <c r="AD76" s="9">
        <v>14181</v>
      </c>
      <c r="AE76" s="6" t="s">
        <v>57</v>
      </c>
      <c r="AF76" s="6" t="s">
        <v>57</v>
      </c>
      <c r="AG76" s="6" t="s">
        <v>57</v>
      </c>
      <c r="AH76" s="6" t="s">
        <v>57</v>
      </c>
      <c r="AI76" s="6" t="s">
        <v>57</v>
      </c>
      <c r="AJ76" s="6" t="s">
        <v>57</v>
      </c>
      <c r="AK76" s="6" t="s">
        <v>57</v>
      </c>
      <c r="AL76" s="6" t="s">
        <v>57</v>
      </c>
      <c r="AM76" s="6" t="s">
        <v>57</v>
      </c>
      <c r="AN76" s="6" t="s">
        <v>57</v>
      </c>
      <c r="AO76" s="6" t="s">
        <v>57</v>
      </c>
      <c r="AP76" s="6" t="s">
        <v>57</v>
      </c>
      <c r="AQ76" s="9">
        <v>26637</v>
      </c>
    </row>
    <row r="77" spans="1:43" ht="15">
      <c r="A77" s="2" t="s">
        <v>292</v>
      </c>
      <c r="B77" s="5">
        <v>101365582</v>
      </c>
      <c r="C77" s="2" t="s">
        <v>23</v>
      </c>
      <c r="D77" s="2" t="s">
        <v>293</v>
      </c>
      <c r="E77" s="2" t="s">
        <v>294</v>
      </c>
      <c r="F77" s="2" t="s">
        <v>26</v>
      </c>
      <c r="G77" s="2" t="s">
        <v>26</v>
      </c>
      <c r="H77" s="2" t="s">
        <v>27</v>
      </c>
      <c r="I77" s="2" t="s">
        <v>28</v>
      </c>
      <c r="J77" s="6"/>
      <c r="K77" s="2" t="s">
        <v>55</v>
      </c>
      <c r="L77" s="2" t="s">
        <v>56</v>
      </c>
      <c r="M77" s="2" t="s">
        <v>55</v>
      </c>
      <c r="N77" s="2"/>
      <c r="O77" s="2"/>
      <c r="P77" s="6" t="s">
        <v>57</v>
      </c>
      <c r="Q77" s="6" t="s">
        <v>57</v>
      </c>
      <c r="R77" s="9">
        <v>0</v>
      </c>
      <c r="S77" s="2"/>
      <c r="T77" s="9">
        <v>0</v>
      </c>
      <c r="U77" s="9">
        <v>0</v>
      </c>
      <c r="V77" s="9">
        <v>0</v>
      </c>
      <c r="W77" s="9">
        <v>0</v>
      </c>
      <c r="X77" s="9">
        <v>0</v>
      </c>
      <c r="Y77" s="9">
        <v>0</v>
      </c>
      <c r="Z77" s="9">
        <v>0</v>
      </c>
      <c r="AA77" s="9">
        <v>6362</v>
      </c>
      <c r="AB77" s="9">
        <v>0</v>
      </c>
      <c r="AC77" s="9">
        <v>0</v>
      </c>
      <c r="AD77" s="9">
        <v>0</v>
      </c>
      <c r="AE77" s="6" t="s">
        <v>57</v>
      </c>
      <c r="AF77" s="6" t="s">
        <v>57</v>
      </c>
      <c r="AG77" s="6" t="s">
        <v>57</v>
      </c>
      <c r="AH77" s="6" t="s">
        <v>57</v>
      </c>
      <c r="AI77" s="6" t="s">
        <v>57</v>
      </c>
      <c r="AJ77" s="6" t="s">
        <v>57</v>
      </c>
      <c r="AK77" s="6" t="s">
        <v>57</v>
      </c>
      <c r="AL77" s="6" t="s">
        <v>57</v>
      </c>
      <c r="AM77" s="6" t="s">
        <v>57</v>
      </c>
      <c r="AN77" s="6" t="s">
        <v>57</v>
      </c>
      <c r="AO77" s="6" t="s">
        <v>57</v>
      </c>
      <c r="AP77" s="6" t="s">
        <v>57</v>
      </c>
      <c r="AQ77" s="9">
        <v>0</v>
      </c>
    </row>
    <row r="78" spans="1:43" ht="15">
      <c r="A78" s="2" t="s">
        <v>295</v>
      </c>
      <c r="B78" s="5">
        <v>101365081</v>
      </c>
      <c r="C78" s="2" t="s">
        <v>23</v>
      </c>
      <c r="D78" s="2" t="s">
        <v>296</v>
      </c>
      <c r="E78" s="2" t="s">
        <v>297</v>
      </c>
      <c r="F78" s="2" t="s">
        <v>26</v>
      </c>
      <c r="G78" s="2"/>
      <c r="H78" s="2"/>
      <c r="I78" s="2" t="s">
        <v>28</v>
      </c>
      <c r="J78" s="6"/>
      <c r="K78" s="2" t="s">
        <v>55</v>
      </c>
      <c r="L78" s="2" t="s">
        <v>56</v>
      </c>
      <c r="M78" s="2" t="s">
        <v>55</v>
      </c>
      <c r="N78" s="2"/>
      <c r="O78" s="2"/>
      <c r="P78" s="6" t="s">
        <v>57</v>
      </c>
      <c r="Q78" s="6" t="s">
        <v>57</v>
      </c>
      <c r="R78" s="9">
        <v>0</v>
      </c>
      <c r="S78" s="2"/>
      <c r="T78" s="9">
        <v>0</v>
      </c>
      <c r="U78" s="9">
        <v>0</v>
      </c>
      <c r="V78" s="9">
        <v>0</v>
      </c>
      <c r="W78" s="9">
        <v>0</v>
      </c>
      <c r="X78" s="9">
        <v>0</v>
      </c>
      <c r="Y78" s="9">
        <v>0</v>
      </c>
      <c r="Z78" s="9">
        <v>150</v>
      </c>
      <c r="AA78" s="9">
        <v>549</v>
      </c>
      <c r="AB78" s="9">
        <v>0</v>
      </c>
      <c r="AC78" s="9">
        <v>0</v>
      </c>
      <c r="AD78" s="9">
        <v>0</v>
      </c>
      <c r="AE78" s="6" t="s">
        <v>57</v>
      </c>
      <c r="AF78" s="6" t="s">
        <v>57</v>
      </c>
      <c r="AG78" s="6" t="s">
        <v>57</v>
      </c>
      <c r="AH78" s="6" t="s">
        <v>57</v>
      </c>
      <c r="AI78" s="6" t="s">
        <v>57</v>
      </c>
      <c r="AJ78" s="6" t="s">
        <v>57</v>
      </c>
      <c r="AK78" s="6" t="s">
        <v>57</v>
      </c>
      <c r="AL78" s="6" t="s">
        <v>57</v>
      </c>
      <c r="AM78" s="6" t="s">
        <v>57</v>
      </c>
      <c r="AN78" s="6" t="s">
        <v>57</v>
      </c>
      <c r="AO78" s="6" t="s">
        <v>57</v>
      </c>
      <c r="AP78" s="6" t="s">
        <v>57</v>
      </c>
      <c r="AQ78" s="9">
        <v>0</v>
      </c>
    </row>
    <row r="79" spans="1:43" ht="15">
      <c r="A79" s="2" t="s">
        <v>298</v>
      </c>
      <c r="B79" s="5">
        <v>101365581</v>
      </c>
      <c r="C79" s="2" t="s">
        <v>23</v>
      </c>
      <c r="D79" s="2" t="s">
        <v>299</v>
      </c>
      <c r="E79" s="2" t="s">
        <v>300</v>
      </c>
      <c r="F79" s="2" t="s">
        <v>26</v>
      </c>
      <c r="G79" s="2"/>
      <c r="H79" s="2"/>
      <c r="I79" s="2" t="s">
        <v>28</v>
      </c>
      <c r="J79" s="6"/>
      <c r="K79" s="2" t="s">
        <v>55</v>
      </c>
      <c r="L79" s="2" t="s">
        <v>56</v>
      </c>
      <c r="M79" s="2" t="s">
        <v>55</v>
      </c>
      <c r="N79" s="2"/>
      <c r="O79" s="2"/>
      <c r="P79" s="6" t="s">
        <v>57</v>
      </c>
      <c r="Q79" s="6" t="s">
        <v>57</v>
      </c>
      <c r="R79" s="9">
        <v>0</v>
      </c>
      <c r="S79" s="2"/>
      <c r="T79" s="9">
        <v>0</v>
      </c>
      <c r="U79" s="9">
        <v>0</v>
      </c>
      <c r="V79" s="9">
        <v>0</v>
      </c>
      <c r="W79" s="9">
        <v>0</v>
      </c>
      <c r="X79" s="9">
        <v>0</v>
      </c>
      <c r="Y79" s="9">
        <v>0</v>
      </c>
      <c r="Z79" s="9">
        <v>0</v>
      </c>
      <c r="AA79" s="9">
        <v>0</v>
      </c>
      <c r="AB79" s="9">
        <v>0</v>
      </c>
      <c r="AC79" s="9">
        <v>0</v>
      </c>
      <c r="AD79" s="9">
        <v>0</v>
      </c>
      <c r="AE79" s="6" t="s">
        <v>57</v>
      </c>
      <c r="AF79" s="6" t="s">
        <v>57</v>
      </c>
      <c r="AG79" s="6" t="s">
        <v>57</v>
      </c>
      <c r="AH79" s="6" t="s">
        <v>57</v>
      </c>
      <c r="AI79" s="6" t="s">
        <v>57</v>
      </c>
      <c r="AJ79" s="6" t="s">
        <v>57</v>
      </c>
      <c r="AK79" s="6" t="s">
        <v>57</v>
      </c>
      <c r="AL79" s="6" t="s">
        <v>57</v>
      </c>
      <c r="AM79" s="6" t="s">
        <v>57</v>
      </c>
      <c r="AN79" s="6" t="s">
        <v>57</v>
      </c>
      <c r="AO79" s="6" t="s">
        <v>57</v>
      </c>
      <c r="AP79" s="6" t="s">
        <v>57</v>
      </c>
      <c r="AQ79" s="9">
        <v>0</v>
      </c>
    </row>
    <row r="80" spans="1:43" ht="15">
      <c r="A80" s="2" t="s">
        <v>301</v>
      </c>
      <c r="B80" s="5">
        <v>115007042</v>
      </c>
      <c r="C80" s="2" t="s">
        <v>23</v>
      </c>
      <c r="D80" s="2" t="s">
        <v>302</v>
      </c>
      <c r="E80" s="2" t="s">
        <v>303</v>
      </c>
      <c r="F80" s="2" t="s">
        <v>26</v>
      </c>
      <c r="G80" s="2"/>
      <c r="H80" s="2"/>
      <c r="I80" s="2" t="s">
        <v>28</v>
      </c>
      <c r="J80" s="6"/>
      <c r="K80" s="2" t="s">
        <v>55</v>
      </c>
      <c r="L80" s="2" t="s">
        <v>56</v>
      </c>
      <c r="M80" s="2" t="s">
        <v>55</v>
      </c>
      <c r="N80" s="2"/>
      <c r="O80" s="2"/>
      <c r="P80" s="6" t="s">
        <v>57</v>
      </c>
      <c r="Q80" s="6" t="s">
        <v>57</v>
      </c>
      <c r="R80" s="6" t="s">
        <v>57</v>
      </c>
      <c r="S80" s="2"/>
      <c r="T80" s="6" t="s">
        <v>57</v>
      </c>
      <c r="U80" s="6" t="s">
        <v>57</v>
      </c>
      <c r="V80" s="6" t="s">
        <v>57</v>
      </c>
      <c r="W80" s="6" t="s">
        <v>57</v>
      </c>
      <c r="X80" s="6" t="s">
        <v>57</v>
      </c>
      <c r="Y80" s="6" t="s">
        <v>57</v>
      </c>
      <c r="Z80" s="6" t="s">
        <v>57</v>
      </c>
      <c r="AA80" s="6" t="s">
        <v>57</v>
      </c>
      <c r="AB80" s="6" t="s">
        <v>57</v>
      </c>
      <c r="AC80" s="6" t="s">
        <v>57</v>
      </c>
      <c r="AD80" s="6" t="s">
        <v>57</v>
      </c>
      <c r="AE80" s="6" t="s">
        <v>57</v>
      </c>
      <c r="AF80" s="6" t="s">
        <v>57</v>
      </c>
      <c r="AG80" s="6" t="s">
        <v>57</v>
      </c>
      <c r="AH80" s="6" t="s">
        <v>57</v>
      </c>
      <c r="AI80" s="6" t="s">
        <v>57</v>
      </c>
      <c r="AJ80" s="6" t="s">
        <v>57</v>
      </c>
      <c r="AK80" s="6" t="s">
        <v>57</v>
      </c>
      <c r="AL80" s="6" t="s">
        <v>57</v>
      </c>
      <c r="AM80" s="6" t="s">
        <v>57</v>
      </c>
      <c r="AN80" s="6" t="s">
        <v>57</v>
      </c>
      <c r="AO80" s="6" t="s">
        <v>57</v>
      </c>
      <c r="AP80" s="6" t="s">
        <v>57</v>
      </c>
      <c r="AQ80" s="6" t="s">
        <v>57</v>
      </c>
    </row>
    <row r="81" spans="1:43" ht="15">
      <c r="A81" s="2" t="s">
        <v>304</v>
      </c>
      <c r="B81" s="5">
        <v>113543692</v>
      </c>
      <c r="C81" s="2" t="s">
        <v>23</v>
      </c>
      <c r="D81" s="2" t="s">
        <v>305</v>
      </c>
      <c r="E81" s="2" t="s">
        <v>306</v>
      </c>
      <c r="F81" s="2" t="s">
        <v>26</v>
      </c>
      <c r="G81" s="2" t="s">
        <v>26</v>
      </c>
      <c r="H81" s="2" t="s">
        <v>27</v>
      </c>
      <c r="I81" s="2" t="s">
        <v>28</v>
      </c>
      <c r="J81" s="6"/>
      <c r="K81" s="2" t="s">
        <v>55</v>
      </c>
      <c r="L81" s="2" t="s">
        <v>56</v>
      </c>
      <c r="M81" s="2" t="s">
        <v>55</v>
      </c>
      <c r="N81" s="2"/>
      <c r="O81" s="2"/>
      <c r="P81" s="6" t="s">
        <v>57</v>
      </c>
      <c r="Q81" s="6" t="s">
        <v>57</v>
      </c>
      <c r="R81" s="9">
        <v>0</v>
      </c>
      <c r="S81" s="2"/>
      <c r="T81" s="9">
        <v>0</v>
      </c>
      <c r="U81" s="9">
        <v>33</v>
      </c>
      <c r="V81" s="9">
        <v>13</v>
      </c>
      <c r="W81" s="9">
        <v>294</v>
      </c>
      <c r="X81" s="9">
        <v>293</v>
      </c>
      <c r="Y81" s="9">
        <v>411</v>
      </c>
      <c r="Z81" s="9">
        <v>4251</v>
      </c>
      <c r="AA81" s="9">
        <v>4251</v>
      </c>
      <c r="AB81" s="9">
        <v>38</v>
      </c>
      <c r="AC81" s="9">
        <v>13</v>
      </c>
      <c r="AD81" s="9">
        <v>6</v>
      </c>
      <c r="AE81" s="6" t="s">
        <v>57</v>
      </c>
      <c r="AF81" s="6" t="s">
        <v>57</v>
      </c>
      <c r="AG81" s="6" t="s">
        <v>57</v>
      </c>
      <c r="AH81" s="6" t="s">
        <v>57</v>
      </c>
      <c r="AI81" s="6" t="s">
        <v>57</v>
      </c>
      <c r="AJ81" s="6" t="s">
        <v>57</v>
      </c>
      <c r="AK81" s="6" t="s">
        <v>57</v>
      </c>
      <c r="AL81" s="6" t="s">
        <v>57</v>
      </c>
      <c r="AM81" s="6" t="s">
        <v>57</v>
      </c>
      <c r="AN81" s="6" t="s">
        <v>57</v>
      </c>
      <c r="AO81" s="6" t="s">
        <v>57</v>
      </c>
      <c r="AP81" s="6" t="s">
        <v>57</v>
      </c>
      <c r="AQ81" s="9">
        <v>0</v>
      </c>
    </row>
    <row r="82" spans="1:43" ht="15">
      <c r="A82" s="2" t="s">
        <v>307</v>
      </c>
      <c r="B82" s="5">
        <v>25851570</v>
      </c>
      <c r="C82" s="2" t="s">
        <v>23</v>
      </c>
      <c r="D82" s="2" t="s">
        <v>308</v>
      </c>
      <c r="E82" s="2" t="s">
        <v>309</v>
      </c>
      <c r="F82" s="2" t="s">
        <v>26</v>
      </c>
      <c r="G82" s="2" t="s">
        <v>26</v>
      </c>
      <c r="H82" s="2" t="s">
        <v>27</v>
      </c>
      <c r="I82" s="2" t="s">
        <v>28</v>
      </c>
      <c r="J82" s="6"/>
      <c r="K82" s="2" t="s">
        <v>55</v>
      </c>
      <c r="L82" s="2" t="s">
        <v>56</v>
      </c>
      <c r="M82" s="2" t="s">
        <v>55</v>
      </c>
      <c r="N82" s="2"/>
      <c r="O82" s="2"/>
      <c r="P82" s="6" t="s">
        <v>57</v>
      </c>
      <c r="Q82" s="6" t="s">
        <v>57</v>
      </c>
      <c r="R82" s="9">
        <v>59201</v>
      </c>
      <c r="S82" s="2"/>
      <c r="T82" s="9">
        <v>30075</v>
      </c>
      <c r="U82" s="9">
        <v>24598</v>
      </c>
      <c r="V82" s="9">
        <v>23460</v>
      </c>
      <c r="W82" s="9">
        <v>36908</v>
      </c>
      <c r="X82" s="9">
        <v>36771</v>
      </c>
      <c r="Y82" s="9">
        <v>33205</v>
      </c>
      <c r="Z82" s="9">
        <v>27209</v>
      </c>
      <c r="AA82" s="9">
        <v>21704</v>
      </c>
      <c r="AB82" s="9">
        <v>22082</v>
      </c>
      <c r="AC82" s="9">
        <v>23644</v>
      </c>
      <c r="AD82" s="9">
        <v>57493</v>
      </c>
      <c r="AE82" s="6" t="s">
        <v>57</v>
      </c>
      <c r="AF82" s="6" t="s">
        <v>57</v>
      </c>
      <c r="AG82" s="6" t="s">
        <v>57</v>
      </c>
      <c r="AH82" s="6" t="s">
        <v>57</v>
      </c>
      <c r="AI82" s="6" t="s">
        <v>57</v>
      </c>
      <c r="AJ82" s="6" t="s">
        <v>57</v>
      </c>
      <c r="AK82" s="6" t="s">
        <v>57</v>
      </c>
      <c r="AL82" s="6" t="s">
        <v>57</v>
      </c>
      <c r="AM82" s="6" t="s">
        <v>57</v>
      </c>
      <c r="AN82" s="6" t="s">
        <v>57</v>
      </c>
      <c r="AO82" s="6" t="s">
        <v>57</v>
      </c>
      <c r="AP82" s="6" t="s">
        <v>57</v>
      </c>
      <c r="AQ82" s="9">
        <v>59675</v>
      </c>
    </row>
    <row r="83" spans="1:43" ht="15">
      <c r="A83" s="2" t="s">
        <v>310</v>
      </c>
      <c r="B83" s="5">
        <v>141970508</v>
      </c>
      <c r="C83" s="2" t="s">
        <v>23</v>
      </c>
      <c r="D83" s="2" t="s">
        <v>311</v>
      </c>
      <c r="E83" s="2" t="s">
        <v>312</v>
      </c>
      <c r="F83" s="2" t="s">
        <v>26</v>
      </c>
      <c r="G83" s="2"/>
      <c r="H83" s="2"/>
      <c r="I83" s="2" t="s">
        <v>28</v>
      </c>
      <c r="J83" s="6"/>
      <c r="K83" s="2" t="s">
        <v>55</v>
      </c>
      <c r="L83" s="2" t="s">
        <v>56</v>
      </c>
      <c r="M83" s="2" t="s">
        <v>55</v>
      </c>
      <c r="N83" s="2"/>
      <c r="O83" s="2"/>
      <c r="P83" s="6" t="s">
        <v>57</v>
      </c>
      <c r="Q83" s="6" t="s">
        <v>57</v>
      </c>
      <c r="R83" s="6" t="s">
        <v>57</v>
      </c>
      <c r="S83" s="2"/>
      <c r="T83" s="6" t="s">
        <v>57</v>
      </c>
      <c r="U83" s="6" t="s">
        <v>57</v>
      </c>
      <c r="V83" s="6" t="s">
        <v>57</v>
      </c>
      <c r="W83" s="6" t="s">
        <v>57</v>
      </c>
      <c r="X83" s="6" t="s">
        <v>57</v>
      </c>
      <c r="Y83" s="6" t="s">
        <v>57</v>
      </c>
      <c r="Z83" s="6" t="s">
        <v>57</v>
      </c>
      <c r="AA83" s="6" t="s">
        <v>57</v>
      </c>
      <c r="AB83" s="6" t="s">
        <v>57</v>
      </c>
      <c r="AC83" s="6" t="s">
        <v>57</v>
      </c>
      <c r="AD83" s="6" t="s">
        <v>57</v>
      </c>
      <c r="AE83" s="6" t="s">
        <v>57</v>
      </c>
      <c r="AF83" s="6" t="s">
        <v>57</v>
      </c>
      <c r="AG83" s="6" t="s">
        <v>57</v>
      </c>
      <c r="AH83" s="6" t="s">
        <v>57</v>
      </c>
      <c r="AI83" s="6" t="s">
        <v>57</v>
      </c>
      <c r="AJ83" s="6" t="s">
        <v>57</v>
      </c>
      <c r="AK83" s="6" t="s">
        <v>57</v>
      </c>
      <c r="AL83" s="6" t="s">
        <v>57</v>
      </c>
      <c r="AM83" s="6" t="s">
        <v>57</v>
      </c>
      <c r="AN83" s="6" t="s">
        <v>57</v>
      </c>
      <c r="AO83" s="6" t="s">
        <v>57</v>
      </c>
      <c r="AP83" s="6" t="s">
        <v>57</v>
      </c>
      <c r="AQ83" s="6" t="s">
        <v>57</v>
      </c>
    </row>
    <row r="84" spans="1:43" ht="15">
      <c r="A84" s="2" t="s">
        <v>313</v>
      </c>
      <c r="B84" s="5">
        <v>15096079</v>
      </c>
      <c r="C84" s="2" t="s">
        <v>23</v>
      </c>
      <c r="D84" s="2" t="s">
        <v>314</v>
      </c>
      <c r="E84" s="2" t="s">
        <v>315</v>
      </c>
      <c r="F84" s="2" t="s">
        <v>26</v>
      </c>
      <c r="G84" s="2"/>
      <c r="H84" s="2"/>
      <c r="I84" s="2" t="s">
        <v>28</v>
      </c>
      <c r="J84" s="6"/>
      <c r="K84" s="2" t="s">
        <v>55</v>
      </c>
      <c r="L84" s="2" t="s">
        <v>56</v>
      </c>
      <c r="M84" s="2" t="s">
        <v>55</v>
      </c>
      <c r="N84" s="2"/>
      <c r="O84" s="2"/>
      <c r="P84" s="6" t="s">
        <v>57</v>
      </c>
      <c r="Q84" s="6" t="s">
        <v>57</v>
      </c>
      <c r="R84" s="9">
        <v>0</v>
      </c>
      <c r="S84" s="2"/>
      <c r="T84" s="9">
        <v>0</v>
      </c>
      <c r="U84" s="9">
        <v>0</v>
      </c>
      <c r="V84" s="9">
        <v>0</v>
      </c>
      <c r="W84" s="9">
        <v>0</v>
      </c>
      <c r="X84" s="9">
        <v>0</v>
      </c>
      <c r="Y84" s="9">
        <v>0</v>
      </c>
      <c r="Z84" s="9">
        <v>0</v>
      </c>
      <c r="AA84" s="9">
        <v>0</v>
      </c>
      <c r="AB84" s="9">
        <v>0</v>
      </c>
      <c r="AC84" s="9">
        <v>0</v>
      </c>
      <c r="AD84" s="9">
        <v>0</v>
      </c>
      <c r="AE84" s="6" t="s">
        <v>57</v>
      </c>
      <c r="AF84" s="6" t="s">
        <v>57</v>
      </c>
      <c r="AG84" s="6" t="s">
        <v>57</v>
      </c>
      <c r="AH84" s="6" t="s">
        <v>57</v>
      </c>
      <c r="AI84" s="6" t="s">
        <v>57</v>
      </c>
      <c r="AJ84" s="6" t="s">
        <v>57</v>
      </c>
      <c r="AK84" s="6" t="s">
        <v>57</v>
      </c>
      <c r="AL84" s="6" t="s">
        <v>57</v>
      </c>
      <c r="AM84" s="6" t="s">
        <v>57</v>
      </c>
      <c r="AN84" s="6" t="s">
        <v>57</v>
      </c>
      <c r="AO84" s="6" t="s">
        <v>57</v>
      </c>
      <c r="AP84" s="6" t="s">
        <v>57</v>
      </c>
      <c r="AQ84" s="9">
        <v>0</v>
      </c>
    </row>
    <row r="85" spans="1:43" ht="15">
      <c r="A85" s="2" t="s">
        <v>316</v>
      </c>
      <c r="B85" s="5">
        <v>24391210</v>
      </c>
      <c r="C85" s="2" t="s">
        <v>23</v>
      </c>
      <c r="D85" s="2" t="s">
        <v>317</v>
      </c>
      <c r="E85" s="2" t="s">
        <v>318</v>
      </c>
      <c r="F85" s="2" t="s">
        <v>26</v>
      </c>
      <c r="G85" s="2" t="s">
        <v>26</v>
      </c>
      <c r="H85" s="2" t="s">
        <v>27</v>
      </c>
      <c r="I85" s="2" t="s">
        <v>28</v>
      </c>
      <c r="J85" s="6"/>
      <c r="K85" s="2" t="s">
        <v>55</v>
      </c>
      <c r="L85" s="2" t="s">
        <v>56</v>
      </c>
      <c r="M85" s="2" t="s">
        <v>55</v>
      </c>
      <c r="N85" s="2"/>
      <c r="O85" s="2"/>
      <c r="P85" s="6" t="s">
        <v>57</v>
      </c>
      <c r="Q85" s="6" t="s">
        <v>57</v>
      </c>
      <c r="R85" s="9">
        <v>0</v>
      </c>
      <c r="S85" s="2"/>
      <c r="T85" s="9">
        <v>0</v>
      </c>
      <c r="U85" s="9">
        <v>0</v>
      </c>
      <c r="V85" s="9">
        <v>0</v>
      </c>
      <c r="W85" s="9">
        <v>0</v>
      </c>
      <c r="X85" s="9">
        <v>0</v>
      </c>
      <c r="Y85" s="9">
        <v>14</v>
      </c>
      <c r="Z85" s="9">
        <v>146</v>
      </c>
      <c r="AA85" s="9">
        <v>228</v>
      </c>
      <c r="AB85" s="9">
        <v>0</v>
      </c>
      <c r="AC85" s="9">
        <v>0</v>
      </c>
      <c r="AD85" s="9">
        <v>0</v>
      </c>
      <c r="AE85" s="6" t="s">
        <v>57</v>
      </c>
      <c r="AF85" s="6" t="s">
        <v>57</v>
      </c>
      <c r="AG85" s="6" t="s">
        <v>57</v>
      </c>
      <c r="AH85" s="6" t="s">
        <v>57</v>
      </c>
      <c r="AI85" s="6" t="s">
        <v>57</v>
      </c>
      <c r="AJ85" s="6" t="s">
        <v>57</v>
      </c>
      <c r="AK85" s="6" t="s">
        <v>57</v>
      </c>
      <c r="AL85" s="6" t="s">
        <v>57</v>
      </c>
      <c r="AM85" s="6" t="s">
        <v>57</v>
      </c>
      <c r="AN85" s="6" t="s">
        <v>57</v>
      </c>
      <c r="AO85" s="6" t="s">
        <v>57</v>
      </c>
      <c r="AP85" s="6" t="s">
        <v>57</v>
      </c>
      <c r="AQ85" s="9">
        <v>0</v>
      </c>
    </row>
    <row r="86" spans="1:43" ht="15">
      <c r="A86" s="2" t="s">
        <v>319</v>
      </c>
      <c r="B86" s="5">
        <v>7968060</v>
      </c>
      <c r="C86" s="2" t="s">
        <v>23</v>
      </c>
      <c r="D86" s="2" t="s">
        <v>320</v>
      </c>
      <c r="E86" s="2" t="s">
        <v>321</v>
      </c>
      <c r="F86" s="2" t="s">
        <v>26</v>
      </c>
      <c r="G86" s="2"/>
      <c r="H86" s="2"/>
      <c r="I86" s="2" t="s">
        <v>28</v>
      </c>
      <c r="J86" s="6"/>
      <c r="K86" s="2" t="s">
        <v>55</v>
      </c>
      <c r="L86" s="2" t="s">
        <v>56</v>
      </c>
      <c r="M86" s="2" t="s">
        <v>55</v>
      </c>
      <c r="N86" s="2"/>
      <c r="O86" s="2"/>
      <c r="P86" s="7">
        <v>2.8816543070208001</v>
      </c>
      <c r="Q86" s="6" t="s">
        <v>57</v>
      </c>
      <c r="R86" s="9">
        <v>0</v>
      </c>
      <c r="S86" s="2"/>
      <c r="T86" s="9">
        <v>0</v>
      </c>
      <c r="U86" s="9">
        <v>0</v>
      </c>
      <c r="V86" s="9">
        <v>0</v>
      </c>
      <c r="W86" s="9">
        <v>1</v>
      </c>
      <c r="X86" s="9">
        <v>1</v>
      </c>
      <c r="Y86" s="9">
        <v>1</v>
      </c>
      <c r="Z86" s="9">
        <v>857</v>
      </c>
      <c r="AA86" s="9">
        <v>805</v>
      </c>
      <c r="AB86" s="9">
        <v>0</v>
      </c>
      <c r="AC86" s="9">
        <v>0</v>
      </c>
      <c r="AD86" s="9">
        <v>0</v>
      </c>
      <c r="AE86" s="6" t="s">
        <v>57</v>
      </c>
      <c r="AF86" s="6" t="s">
        <v>57</v>
      </c>
      <c r="AG86" s="6" t="s">
        <v>57</v>
      </c>
      <c r="AH86" s="6" t="s">
        <v>57</v>
      </c>
      <c r="AI86" s="6" t="s">
        <v>57</v>
      </c>
      <c r="AJ86" s="6" t="s">
        <v>57</v>
      </c>
      <c r="AK86" s="6" t="s">
        <v>57</v>
      </c>
      <c r="AL86" s="6" t="s">
        <v>57</v>
      </c>
      <c r="AM86" s="6" t="s">
        <v>57</v>
      </c>
      <c r="AN86" s="6" t="s">
        <v>57</v>
      </c>
      <c r="AO86" s="6" t="s">
        <v>57</v>
      </c>
      <c r="AP86" s="6" t="s">
        <v>57</v>
      </c>
      <c r="AQ86" s="9">
        <v>0</v>
      </c>
    </row>
    <row r="87" spans="1:43" ht="15">
      <c r="A87" s="2" t="s">
        <v>322</v>
      </c>
      <c r="B87" s="5">
        <v>100474180</v>
      </c>
      <c r="C87" s="2" t="s">
        <v>23</v>
      </c>
      <c r="D87" s="2" t="s">
        <v>323</v>
      </c>
      <c r="E87" s="2" t="s">
        <v>324</v>
      </c>
      <c r="F87" s="2" t="s">
        <v>26</v>
      </c>
      <c r="G87" s="2" t="s">
        <v>26</v>
      </c>
      <c r="H87" s="2" t="s">
        <v>27</v>
      </c>
      <c r="I87" s="2" t="s">
        <v>28</v>
      </c>
      <c r="J87" s="6"/>
      <c r="K87" s="2" t="s">
        <v>55</v>
      </c>
      <c r="L87" s="2" t="s">
        <v>56</v>
      </c>
      <c r="M87" s="2" t="s">
        <v>55</v>
      </c>
      <c r="N87" s="2"/>
      <c r="O87" s="2"/>
      <c r="P87" s="6" t="s">
        <v>57</v>
      </c>
      <c r="Q87" s="6" t="s">
        <v>57</v>
      </c>
      <c r="R87" s="9">
        <v>0</v>
      </c>
      <c r="S87" s="2"/>
      <c r="T87" s="9">
        <v>0</v>
      </c>
      <c r="U87" s="9">
        <v>0</v>
      </c>
      <c r="V87" s="9">
        <v>0</v>
      </c>
      <c r="W87" s="9">
        <v>0</v>
      </c>
      <c r="X87" s="9">
        <v>0</v>
      </c>
      <c r="Y87" s="9">
        <v>6</v>
      </c>
      <c r="Z87" s="9">
        <v>8</v>
      </c>
      <c r="AA87" s="9">
        <v>26</v>
      </c>
      <c r="AB87" s="9">
        <v>0</v>
      </c>
      <c r="AC87" s="9">
        <v>0</v>
      </c>
      <c r="AD87" s="9">
        <v>0</v>
      </c>
      <c r="AE87" s="6" t="s">
        <v>57</v>
      </c>
      <c r="AF87" s="6" t="s">
        <v>57</v>
      </c>
      <c r="AG87" s="6" t="s">
        <v>57</v>
      </c>
      <c r="AH87" s="6" t="s">
        <v>57</v>
      </c>
      <c r="AI87" s="6" t="s">
        <v>57</v>
      </c>
      <c r="AJ87" s="6" t="s">
        <v>57</v>
      </c>
      <c r="AK87" s="6" t="s">
        <v>57</v>
      </c>
      <c r="AL87" s="6" t="s">
        <v>57</v>
      </c>
      <c r="AM87" s="6" t="s">
        <v>57</v>
      </c>
      <c r="AN87" s="6" t="s">
        <v>57</v>
      </c>
      <c r="AO87" s="6" t="s">
        <v>57</v>
      </c>
      <c r="AP87" s="6" t="s">
        <v>57</v>
      </c>
      <c r="AQ87" s="9">
        <v>0</v>
      </c>
    </row>
    <row r="88" spans="1:43" ht="15">
      <c r="A88" s="2" t="s">
        <v>325</v>
      </c>
      <c r="B88" s="5">
        <v>133742316</v>
      </c>
      <c r="C88" s="2" t="s">
        <v>23</v>
      </c>
      <c r="D88" s="2" t="s">
        <v>326</v>
      </c>
      <c r="E88" s="2" t="s">
        <v>327</v>
      </c>
      <c r="F88" s="2" t="s">
        <v>26</v>
      </c>
      <c r="G88" s="2" t="s">
        <v>26</v>
      </c>
      <c r="H88" s="2" t="s">
        <v>27</v>
      </c>
      <c r="I88" s="2" t="s">
        <v>28</v>
      </c>
      <c r="J88" s="6"/>
      <c r="K88" s="2" t="s">
        <v>55</v>
      </c>
      <c r="L88" s="2" t="s">
        <v>56</v>
      </c>
      <c r="M88" s="2" t="s">
        <v>55</v>
      </c>
      <c r="N88" s="2"/>
      <c r="O88" s="2"/>
      <c r="P88" s="6" t="s">
        <v>57</v>
      </c>
      <c r="Q88" s="6" t="s">
        <v>57</v>
      </c>
      <c r="R88" s="9">
        <v>0</v>
      </c>
      <c r="S88" s="2"/>
      <c r="T88" s="9">
        <v>0</v>
      </c>
      <c r="U88" s="9">
        <v>0</v>
      </c>
      <c r="V88" s="9">
        <v>613</v>
      </c>
      <c r="W88" s="9">
        <v>245</v>
      </c>
      <c r="X88" s="9">
        <v>244</v>
      </c>
      <c r="Y88" s="9">
        <v>7465</v>
      </c>
      <c r="Z88" s="9">
        <v>7465</v>
      </c>
      <c r="AA88" s="9">
        <v>7465</v>
      </c>
      <c r="AB88" s="9">
        <v>0</v>
      </c>
      <c r="AC88" s="9">
        <v>643</v>
      </c>
      <c r="AD88" s="9">
        <v>493</v>
      </c>
      <c r="AE88" s="6" t="s">
        <v>57</v>
      </c>
      <c r="AF88" s="6" t="s">
        <v>57</v>
      </c>
      <c r="AG88" s="6" t="s">
        <v>57</v>
      </c>
      <c r="AH88" s="6" t="s">
        <v>57</v>
      </c>
      <c r="AI88" s="6" t="s">
        <v>57</v>
      </c>
      <c r="AJ88" s="6" t="s">
        <v>57</v>
      </c>
      <c r="AK88" s="6" t="s">
        <v>57</v>
      </c>
      <c r="AL88" s="6" t="s">
        <v>57</v>
      </c>
      <c r="AM88" s="6" t="s">
        <v>57</v>
      </c>
      <c r="AN88" s="6" t="s">
        <v>57</v>
      </c>
      <c r="AO88" s="6" t="s">
        <v>57</v>
      </c>
      <c r="AP88" s="6" t="s">
        <v>57</v>
      </c>
      <c r="AQ88" s="9">
        <v>0</v>
      </c>
    </row>
    <row r="89" spans="1:43" ht="15">
      <c r="A89" s="2" t="s">
        <v>328</v>
      </c>
      <c r="B89" s="5">
        <v>118387553</v>
      </c>
      <c r="C89" s="2" t="s">
        <v>23</v>
      </c>
      <c r="D89" s="2" t="s">
        <v>329</v>
      </c>
      <c r="E89" s="2" t="s">
        <v>330</v>
      </c>
      <c r="F89" s="2" t="s">
        <v>26</v>
      </c>
      <c r="G89" s="2"/>
      <c r="H89" s="2"/>
      <c r="I89" s="2" t="s">
        <v>28</v>
      </c>
      <c r="J89" s="6"/>
      <c r="K89" s="2" t="s">
        <v>55</v>
      </c>
      <c r="L89" s="2" t="s">
        <v>56</v>
      </c>
      <c r="M89" s="2" t="s">
        <v>55</v>
      </c>
      <c r="N89" s="2"/>
      <c r="O89" s="2"/>
      <c r="P89" s="6" t="s">
        <v>57</v>
      </c>
      <c r="Q89" s="6" t="s">
        <v>57</v>
      </c>
      <c r="R89" s="9">
        <v>0</v>
      </c>
      <c r="S89" s="2"/>
      <c r="T89" s="9">
        <v>0</v>
      </c>
      <c r="U89" s="9">
        <v>0</v>
      </c>
      <c r="V89" s="9">
        <v>0</v>
      </c>
      <c r="W89" s="9">
        <v>161</v>
      </c>
      <c r="X89" s="9">
        <v>161</v>
      </c>
      <c r="Y89" s="9">
        <v>3297</v>
      </c>
      <c r="Z89" s="9">
        <v>3297</v>
      </c>
      <c r="AA89" s="9">
        <v>3297</v>
      </c>
      <c r="AB89" s="9">
        <v>0</v>
      </c>
      <c r="AC89" s="9">
        <v>0</v>
      </c>
      <c r="AD89" s="9">
        <v>0</v>
      </c>
      <c r="AE89" s="6" t="s">
        <v>57</v>
      </c>
      <c r="AF89" s="6" t="s">
        <v>57</v>
      </c>
      <c r="AG89" s="6" t="s">
        <v>57</v>
      </c>
      <c r="AH89" s="6" t="s">
        <v>57</v>
      </c>
      <c r="AI89" s="6" t="s">
        <v>57</v>
      </c>
      <c r="AJ89" s="6" t="s">
        <v>57</v>
      </c>
      <c r="AK89" s="6" t="s">
        <v>57</v>
      </c>
      <c r="AL89" s="6" t="s">
        <v>57</v>
      </c>
      <c r="AM89" s="6" t="s">
        <v>57</v>
      </c>
      <c r="AN89" s="6" t="s">
        <v>57</v>
      </c>
      <c r="AO89" s="6" t="s">
        <v>57</v>
      </c>
      <c r="AP89" s="6" t="s">
        <v>57</v>
      </c>
      <c r="AQ89" s="9">
        <v>0</v>
      </c>
    </row>
    <row r="90" spans="1:43" ht="15">
      <c r="A90" s="2" t="s">
        <v>331</v>
      </c>
      <c r="B90" s="5">
        <v>13758256</v>
      </c>
      <c r="C90" s="2" t="s">
        <v>23</v>
      </c>
      <c r="D90" s="2" t="s">
        <v>332</v>
      </c>
      <c r="E90" s="2" t="s">
        <v>333</v>
      </c>
      <c r="F90" s="2" t="s">
        <v>26</v>
      </c>
      <c r="G90" s="2" t="s">
        <v>26</v>
      </c>
      <c r="H90" s="2" t="s">
        <v>27</v>
      </c>
      <c r="I90" s="2" t="s">
        <v>28</v>
      </c>
      <c r="J90" s="6"/>
      <c r="K90" s="2" t="s">
        <v>55</v>
      </c>
      <c r="L90" s="2" t="s">
        <v>56</v>
      </c>
      <c r="M90" s="2" t="s">
        <v>55</v>
      </c>
      <c r="N90" s="2"/>
      <c r="O90" s="2"/>
      <c r="P90" s="7">
        <v>24.103605899308299</v>
      </c>
      <c r="Q90" s="6" t="s">
        <v>57</v>
      </c>
      <c r="R90" s="9">
        <v>0</v>
      </c>
      <c r="S90" s="2"/>
      <c r="T90" s="9">
        <v>0</v>
      </c>
      <c r="U90" s="9">
        <v>0</v>
      </c>
      <c r="V90" s="9">
        <v>0</v>
      </c>
      <c r="W90" s="9">
        <v>0</v>
      </c>
      <c r="X90" s="9">
        <v>0</v>
      </c>
      <c r="Y90" s="9">
        <v>0</v>
      </c>
      <c r="Z90" s="9">
        <v>0</v>
      </c>
      <c r="AA90" s="9">
        <v>80</v>
      </c>
      <c r="AB90" s="9">
        <v>0</v>
      </c>
      <c r="AC90" s="9">
        <v>0</v>
      </c>
      <c r="AD90" s="9">
        <v>0</v>
      </c>
      <c r="AE90" s="6" t="s">
        <v>57</v>
      </c>
      <c r="AF90" s="6" t="s">
        <v>57</v>
      </c>
      <c r="AG90" s="6" t="s">
        <v>57</v>
      </c>
      <c r="AH90" s="6" t="s">
        <v>57</v>
      </c>
      <c r="AI90" s="6" t="s">
        <v>57</v>
      </c>
      <c r="AJ90" s="6" t="s">
        <v>57</v>
      </c>
      <c r="AK90" s="6" t="s">
        <v>57</v>
      </c>
      <c r="AL90" s="6" t="s">
        <v>57</v>
      </c>
      <c r="AM90" s="6" t="s">
        <v>57</v>
      </c>
      <c r="AN90" s="6" t="s">
        <v>57</v>
      </c>
      <c r="AO90" s="6" t="s">
        <v>57</v>
      </c>
      <c r="AP90" s="6" t="s">
        <v>57</v>
      </c>
      <c r="AQ90" s="9">
        <v>0</v>
      </c>
    </row>
    <row r="91" spans="1:43" ht="15">
      <c r="A91" s="2" t="s">
        <v>334</v>
      </c>
      <c r="B91" s="5">
        <v>14992997</v>
      </c>
      <c r="C91" s="2" t="s">
        <v>23</v>
      </c>
      <c r="D91" s="2" t="s">
        <v>335</v>
      </c>
      <c r="E91" s="2" t="s">
        <v>336</v>
      </c>
      <c r="F91" s="2" t="s">
        <v>26</v>
      </c>
      <c r="G91" s="2"/>
      <c r="H91" s="2"/>
      <c r="I91" s="2" t="s">
        <v>28</v>
      </c>
      <c r="J91" s="6"/>
      <c r="K91" s="2" t="s">
        <v>55</v>
      </c>
      <c r="L91" s="2" t="s">
        <v>56</v>
      </c>
      <c r="M91" s="2" t="s">
        <v>55</v>
      </c>
      <c r="N91" s="2"/>
      <c r="O91" s="2"/>
      <c r="P91" s="7">
        <v>1.5257022860755201</v>
      </c>
      <c r="Q91" s="6" t="s">
        <v>57</v>
      </c>
      <c r="R91" s="9">
        <v>0</v>
      </c>
      <c r="S91" s="2"/>
      <c r="T91" s="9">
        <v>0</v>
      </c>
      <c r="U91" s="9">
        <v>172</v>
      </c>
      <c r="V91" s="9">
        <v>87</v>
      </c>
      <c r="W91" s="9">
        <v>1126</v>
      </c>
      <c r="X91" s="9">
        <v>1122</v>
      </c>
      <c r="Y91" s="9">
        <v>1066</v>
      </c>
      <c r="Z91" s="9">
        <v>1342</v>
      </c>
      <c r="AA91" s="9">
        <v>2234</v>
      </c>
      <c r="AB91" s="9">
        <v>196</v>
      </c>
      <c r="AC91" s="9">
        <v>91</v>
      </c>
      <c r="AD91" s="9">
        <v>1589</v>
      </c>
      <c r="AE91" s="6" t="s">
        <v>57</v>
      </c>
      <c r="AF91" s="6" t="s">
        <v>57</v>
      </c>
      <c r="AG91" s="6" t="s">
        <v>57</v>
      </c>
      <c r="AH91" s="6" t="s">
        <v>57</v>
      </c>
      <c r="AI91" s="6" t="s">
        <v>57</v>
      </c>
      <c r="AJ91" s="6" t="s">
        <v>57</v>
      </c>
      <c r="AK91" s="6" t="s">
        <v>57</v>
      </c>
      <c r="AL91" s="6" t="s">
        <v>57</v>
      </c>
      <c r="AM91" s="6" t="s">
        <v>57</v>
      </c>
      <c r="AN91" s="6" t="s">
        <v>57</v>
      </c>
      <c r="AO91" s="6" t="s">
        <v>57</v>
      </c>
      <c r="AP91" s="6" t="s">
        <v>57</v>
      </c>
      <c r="AQ91" s="9">
        <v>0</v>
      </c>
    </row>
    <row r="92" spans="1:43" ht="15">
      <c r="A92" s="2" t="s">
        <v>337</v>
      </c>
      <c r="B92" s="5">
        <v>125616787</v>
      </c>
      <c r="C92" s="2" t="s">
        <v>23</v>
      </c>
      <c r="D92" s="2" t="s">
        <v>338</v>
      </c>
      <c r="E92" s="2" t="s">
        <v>339</v>
      </c>
      <c r="F92" s="2" t="s">
        <v>26</v>
      </c>
      <c r="G92" s="2" t="s">
        <v>26</v>
      </c>
      <c r="H92" s="2" t="s">
        <v>27</v>
      </c>
      <c r="I92" s="2" t="s">
        <v>28</v>
      </c>
      <c r="J92" s="6"/>
      <c r="K92" s="2" t="s">
        <v>55</v>
      </c>
      <c r="L92" s="2" t="s">
        <v>56</v>
      </c>
      <c r="M92" s="2" t="s">
        <v>55</v>
      </c>
      <c r="N92" s="2"/>
      <c r="O92" s="2"/>
      <c r="P92" s="6" t="s">
        <v>57</v>
      </c>
      <c r="Q92" s="6" t="s">
        <v>57</v>
      </c>
      <c r="R92" s="9">
        <v>0</v>
      </c>
      <c r="S92" s="2"/>
      <c r="T92" s="9">
        <v>0</v>
      </c>
      <c r="U92" s="9">
        <v>0</v>
      </c>
      <c r="V92" s="9">
        <v>0</v>
      </c>
      <c r="W92" s="9">
        <v>283</v>
      </c>
      <c r="X92" s="9">
        <v>283</v>
      </c>
      <c r="Y92" s="9">
        <v>283</v>
      </c>
      <c r="Z92" s="9">
        <v>283</v>
      </c>
      <c r="AA92" s="9">
        <v>283</v>
      </c>
      <c r="AB92" s="9">
        <v>0</v>
      </c>
      <c r="AC92" s="9">
        <v>0</v>
      </c>
      <c r="AD92" s="9">
        <v>103</v>
      </c>
      <c r="AE92" s="6" t="s">
        <v>57</v>
      </c>
      <c r="AF92" s="6" t="s">
        <v>57</v>
      </c>
      <c r="AG92" s="6" t="s">
        <v>57</v>
      </c>
      <c r="AH92" s="6" t="s">
        <v>57</v>
      </c>
      <c r="AI92" s="6" t="s">
        <v>57</v>
      </c>
      <c r="AJ92" s="6" t="s">
        <v>57</v>
      </c>
      <c r="AK92" s="6" t="s">
        <v>57</v>
      </c>
      <c r="AL92" s="6" t="s">
        <v>57</v>
      </c>
      <c r="AM92" s="6" t="s">
        <v>57</v>
      </c>
      <c r="AN92" s="6" t="s">
        <v>57</v>
      </c>
      <c r="AO92" s="6" t="s">
        <v>57</v>
      </c>
      <c r="AP92" s="6" t="s">
        <v>57</v>
      </c>
      <c r="AQ92" s="9">
        <v>0</v>
      </c>
    </row>
    <row r="93" spans="1:43" ht="15">
      <c r="A93" s="2" t="s">
        <v>340</v>
      </c>
      <c r="B93" s="5">
        <v>25503653</v>
      </c>
      <c r="C93" s="2" t="s">
        <v>23</v>
      </c>
      <c r="D93" s="2" t="s">
        <v>341</v>
      </c>
      <c r="E93" s="2" t="s">
        <v>342</v>
      </c>
      <c r="F93" s="2" t="s">
        <v>26</v>
      </c>
      <c r="G93" s="2"/>
      <c r="H93" s="2"/>
      <c r="I93" s="2" t="s">
        <v>28</v>
      </c>
      <c r="J93" s="6"/>
      <c r="K93" s="2" t="s">
        <v>55</v>
      </c>
      <c r="L93" s="2" t="s">
        <v>56</v>
      </c>
      <c r="M93" s="2" t="s">
        <v>55</v>
      </c>
      <c r="N93" s="2"/>
      <c r="O93" s="2"/>
      <c r="P93" s="7">
        <v>5.3962092799999999</v>
      </c>
      <c r="Q93" s="6" t="s">
        <v>57</v>
      </c>
      <c r="R93" s="9">
        <v>0</v>
      </c>
      <c r="S93" s="2"/>
      <c r="T93" s="9">
        <v>0</v>
      </c>
      <c r="U93" s="9">
        <v>0</v>
      </c>
      <c r="V93" s="9">
        <v>0</v>
      </c>
      <c r="W93" s="9">
        <v>0</v>
      </c>
      <c r="X93" s="9">
        <v>0</v>
      </c>
      <c r="Y93" s="9">
        <v>0</v>
      </c>
      <c r="Z93" s="9">
        <v>0</v>
      </c>
      <c r="AA93" s="9">
        <v>0</v>
      </c>
      <c r="AB93" s="9">
        <v>0</v>
      </c>
      <c r="AC93" s="9">
        <v>0</v>
      </c>
      <c r="AD93" s="9">
        <v>0</v>
      </c>
      <c r="AE93" s="6" t="s">
        <v>57</v>
      </c>
      <c r="AF93" s="6" t="s">
        <v>57</v>
      </c>
      <c r="AG93" s="6" t="s">
        <v>57</v>
      </c>
      <c r="AH93" s="6" t="s">
        <v>57</v>
      </c>
      <c r="AI93" s="6" t="s">
        <v>57</v>
      </c>
      <c r="AJ93" s="6" t="s">
        <v>57</v>
      </c>
      <c r="AK93" s="6" t="s">
        <v>57</v>
      </c>
      <c r="AL93" s="6" t="s">
        <v>57</v>
      </c>
      <c r="AM93" s="6" t="s">
        <v>57</v>
      </c>
      <c r="AN93" s="6" t="s">
        <v>57</v>
      </c>
      <c r="AO93" s="6" t="s">
        <v>57</v>
      </c>
      <c r="AP93" s="6" t="s">
        <v>57</v>
      </c>
      <c r="AQ93" s="9">
        <v>0</v>
      </c>
    </row>
    <row r="94" spans="1:43" ht="15">
      <c r="A94" s="2" t="s">
        <v>343</v>
      </c>
      <c r="B94" s="5">
        <v>25504279</v>
      </c>
      <c r="C94" s="2" t="s">
        <v>23</v>
      </c>
      <c r="D94" s="2" t="s">
        <v>344</v>
      </c>
      <c r="E94" s="2" t="s">
        <v>345</v>
      </c>
      <c r="F94" s="2" t="s">
        <v>26</v>
      </c>
      <c r="G94" s="2" t="s">
        <v>26</v>
      </c>
      <c r="H94" s="2" t="s">
        <v>27</v>
      </c>
      <c r="I94" s="2" t="s">
        <v>28</v>
      </c>
      <c r="J94" s="6"/>
      <c r="K94" s="2" t="s">
        <v>55</v>
      </c>
      <c r="L94" s="2" t="s">
        <v>56</v>
      </c>
      <c r="M94" s="2" t="s">
        <v>55</v>
      </c>
      <c r="N94" s="2"/>
      <c r="O94" s="2"/>
      <c r="P94" s="7">
        <v>28877.692980946202</v>
      </c>
      <c r="Q94" s="6" t="s">
        <v>57</v>
      </c>
      <c r="R94" s="9">
        <v>0</v>
      </c>
      <c r="S94" s="2"/>
      <c r="T94" s="9">
        <v>0</v>
      </c>
      <c r="U94" s="9">
        <v>0</v>
      </c>
      <c r="V94" s="9">
        <v>27534</v>
      </c>
      <c r="W94" s="9">
        <v>7077</v>
      </c>
      <c r="X94" s="9">
        <v>7049</v>
      </c>
      <c r="Y94" s="9">
        <v>7575</v>
      </c>
      <c r="Z94" s="9">
        <v>7871</v>
      </c>
      <c r="AA94" s="9">
        <v>6054</v>
      </c>
      <c r="AB94" s="9">
        <v>0</v>
      </c>
      <c r="AC94" s="9">
        <v>28888</v>
      </c>
      <c r="AD94" s="9">
        <v>14211</v>
      </c>
      <c r="AE94" s="6" t="s">
        <v>57</v>
      </c>
      <c r="AF94" s="6" t="s">
        <v>57</v>
      </c>
      <c r="AG94" s="6" t="s">
        <v>57</v>
      </c>
      <c r="AH94" s="6" t="s">
        <v>57</v>
      </c>
      <c r="AI94" s="6" t="s">
        <v>57</v>
      </c>
      <c r="AJ94" s="6" t="s">
        <v>57</v>
      </c>
      <c r="AK94" s="6" t="s">
        <v>57</v>
      </c>
      <c r="AL94" s="6" t="s">
        <v>57</v>
      </c>
      <c r="AM94" s="6" t="s">
        <v>57</v>
      </c>
      <c r="AN94" s="6" t="s">
        <v>57</v>
      </c>
      <c r="AO94" s="6" t="s">
        <v>57</v>
      </c>
      <c r="AP94" s="6" t="s">
        <v>57</v>
      </c>
      <c r="AQ94" s="9">
        <v>0</v>
      </c>
    </row>
    <row r="95" spans="1:43" ht="15">
      <c r="A95" s="2" t="s">
        <v>346</v>
      </c>
      <c r="B95" s="5">
        <v>19126812</v>
      </c>
      <c r="C95" s="2" t="s">
        <v>23</v>
      </c>
      <c r="D95" s="2" t="s">
        <v>347</v>
      </c>
      <c r="E95" s="2" t="s">
        <v>348</v>
      </c>
      <c r="F95" s="2" t="s">
        <v>26</v>
      </c>
      <c r="G95" s="2" t="s">
        <v>26</v>
      </c>
      <c r="H95" s="2" t="s">
        <v>27</v>
      </c>
      <c r="I95" s="2" t="s">
        <v>28</v>
      </c>
      <c r="J95" s="6"/>
      <c r="K95" s="2" t="s">
        <v>55</v>
      </c>
      <c r="L95" s="2" t="s">
        <v>56</v>
      </c>
      <c r="M95" s="2" t="s">
        <v>55</v>
      </c>
      <c r="N95" s="2"/>
      <c r="O95" s="2"/>
      <c r="P95" s="7">
        <v>0.94838891334372299</v>
      </c>
      <c r="Q95" s="6" t="s">
        <v>57</v>
      </c>
      <c r="R95" s="9">
        <v>0</v>
      </c>
      <c r="S95" s="2"/>
      <c r="T95" s="9">
        <v>0</v>
      </c>
      <c r="U95" s="9">
        <v>0</v>
      </c>
      <c r="V95" s="9">
        <v>0</v>
      </c>
      <c r="W95" s="9">
        <v>0</v>
      </c>
      <c r="X95" s="9">
        <v>0</v>
      </c>
      <c r="Y95" s="9">
        <v>0</v>
      </c>
      <c r="Z95" s="9">
        <v>0</v>
      </c>
      <c r="AA95" s="9">
        <v>19</v>
      </c>
      <c r="AB95" s="9">
        <v>0</v>
      </c>
      <c r="AC95" s="9">
        <v>0</v>
      </c>
      <c r="AD95" s="9">
        <v>0</v>
      </c>
      <c r="AE95" s="6" t="s">
        <v>57</v>
      </c>
      <c r="AF95" s="6" t="s">
        <v>57</v>
      </c>
      <c r="AG95" s="6" t="s">
        <v>57</v>
      </c>
      <c r="AH95" s="6" t="s">
        <v>57</v>
      </c>
      <c r="AI95" s="6" t="s">
        <v>57</v>
      </c>
      <c r="AJ95" s="6" t="s">
        <v>57</v>
      </c>
      <c r="AK95" s="6" t="s">
        <v>57</v>
      </c>
      <c r="AL95" s="6" t="s">
        <v>57</v>
      </c>
      <c r="AM95" s="6" t="s">
        <v>57</v>
      </c>
      <c r="AN95" s="6" t="s">
        <v>57</v>
      </c>
      <c r="AO95" s="6" t="s">
        <v>57</v>
      </c>
      <c r="AP95" s="6" t="s">
        <v>57</v>
      </c>
      <c r="AQ95" s="9">
        <v>0</v>
      </c>
    </row>
    <row r="96" spans="1:43" ht="15">
      <c r="A96" s="2" t="s">
        <v>349</v>
      </c>
      <c r="B96" s="5">
        <v>27318416</v>
      </c>
      <c r="C96" s="2" t="s">
        <v>23</v>
      </c>
      <c r="D96" s="2" t="s">
        <v>350</v>
      </c>
      <c r="E96" s="2" t="s">
        <v>351</v>
      </c>
      <c r="F96" s="2" t="s">
        <v>26</v>
      </c>
      <c r="G96" s="2"/>
      <c r="H96" s="2"/>
      <c r="I96" s="2" t="s">
        <v>28</v>
      </c>
      <c r="J96" s="6"/>
      <c r="K96" s="2" t="s">
        <v>55</v>
      </c>
      <c r="L96" s="2" t="s">
        <v>56</v>
      </c>
      <c r="M96" s="2" t="s">
        <v>55</v>
      </c>
      <c r="N96" s="2"/>
      <c r="O96" s="2"/>
      <c r="P96" s="6" t="s">
        <v>57</v>
      </c>
      <c r="Q96" s="6" t="s">
        <v>57</v>
      </c>
      <c r="R96" s="9">
        <v>0</v>
      </c>
      <c r="S96" s="2"/>
      <c r="T96" s="9">
        <v>0</v>
      </c>
      <c r="U96" s="9">
        <v>0</v>
      </c>
      <c r="V96" s="9">
        <v>0</v>
      </c>
      <c r="W96" s="9">
        <v>0</v>
      </c>
      <c r="X96" s="9">
        <v>0</v>
      </c>
      <c r="Y96" s="9">
        <v>0</v>
      </c>
      <c r="Z96" s="9">
        <v>0</v>
      </c>
      <c r="AA96" s="9">
        <v>3920</v>
      </c>
      <c r="AB96" s="9">
        <v>0</v>
      </c>
      <c r="AC96" s="9">
        <v>0</v>
      </c>
      <c r="AD96" s="9">
        <v>0</v>
      </c>
      <c r="AE96" s="6" t="s">
        <v>57</v>
      </c>
      <c r="AF96" s="6" t="s">
        <v>57</v>
      </c>
      <c r="AG96" s="6" t="s">
        <v>57</v>
      </c>
      <c r="AH96" s="6" t="s">
        <v>57</v>
      </c>
      <c r="AI96" s="6" t="s">
        <v>57</v>
      </c>
      <c r="AJ96" s="6" t="s">
        <v>57</v>
      </c>
      <c r="AK96" s="6" t="s">
        <v>57</v>
      </c>
      <c r="AL96" s="6" t="s">
        <v>57</v>
      </c>
      <c r="AM96" s="6" t="s">
        <v>57</v>
      </c>
      <c r="AN96" s="6" t="s">
        <v>57</v>
      </c>
      <c r="AO96" s="6" t="s">
        <v>57</v>
      </c>
      <c r="AP96" s="6" t="s">
        <v>57</v>
      </c>
      <c r="AQ96" s="9">
        <v>0</v>
      </c>
    </row>
    <row r="97" spans="1:43" ht="15">
      <c r="A97" s="2" t="s">
        <v>352</v>
      </c>
      <c r="B97" s="5">
        <v>7528283</v>
      </c>
      <c r="C97" s="2" t="s">
        <v>23</v>
      </c>
      <c r="D97" s="2" t="s">
        <v>353</v>
      </c>
      <c r="E97" s="2" t="s">
        <v>354</v>
      </c>
      <c r="F97" s="2" t="s">
        <v>26</v>
      </c>
      <c r="G97" s="2" t="s">
        <v>26</v>
      </c>
      <c r="H97" s="2" t="s">
        <v>27</v>
      </c>
      <c r="I97" s="2" t="s">
        <v>28</v>
      </c>
      <c r="J97" s="6"/>
      <c r="K97" s="2" t="s">
        <v>55</v>
      </c>
      <c r="L97" s="2" t="s">
        <v>56</v>
      </c>
      <c r="M97" s="2" t="s">
        <v>55</v>
      </c>
      <c r="N97" s="2"/>
      <c r="O97" s="2"/>
      <c r="P97" s="7">
        <v>1.8736689286946</v>
      </c>
      <c r="Q97" s="6" t="s">
        <v>57</v>
      </c>
      <c r="R97" s="9">
        <v>0</v>
      </c>
      <c r="S97" s="2"/>
      <c r="T97" s="9">
        <v>0</v>
      </c>
      <c r="U97" s="9">
        <v>0</v>
      </c>
      <c r="V97" s="9">
        <v>0</v>
      </c>
      <c r="W97" s="9">
        <v>0</v>
      </c>
      <c r="X97" s="9">
        <v>0</v>
      </c>
      <c r="Y97" s="9">
        <v>0</v>
      </c>
      <c r="Z97" s="9">
        <v>268</v>
      </c>
      <c r="AA97" s="9">
        <v>233</v>
      </c>
      <c r="AB97" s="9">
        <v>0</v>
      </c>
      <c r="AC97" s="9">
        <v>0</v>
      </c>
      <c r="AD97" s="9">
        <v>0</v>
      </c>
      <c r="AE97" s="6" t="s">
        <v>57</v>
      </c>
      <c r="AF97" s="6" t="s">
        <v>57</v>
      </c>
      <c r="AG97" s="6" t="s">
        <v>57</v>
      </c>
      <c r="AH97" s="6" t="s">
        <v>57</v>
      </c>
      <c r="AI97" s="6" t="s">
        <v>57</v>
      </c>
      <c r="AJ97" s="6" t="s">
        <v>57</v>
      </c>
      <c r="AK97" s="6" t="s">
        <v>57</v>
      </c>
      <c r="AL97" s="6" t="s">
        <v>57</v>
      </c>
      <c r="AM97" s="6" t="s">
        <v>57</v>
      </c>
      <c r="AN97" s="6" t="s">
        <v>57</v>
      </c>
      <c r="AO97" s="6" t="s">
        <v>57</v>
      </c>
      <c r="AP97" s="6" t="s">
        <v>57</v>
      </c>
      <c r="AQ97" s="9">
        <v>0</v>
      </c>
    </row>
    <row r="98" spans="1:43" ht="15">
      <c r="A98" s="2" t="s">
        <v>355</v>
      </c>
      <c r="B98" s="5">
        <v>20079780</v>
      </c>
      <c r="C98" s="2" t="s">
        <v>23</v>
      </c>
      <c r="D98" s="2" t="s">
        <v>356</v>
      </c>
      <c r="E98" s="2" t="s">
        <v>357</v>
      </c>
      <c r="F98" s="2" t="s">
        <v>26</v>
      </c>
      <c r="G98" s="2"/>
      <c r="H98" s="2"/>
      <c r="I98" s="2" t="s">
        <v>28</v>
      </c>
      <c r="J98" s="6"/>
      <c r="K98" s="2" t="s">
        <v>55</v>
      </c>
      <c r="L98" s="2" t="s">
        <v>56</v>
      </c>
      <c r="M98" s="2" t="s">
        <v>55</v>
      </c>
      <c r="N98" s="2"/>
      <c r="O98" s="2"/>
      <c r="P98" s="7">
        <v>7.3851077541574401</v>
      </c>
      <c r="Q98" s="6" t="s">
        <v>57</v>
      </c>
      <c r="R98" s="9">
        <v>0</v>
      </c>
      <c r="S98" s="2"/>
      <c r="T98" s="9">
        <v>0</v>
      </c>
      <c r="U98" s="9">
        <v>0</v>
      </c>
      <c r="V98" s="9">
        <v>0</v>
      </c>
      <c r="W98" s="9">
        <v>0</v>
      </c>
      <c r="X98" s="9">
        <v>0</v>
      </c>
      <c r="Y98" s="9">
        <v>0</v>
      </c>
      <c r="Z98" s="9">
        <v>1340</v>
      </c>
      <c r="AA98" s="9">
        <v>1119</v>
      </c>
      <c r="AB98" s="9">
        <v>0</v>
      </c>
      <c r="AC98" s="9">
        <v>0</v>
      </c>
      <c r="AD98" s="9">
        <v>0</v>
      </c>
      <c r="AE98" s="6" t="s">
        <v>57</v>
      </c>
      <c r="AF98" s="6" t="s">
        <v>57</v>
      </c>
      <c r="AG98" s="6" t="s">
        <v>57</v>
      </c>
      <c r="AH98" s="6" t="s">
        <v>57</v>
      </c>
      <c r="AI98" s="6" t="s">
        <v>57</v>
      </c>
      <c r="AJ98" s="6" t="s">
        <v>57</v>
      </c>
      <c r="AK98" s="6" t="s">
        <v>57</v>
      </c>
      <c r="AL98" s="6" t="s">
        <v>57</v>
      </c>
      <c r="AM98" s="6" t="s">
        <v>57</v>
      </c>
      <c r="AN98" s="6" t="s">
        <v>57</v>
      </c>
      <c r="AO98" s="6" t="s">
        <v>57</v>
      </c>
      <c r="AP98" s="6" t="s">
        <v>57</v>
      </c>
      <c r="AQ98" s="9">
        <v>0</v>
      </c>
    </row>
    <row r="99" spans="1:43" ht="15">
      <c r="A99" s="2" t="s">
        <v>358</v>
      </c>
      <c r="B99" s="5">
        <v>26094187</v>
      </c>
      <c r="C99" s="2" t="s">
        <v>23</v>
      </c>
      <c r="D99" s="2" t="s">
        <v>359</v>
      </c>
      <c r="E99" s="2" t="s">
        <v>360</v>
      </c>
      <c r="F99" s="2" t="s">
        <v>26</v>
      </c>
      <c r="G99" s="2" t="s">
        <v>26</v>
      </c>
      <c r="H99" s="2" t="s">
        <v>27</v>
      </c>
      <c r="I99" s="2" t="s">
        <v>28</v>
      </c>
      <c r="J99" s="6"/>
      <c r="K99" s="2" t="s">
        <v>55</v>
      </c>
      <c r="L99" s="2" t="s">
        <v>56</v>
      </c>
      <c r="M99" s="2" t="s">
        <v>55</v>
      </c>
      <c r="N99" s="2"/>
      <c r="O99" s="2"/>
      <c r="P99" s="7">
        <v>23.5977516583851</v>
      </c>
      <c r="Q99" s="6" t="s">
        <v>57</v>
      </c>
      <c r="R99" s="9">
        <v>975</v>
      </c>
      <c r="S99" s="2"/>
      <c r="T99" s="9">
        <v>325</v>
      </c>
      <c r="U99" s="9">
        <v>81</v>
      </c>
      <c r="V99" s="9">
        <v>271</v>
      </c>
      <c r="W99" s="9">
        <v>165</v>
      </c>
      <c r="X99" s="9">
        <v>173</v>
      </c>
      <c r="Y99" s="9">
        <v>124</v>
      </c>
      <c r="Z99" s="9">
        <v>129</v>
      </c>
      <c r="AA99" s="9">
        <v>633</v>
      </c>
      <c r="AB99" s="9">
        <v>93</v>
      </c>
      <c r="AC99" s="9">
        <v>284</v>
      </c>
      <c r="AD99" s="9">
        <v>267</v>
      </c>
      <c r="AE99" s="6" t="s">
        <v>57</v>
      </c>
      <c r="AF99" s="6" t="s">
        <v>57</v>
      </c>
      <c r="AG99" s="6" t="s">
        <v>57</v>
      </c>
      <c r="AH99" s="6" t="s">
        <v>57</v>
      </c>
      <c r="AI99" s="6" t="s">
        <v>57</v>
      </c>
      <c r="AJ99" s="6" t="s">
        <v>57</v>
      </c>
      <c r="AK99" s="6" t="s">
        <v>57</v>
      </c>
      <c r="AL99" s="6" t="s">
        <v>57</v>
      </c>
      <c r="AM99" s="6" t="s">
        <v>57</v>
      </c>
      <c r="AN99" s="6" t="s">
        <v>57</v>
      </c>
      <c r="AO99" s="6" t="s">
        <v>57</v>
      </c>
      <c r="AP99" s="6" t="s">
        <v>57</v>
      </c>
      <c r="AQ99" s="9">
        <v>0</v>
      </c>
    </row>
    <row r="100" spans="1:43" ht="15">
      <c r="A100" s="2" t="s">
        <v>361</v>
      </c>
      <c r="B100" s="5">
        <v>119064682</v>
      </c>
      <c r="C100" s="2" t="s">
        <v>23</v>
      </c>
      <c r="D100" s="2" t="s">
        <v>362</v>
      </c>
      <c r="E100" s="2" t="s">
        <v>363</v>
      </c>
      <c r="F100" s="2" t="s">
        <v>26</v>
      </c>
      <c r="G100" s="2" t="s">
        <v>26</v>
      </c>
      <c r="H100" s="2" t="s">
        <v>27</v>
      </c>
      <c r="I100" s="2" t="s">
        <v>28</v>
      </c>
      <c r="J100" s="6"/>
      <c r="K100" s="2" t="s">
        <v>55</v>
      </c>
      <c r="L100" s="2" t="s">
        <v>56</v>
      </c>
      <c r="M100" s="2" t="s">
        <v>55</v>
      </c>
      <c r="N100" s="2"/>
      <c r="O100" s="2"/>
      <c r="P100" s="6" t="s">
        <v>57</v>
      </c>
      <c r="Q100" s="6" t="s">
        <v>57</v>
      </c>
      <c r="R100" s="9">
        <v>56</v>
      </c>
      <c r="S100" s="2"/>
      <c r="T100" s="9">
        <v>19</v>
      </c>
      <c r="U100" s="9">
        <v>33</v>
      </c>
      <c r="V100" s="9">
        <v>12</v>
      </c>
      <c r="W100" s="9">
        <v>106</v>
      </c>
      <c r="X100" s="9">
        <v>106</v>
      </c>
      <c r="Y100" s="9">
        <v>106</v>
      </c>
      <c r="Z100" s="9">
        <v>106</v>
      </c>
      <c r="AA100" s="9">
        <v>106</v>
      </c>
      <c r="AB100" s="9">
        <v>27</v>
      </c>
      <c r="AC100" s="9">
        <v>13</v>
      </c>
      <c r="AD100" s="9">
        <v>30</v>
      </c>
      <c r="AE100" s="6" t="s">
        <v>57</v>
      </c>
      <c r="AF100" s="6" t="s">
        <v>57</v>
      </c>
      <c r="AG100" s="6" t="s">
        <v>57</v>
      </c>
      <c r="AH100" s="6" t="s">
        <v>57</v>
      </c>
      <c r="AI100" s="6" t="s">
        <v>57</v>
      </c>
      <c r="AJ100" s="6" t="s">
        <v>57</v>
      </c>
      <c r="AK100" s="6" t="s">
        <v>57</v>
      </c>
      <c r="AL100" s="6" t="s">
        <v>57</v>
      </c>
      <c r="AM100" s="6" t="s">
        <v>57</v>
      </c>
      <c r="AN100" s="6" t="s">
        <v>57</v>
      </c>
      <c r="AO100" s="6" t="s">
        <v>57</v>
      </c>
      <c r="AP100" s="6" t="s">
        <v>57</v>
      </c>
      <c r="AQ100" s="9">
        <v>0</v>
      </c>
    </row>
    <row r="101" spans="1:43" ht="15">
      <c r="A101" s="2" t="s">
        <v>364</v>
      </c>
      <c r="B101" s="5">
        <v>27318032</v>
      </c>
      <c r="C101" s="2" t="s">
        <v>23</v>
      </c>
      <c r="D101" s="2" t="s">
        <v>365</v>
      </c>
      <c r="E101" s="2" t="s">
        <v>366</v>
      </c>
      <c r="F101" s="2" t="s">
        <v>26</v>
      </c>
      <c r="G101" s="2"/>
      <c r="H101" s="2"/>
      <c r="I101" s="2" t="s">
        <v>28</v>
      </c>
      <c r="J101" s="6"/>
      <c r="K101" s="2" t="s">
        <v>55</v>
      </c>
      <c r="L101" s="2" t="s">
        <v>56</v>
      </c>
      <c r="M101" s="2" t="s">
        <v>55</v>
      </c>
      <c r="N101" s="2"/>
      <c r="O101" s="2"/>
      <c r="P101" s="6" t="s">
        <v>57</v>
      </c>
      <c r="Q101" s="6" t="s">
        <v>57</v>
      </c>
      <c r="R101" s="9">
        <v>2</v>
      </c>
      <c r="S101" s="2"/>
      <c r="T101" s="9">
        <v>285</v>
      </c>
      <c r="U101" s="9">
        <v>422</v>
      </c>
      <c r="V101" s="9">
        <v>3645</v>
      </c>
      <c r="W101" s="9">
        <v>2440</v>
      </c>
      <c r="X101" s="9">
        <v>2430</v>
      </c>
      <c r="Y101" s="9">
        <v>2539</v>
      </c>
      <c r="Z101" s="9">
        <v>2492</v>
      </c>
      <c r="AA101" s="9">
        <v>2823</v>
      </c>
      <c r="AB101" s="9">
        <v>231</v>
      </c>
      <c r="AC101" s="9">
        <v>3822</v>
      </c>
      <c r="AD101" s="9">
        <v>2498</v>
      </c>
      <c r="AE101" s="6" t="s">
        <v>57</v>
      </c>
      <c r="AF101" s="6" t="s">
        <v>57</v>
      </c>
      <c r="AG101" s="6" t="s">
        <v>57</v>
      </c>
      <c r="AH101" s="6" t="s">
        <v>57</v>
      </c>
      <c r="AI101" s="6" t="s">
        <v>57</v>
      </c>
      <c r="AJ101" s="6" t="s">
        <v>57</v>
      </c>
      <c r="AK101" s="6" t="s">
        <v>57</v>
      </c>
      <c r="AL101" s="6" t="s">
        <v>57</v>
      </c>
      <c r="AM101" s="6" t="s">
        <v>57</v>
      </c>
      <c r="AN101" s="6" t="s">
        <v>57</v>
      </c>
      <c r="AO101" s="6" t="s">
        <v>57</v>
      </c>
      <c r="AP101" s="6" t="s">
        <v>57</v>
      </c>
      <c r="AQ101" s="9">
        <v>2</v>
      </c>
    </row>
    <row r="102" spans="1:43" ht="15">
      <c r="A102" s="2" t="s">
        <v>367</v>
      </c>
      <c r="B102" s="5">
        <v>5738887</v>
      </c>
      <c r="C102" s="2" t="s">
        <v>23</v>
      </c>
      <c r="D102" s="2" t="s">
        <v>368</v>
      </c>
      <c r="E102" s="2" t="s">
        <v>369</v>
      </c>
      <c r="F102" s="2" t="s">
        <v>26</v>
      </c>
      <c r="G102" s="2" t="s">
        <v>26</v>
      </c>
      <c r="H102" s="2" t="s">
        <v>27</v>
      </c>
      <c r="I102" s="2" t="s">
        <v>28</v>
      </c>
      <c r="J102" s="6"/>
      <c r="K102" s="2" t="s">
        <v>55</v>
      </c>
      <c r="L102" s="2" t="s">
        <v>56</v>
      </c>
      <c r="M102" s="2" t="s">
        <v>55</v>
      </c>
      <c r="N102" s="2"/>
      <c r="O102" s="2"/>
      <c r="P102" s="7">
        <v>3.1580084366528798</v>
      </c>
      <c r="Q102" s="6" t="s">
        <v>57</v>
      </c>
      <c r="R102" s="9">
        <v>0</v>
      </c>
      <c r="S102" s="2" t="s">
        <v>370</v>
      </c>
      <c r="T102" s="9">
        <v>0</v>
      </c>
      <c r="U102" s="9">
        <v>0</v>
      </c>
      <c r="V102" s="9">
        <v>0</v>
      </c>
      <c r="W102" s="9">
        <v>0</v>
      </c>
      <c r="X102" s="9">
        <v>0</v>
      </c>
      <c r="Y102" s="9">
        <v>0</v>
      </c>
      <c r="Z102" s="9">
        <v>0</v>
      </c>
      <c r="AA102" s="9">
        <v>0</v>
      </c>
      <c r="AB102" s="9">
        <v>0</v>
      </c>
      <c r="AC102" s="9">
        <v>0</v>
      </c>
      <c r="AD102" s="9">
        <v>0</v>
      </c>
      <c r="AE102" s="6" t="s">
        <v>57</v>
      </c>
      <c r="AF102" s="6" t="s">
        <v>57</v>
      </c>
      <c r="AG102" s="6" t="s">
        <v>57</v>
      </c>
      <c r="AH102" s="6" t="s">
        <v>57</v>
      </c>
      <c r="AI102" s="6" t="s">
        <v>57</v>
      </c>
      <c r="AJ102" s="6" t="s">
        <v>57</v>
      </c>
      <c r="AK102" s="6" t="s">
        <v>57</v>
      </c>
      <c r="AL102" s="6" t="s">
        <v>57</v>
      </c>
      <c r="AM102" s="6" t="s">
        <v>57</v>
      </c>
      <c r="AN102" s="6" t="s">
        <v>57</v>
      </c>
      <c r="AO102" s="6" t="s">
        <v>57</v>
      </c>
      <c r="AP102" s="6" t="s">
        <v>57</v>
      </c>
      <c r="AQ102" s="9">
        <v>0</v>
      </c>
    </row>
    <row r="103" spans="1:43" ht="15">
      <c r="A103" s="2" t="s">
        <v>371</v>
      </c>
      <c r="B103" s="5">
        <v>119063694</v>
      </c>
      <c r="C103" s="2" t="s">
        <v>23</v>
      </c>
      <c r="D103" s="2" t="s">
        <v>372</v>
      </c>
      <c r="E103" s="2" t="s">
        <v>373</v>
      </c>
      <c r="F103" s="2" t="s">
        <v>26</v>
      </c>
      <c r="G103" s="2" t="s">
        <v>26</v>
      </c>
      <c r="H103" s="2" t="s">
        <v>27</v>
      </c>
      <c r="I103" s="2" t="s">
        <v>28</v>
      </c>
      <c r="J103" s="6"/>
      <c r="K103" s="2" t="s">
        <v>55</v>
      </c>
      <c r="L103" s="2" t="s">
        <v>56</v>
      </c>
      <c r="M103" s="2" t="s">
        <v>55</v>
      </c>
      <c r="N103" s="2"/>
      <c r="O103" s="2"/>
      <c r="P103" s="6" t="s">
        <v>57</v>
      </c>
      <c r="Q103" s="6" t="s">
        <v>57</v>
      </c>
      <c r="R103" s="9">
        <v>1340</v>
      </c>
      <c r="S103" s="2"/>
      <c r="T103" s="9">
        <v>2530</v>
      </c>
      <c r="U103" s="9">
        <v>1083</v>
      </c>
      <c r="V103" s="9">
        <v>835</v>
      </c>
      <c r="W103" s="9">
        <v>964</v>
      </c>
      <c r="X103" s="9">
        <v>964</v>
      </c>
      <c r="Y103" s="9">
        <v>964</v>
      </c>
      <c r="Z103" s="9">
        <v>964</v>
      </c>
      <c r="AA103" s="9">
        <v>964</v>
      </c>
      <c r="AB103" s="9">
        <v>1187</v>
      </c>
      <c r="AC103" s="9">
        <v>876</v>
      </c>
      <c r="AD103" s="9">
        <v>1095</v>
      </c>
      <c r="AE103" s="6" t="s">
        <v>57</v>
      </c>
      <c r="AF103" s="6" t="s">
        <v>57</v>
      </c>
      <c r="AG103" s="6" t="s">
        <v>57</v>
      </c>
      <c r="AH103" s="6" t="s">
        <v>57</v>
      </c>
      <c r="AI103" s="6" t="s">
        <v>57</v>
      </c>
      <c r="AJ103" s="6" t="s">
        <v>57</v>
      </c>
      <c r="AK103" s="6" t="s">
        <v>57</v>
      </c>
      <c r="AL103" s="6" t="s">
        <v>57</v>
      </c>
      <c r="AM103" s="6" t="s">
        <v>57</v>
      </c>
      <c r="AN103" s="6" t="s">
        <v>57</v>
      </c>
      <c r="AO103" s="6" t="s">
        <v>57</v>
      </c>
      <c r="AP103" s="6" t="s">
        <v>57</v>
      </c>
      <c r="AQ103" s="9">
        <v>345</v>
      </c>
    </row>
    <row r="104" spans="1:43" ht="15">
      <c r="A104" s="2" t="s">
        <v>374</v>
      </c>
      <c r="B104" s="5">
        <v>7665833</v>
      </c>
      <c r="C104" s="2" t="s">
        <v>23</v>
      </c>
      <c r="D104" s="2" t="s">
        <v>375</v>
      </c>
      <c r="E104" s="2" t="s">
        <v>376</v>
      </c>
      <c r="F104" s="2" t="s">
        <v>26</v>
      </c>
      <c r="G104" s="2" t="s">
        <v>26</v>
      </c>
      <c r="H104" s="2" t="s">
        <v>27</v>
      </c>
      <c r="I104" s="2" t="s">
        <v>28</v>
      </c>
      <c r="J104" s="6"/>
      <c r="K104" s="2" t="s">
        <v>55</v>
      </c>
      <c r="L104" s="2" t="s">
        <v>56</v>
      </c>
      <c r="M104" s="2" t="s">
        <v>55</v>
      </c>
      <c r="N104" s="2"/>
      <c r="O104" s="2"/>
      <c r="P104" s="7">
        <v>6.9639911278634701</v>
      </c>
      <c r="Q104" s="6" t="s">
        <v>57</v>
      </c>
      <c r="R104" s="9">
        <v>1275</v>
      </c>
      <c r="S104" s="2"/>
      <c r="T104" s="9">
        <v>2911</v>
      </c>
      <c r="U104" s="9">
        <v>21636</v>
      </c>
      <c r="V104" s="9">
        <v>16727</v>
      </c>
      <c r="W104" s="9">
        <v>23215</v>
      </c>
      <c r="X104" s="9">
        <v>23140</v>
      </c>
      <c r="Y104" s="9">
        <v>23191</v>
      </c>
      <c r="Z104" s="9">
        <v>23451</v>
      </c>
      <c r="AA104" s="9">
        <v>15456</v>
      </c>
      <c r="AB104" s="9">
        <v>24024</v>
      </c>
      <c r="AC104" s="9">
        <v>17353</v>
      </c>
      <c r="AD104" s="9">
        <v>19203</v>
      </c>
      <c r="AE104" s="6" t="s">
        <v>57</v>
      </c>
      <c r="AF104" s="6" t="s">
        <v>57</v>
      </c>
      <c r="AG104" s="6" t="s">
        <v>57</v>
      </c>
      <c r="AH104" s="6" t="s">
        <v>57</v>
      </c>
      <c r="AI104" s="6" t="s">
        <v>57</v>
      </c>
      <c r="AJ104" s="6" t="s">
        <v>57</v>
      </c>
      <c r="AK104" s="6" t="s">
        <v>57</v>
      </c>
      <c r="AL104" s="6" t="s">
        <v>57</v>
      </c>
      <c r="AM104" s="6" t="s">
        <v>57</v>
      </c>
      <c r="AN104" s="6" t="s">
        <v>57</v>
      </c>
      <c r="AO104" s="6" t="s">
        <v>57</v>
      </c>
      <c r="AP104" s="6" t="s">
        <v>57</v>
      </c>
      <c r="AQ104" s="9">
        <v>0</v>
      </c>
    </row>
    <row r="105" spans="1:43" ht="15">
      <c r="A105" s="2" t="s">
        <v>377</v>
      </c>
      <c r="B105" s="5">
        <v>142632539</v>
      </c>
      <c r="C105" s="2" t="s">
        <v>23</v>
      </c>
      <c r="D105" s="2" t="s">
        <v>378</v>
      </c>
      <c r="E105" s="2" t="s">
        <v>379</v>
      </c>
      <c r="F105" s="2" t="s">
        <v>26</v>
      </c>
      <c r="G105" s="2"/>
      <c r="H105" s="2"/>
      <c r="I105" s="2" t="s">
        <v>28</v>
      </c>
      <c r="J105" s="6"/>
      <c r="K105" s="2" t="s">
        <v>55</v>
      </c>
      <c r="L105" s="2" t="s">
        <v>56</v>
      </c>
      <c r="M105" s="2" t="s">
        <v>55</v>
      </c>
      <c r="N105" s="2"/>
      <c r="O105" s="2"/>
      <c r="P105" s="6" t="s">
        <v>57</v>
      </c>
      <c r="Q105" s="6" t="s">
        <v>57</v>
      </c>
      <c r="R105" s="6" t="s">
        <v>57</v>
      </c>
      <c r="S105" s="2"/>
      <c r="T105" s="6" t="s">
        <v>57</v>
      </c>
      <c r="U105" s="6" t="s">
        <v>57</v>
      </c>
      <c r="V105" s="6" t="s">
        <v>57</v>
      </c>
      <c r="W105" s="6" t="s">
        <v>57</v>
      </c>
      <c r="X105" s="6" t="s">
        <v>57</v>
      </c>
      <c r="Y105" s="6" t="s">
        <v>57</v>
      </c>
      <c r="Z105" s="6" t="s">
        <v>57</v>
      </c>
      <c r="AA105" s="6" t="s">
        <v>57</v>
      </c>
      <c r="AB105" s="6" t="s">
        <v>57</v>
      </c>
      <c r="AC105" s="6" t="s">
        <v>57</v>
      </c>
      <c r="AD105" s="6" t="s">
        <v>57</v>
      </c>
      <c r="AE105" s="6" t="s">
        <v>57</v>
      </c>
      <c r="AF105" s="6" t="s">
        <v>57</v>
      </c>
      <c r="AG105" s="6" t="s">
        <v>57</v>
      </c>
      <c r="AH105" s="6" t="s">
        <v>57</v>
      </c>
      <c r="AI105" s="6" t="s">
        <v>57</v>
      </c>
      <c r="AJ105" s="6" t="s">
        <v>57</v>
      </c>
      <c r="AK105" s="6" t="s">
        <v>57</v>
      </c>
      <c r="AL105" s="6" t="s">
        <v>57</v>
      </c>
      <c r="AM105" s="6" t="s">
        <v>57</v>
      </c>
      <c r="AN105" s="6" t="s">
        <v>57</v>
      </c>
      <c r="AO105" s="6" t="s">
        <v>57</v>
      </c>
      <c r="AP105" s="6" t="s">
        <v>57</v>
      </c>
      <c r="AQ105" s="6" t="s">
        <v>57</v>
      </c>
    </row>
    <row r="106" spans="1:43" ht="15">
      <c r="A106" s="2" t="s">
        <v>380</v>
      </c>
      <c r="B106" s="5">
        <v>125170167</v>
      </c>
      <c r="C106" s="2" t="s">
        <v>23</v>
      </c>
      <c r="D106" s="2" t="s">
        <v>381</v>
      </c>
      <c r="E106" s="2" t="s">
        <v>382</v>
      </c>
      <c r="F106" s="2" t="s">
        <v>26</v>
      </c>
      <c r="G106" s="2" t="s">
        <v>26</v>
      </c>
      <c r="H106" s="2" t="s">
        <v>27</v>
      </c>
      <c r="I106" s="2" t="s">
        <v>28</v>
      </c>
      <c r="J106" s="6"/>
      <c r="K106" s="2" t="s">
        <v>55</v>
      </c>
      <c r="L106" s="2" t="s">
        <v>56</v>
      </c>
      <c r="M106" s="2" t="s">
        <v>55</v>
      </c>
      <c r="N106" s="2"/>
      <c r="O106" s="2"/>
      <c r="P106" s="6" t="s">
        <v>57</v>
      </c>
      <c r="Q106" s="6" t="s">
        <v>57</v>
      </c>
      <c r="R106" s="6" t="s">
        <v>57</v>
      </c>
      <c r="S106" s="2"/>
      <c r="T106" s="6" t="s">
        <v>57</v>
      </c>
      <c r="U106" s="6" t="s">
        <v>57</v>
      </c>
      <c r="V106" s="6" t="s">
        <v>57</v>
      </c>
      <c r="W106" s="6" t="s">
        <v>57</v>
      </c>
      <c r="X106" s="6" t="s">
        <v>57</v>
      </c>
      <c r="Y106" s="6" t="s">
        <v>57</v>
      </c>
      <c r="Z106" s="6" t="s">
        <v>57</v>
      </c>
      <c r="AA106" s="6" t="s">
        <v>57</v>
      </c>
      <c r="AB106" s="6" t="s">
        <v>57</v>
      </c>
      <c r="AC106" s="6" t="s">
        <v>57</v>
      </c>
      <c r="AD106" s="6" t="s">
        <v>57</v>
      </c>
      <c r="AE106" s="6" t="s">
        <v>57</v>
      </c>
      <c r="AF106" s="6" t="s">
        <v>57</v>
      </c>
      <c r="AG106" s="6" t="s">
        <v>57</v>
      </c>
      <c r="AH106" s="6" t="s">
        <v>57</v>
      </c>
      <c r="AI106" s="6" t="s">
        <v>57</v>
      </c>
      <c r="AJ106" s="6" t="s">
        <v>57</v>
      </c>
      <c r="AK106" s="6" t="s">
        <v>57</v>
      </c>
      <c r="AL106" s="6" t="s">
        <v>57</v>
      </c>
      <c r="AM106" s="6" t="s">
        <v>57</v>
      </c>
      <c r="AN106" s="6" t="s">
        <v>57</v>
      </c>
      <c r="AO106" s="6" t="s">
        <v>57</v>
      </c>
      <c r="AP106" s="6" t="s">
        <v>57</v>
      </c>
      <c r="AQ106" s="6" t="s">
        <v>57</v>
      </c>
    </row>
    <row r="107" spans="1:43" ht="15">
      <c r="A107" s="2" t="s">
        <v>383</v>
      </c>
      <c r="B107" s="5">
        <v>5738399</v>
      </c>
      <c r="C107" s="2" t="s">
        <v>23</v>
      </c>
      <c r="D107" s="2" t="s">
        <v>384</v>
      </c>
      <c r="E107" s="2" t="s">
        <v>385</v>
      </c>
      <c r="F107" s="2" t="s">
        <v>26</v>
      </c>
      <c r="G107" s="2"/>
      <c r="H107" s="2"/>
      <c r="I107" s="2" t="s">
        <v>28</v>
      </c>
      <c r="J107" s="6"/>
      <c r="K107" s="2" t="s">
        <v>55</v>
      </c>
      <c r="L107" s="2" t="s">
        <v>56</v>
      </c>
      <c r="M107" s="2" t="s">
        <v>55</v>
      </c>
      <c r="N107" s="2"/>
      <c r="O107" s="2"/>
      <c r="P107" s="7">
        <v>12.3063809303474</v>
      </c>
      <c r="Q107" s="6" t="s">
        <v>57</v>
      </c>
      <c r="R107" s="9">
        <v>0</v>
      </c>
      <c r="S107" s="2"/>
      <c r="T107" s="9">
        <v>0</v>
      </c>
      <c r="U107" s="9">
        <v>0</v>
      </c>
      <c r="V107" s="9">
        <v>0</v>
      </c>
      <c r="W107" s="9">
        <v>0</v>
      </c>
      <c r="X107" s="9">
        <v>0</v>
      </c>
      <c r="Y107" s="9">
        <v>0</v>
      </c>
      <c r="Z107" s="9">
        <v>0</v>
      </c>
      <c r="AA107" s="9">
        <v>0</v>
      </c>
      <c r="AB107" s="9">
        <v>0</v>
      </c>
      <c r="AC107" s="9">
        <v>0</v>
      </c>
      <c r="AD107" s="9">
        <v>0</v>
      </c>
      <c r="AE107" s="6" t="s">
        <v>57</v>
      </c>
      <c r="AF107" s="6" t="s">
        <v>57</v>
      </c>
      <c r="AG107" s="6" t="s">
        <v>57</v>
      </c>
      <c r="AH107" s="6" t="s">
        <v>57</v>
      </c>
      <c r="AI107" s="6" t="s">
        <v>57</v>
      </c>
      <c r="AJ107" s="6" t="s">
        <v>57</v>
      </c>
      <c r="AK107" s="6" t="s">
        <v>57</v>
      </c>
      <c r="AL107" s="6" t="s">
        <v>57</v>
      </c>
      <c r="AM107" s="6" t="s">
        <v>57</v>
      </c>
      <c r="AN107" s="6" t="s">
        <v>57</v>
      </c>
      <c r="AO107" s="6" t="s">
        <v>57</v>
      </c>
      <c r="AP107" s="6" t="s">
        <v>57</v>
      </c>
      <c r="AQ107" s="9">
        <v>0</v>
      </c>
    </row>
    <row r="108" spans="1:43" ht="15">
      <c r="A108" s="2" t="s">
        <v>386</v>
      </c>
      <c r="B108" s="5">
        <v>136353906</v>
      </c>
      <c r="C108" s="2" t="s">
        <v>23</v>
      </c>
      <c r="D108" s="2" t="s">
        <v>387</v>
      </c>
      <c r="E108" s="2" t="s">
        <v>388</v>
      </c>
      <c r="F108" s="2" t="s">
        <v>26</v>
      </c>
      <c r="G108" s="2"/>
      <c r="H108" s="2"/>
      <c r="I108" s="2" t="s">
        <v>28</v>
      </c>
      <c r="J108" s="6"/>
      <c r="K108" s="2" t="s">
        <v>55</v>
      </c>
      <c r="L108" s="2" t="s">
        <v>56</v>
      </c>
      <c r="M108" s="2" t="s">
        <v>55</v>
      </c>
      <c r="N108" s="2"/>
      <c r="O108" s="2"/>
      <c r="P108" s="6" t="s">
        <v>57</v>
      </c>
      <c r="Q108" s="6" t="s">
        <v>57</v>
      </c>
      <c r="R108" s="6" t="s">
        <v>57</v>
      </c>
      <c r="S108" s="2"/>
      <c r="T108" s="6" t="s">
        <v>57</v>
      </c>
      <c r="U108" s="6" t="s">
        <v>57</v>
      </c>
      <c r="V108" s="6" t="s">
        <v>57</v>
      </c>
      <c r="W108" s="6" t="s">
        <v>57</v>
      </c>
      <c r="X108" s="6" t="s">
        <v>57</v>
      </c>
      <c r="Y108" s="6" t="s">
        <v>57</v>
      </c>
      <c r="Z108" s="6" t="s">
        <v>57</v>
      </c>
      <c r="AA108" s="6" t="s">
        <v>57</v>
      </c>
      <c r="AB108" s="6" t="s">
        <v>57</v>
      </c>
      <c r="AC108" s="6" t="s">
        <v>57</v>
      </c>
      <c r="AD108" s="6" t="s">
        <v>57</v>
      </c>
      <c r="AE108" s="6" t="s">
        <v>57</v>
      </c>
      <c r="AF108" s="6" t="s">
        <v>57</v>
      </c>
      <c r="AG108" s="6" t="s">
        <v>57</v>
      </c>
      <c r="AH108" s="6" t="s">
        <v>57</v>
      </c>
      <c r="AI108" s="6" t="s">
        <v>57</v>
      </c>
      <c r="AJ108" s="6" t="s">
        <v>57</v>
      </c>
      <c r="AK108" s="6" t="s">
        <v>57</v>
      </c>
      <c r="AL108" s="6" t="s">
        <v>57</v>
      </c>
      <c r="AM108" s="6" t="s">
        <v>57</v>
      </c>
      <c r="AN108" s="6" t="s">
        <v>57</v>
      </c>
      <c r="AO108" s="6" t="s">
        <v>57</v>
      </c>
      <c r="AP108" s="6" t="s">
        <v>57</v>
      </c>
      <c r="AQ108" s="6" t="s">
        <v>57</v>
      </c>
    </row>
    <row r="109" spans="1:43" ht="15">
      <c r="A109" s="2" t="s">
        <v>389</v>
      </c>
      <c r="B109" s="5">
        <v>136354001</v>
      </c>
      <c r="C109" s="2" t="s">
        <v>23</v>
      </c>
      <c r="D109" s="2" t="s">
        <v>390</v>
      </c>
      <c r="E109" s="2" t="s">
        <v>391</v>
      </c>
      <c r="F109" s="2" t="s">
        <v>26</v>
      </c>
      <c r="G109" s="2"/>
      <c r="H109" s="2"/>
      <c r="I109" s="2" t="s">
        <v>28</v>
      </c>
      <c r="J109" s="6"/>
      <c r="K109" s="2" t="s">
        <v>55</v>
      </c>
      <c r="L109" s="2" t="s">
        <v>56</v>
      </c>
      <c r="M109" s="2" t="s">
        <v>55</v>
      </c>
      <c r="N109" s="2"/>
      <c r="O109" s="2"/>
      <c r="P109" s="6" t="s">
        <v>57</v>
      </c>
      <c r="Q109" s="6" t="s">
        <v>57</v>
      </c>
      <c r="R109" s="6" t="s">
        <v>57</v>
      </c>
      <c r="S109" s="2"/>
      <c r="T109" s="6" t="s">
        <v>57</v>
      </c>
      <c r="U109" s="6" t="s">
        <v>57</v>
      </c>
      <c r="V109" s="6" t="s">
        <v>57</v>
      </c>
      <c r="W109" s="6" t="s">
        <v>57</v>
      </c>
      <c r="X109" s="6" t="s">
        <v>57</v>
      </c>
      <c r="Y109" s="6" t="s">
        <v>57</v>
      </c>
      <c r="Z109" s="6" t="s">
        <v>57</v>
      </c>
      <c r="AA109" s="6" t="s">
        <v>57</v>
      </c>
      <c r="AB109" s="6" t="s">
        <v>57</v>
      </c>
      <c r="AC109" s="6" t="s">
        <v>57</v>
      </c>
      <c r="AD109" s="6" t="s">
        <v>57</v>
      </c>
      <c r="AE109" s="6" t="s">
        <v>57</v>
      </c>
      <c r="AF109" s="6" t="s">
        <v>57</v>
      </c>
      <c r="AG109" s="6" t="s">
        <v>57</v>
      </c>
      <c r="AH109" s="6" t="s">
        <v>57</v>
      </c>
      <c r="AI109" s="6" t="s">
        <v>57</v>
      </c>
      <c r="AJ109" s="6" t="s">
        <v>57</v>
      </c>
      <c r="AK109" s="6" t="s">
        <v>57</v>
      </c>
      <c r="AL109" s="6" t="s">
        <v>57</v>
      </c>
      <c r="AM109" s="6" t="s">
        <v>57</v>
      </c>
      <c r="AN109" s="6" t="s">
        <v>57</v>
      </c>
      <c r="AO109" s="6" t="s">
        <v>57</v>
      </c>
      <c r="AP109" s="6" t="s">
        <v>57</v>
      </c>
      <c r="AQ109" s="6" t="s">
        <v>57</v>
      </c>
    </row>
    <row r="110" spans="1:43" ht="15">
      <c r="A110" s="2" t="s">
        <v>392</v>
      </c>
      <c r="B110" s="5">
        <v>7261746</v>
      </c>
      <c r="C110" s="2" t="s">
        <v>23</v>
      </c>
      <c r="D110" s="2" t="s">
        <v>393</v>
      </c>
      <c r="E110" s="2" t="s">
        <v>394</v>
      </c>
      <c r="F110" s="2" t="s">
        <v>26</v>
      </c>
      <c r="G110" s="2" t="s">
        <v>26</v>
      </c>
      <c r="H110" s="2" t="s">
        <v>27</v>
      </c>
      <c r="I110" s="2" t="s">
        <v>28</v>
      </c>
      <c r="J110" s="6"/>
      <c r="K110" s="2" t="s">
        <v>55</v>
      </c>
      <c r="L110" s="2" t="s">
        <v>56</v>
      </c>
      <c r="M110" s="2" t="s">
        <v>55</v>
      </c>
      <c r="N110" s="2"/>
      <c r="O110" s="2"/>
      <c r="P110" s="6" t="s">
        <v>57</v>
      </c>
      <c r="Q110" s="6" t="s">
        <v>57</v>
      </c>
      <c r="R110" s="6" t="s">
        <v>57</v>
      </c>
      <c r="S110" s="2"/>
      <c r="T110" s="6" t="s">
        <v>57</v>
      </c>
      <c r="U110" s="6" t="s">
        <v>57</v>
      </c>
      <c r="V110" s="6" t="s">
        <v>57</v>
      </c>
      <c r="W110" s="6" t="s">
        <v>57</v>
      </c>
      <c r="X110" s="6" t="s">
        <v>57</v>
      </c>
      <c r="Y110" s="6" t="s">
        <v>57</v>
      </c>
      <c r="Z110" s="6" t="s">
        <v>57</v>
      </c>
      <c r="AA110" s="6" t="s">
        <v>57</v>
      </c>
      <c r="AB110" s="6" t="s">
        <v>57</v>
      </c>
      <c r="AC110" s="6" t="s">
        <v>57</v>
      </c>
      <c r="AD110" s="6" t="s">
        <v>57</v>
      </c>
      <c r="AE110" s="6" t="s">
        <v>57</v>
      </c>
      <c r="AF110" s="6" t="s">
        <v>57</v>
      </c>
      <c r="AG110" s="6" t="s">
        <v>57</v>
      </c>
      <c r="AH110" s="6" t="s">
        <v>57</v>
      </c>
      <c r="AI110" s="6" t="s">
        <v>57</v>
      </c>
      <c r="AJ110" s="6" t="s">
        <v>57</v>
      </c>
      <c r="AK110" s="6" t="s">
        <v>57</v>
      </c>
      <c r="AL110" s="6" t="s">
        <v>57</v>
      </c>
      <c r="AM110" s="6" t="s">
        <v>57</v>
      </c>
      <c r="AN110" s="6" t="s">
        <v>57</v>
      </c>
      <c r="AO110" s="6" t="s">
        <v>57</v>
      </c>
      <c r="AP110" s="6" t="s">
        <v>57</v>
      </c>
      <c r="AQ110" s="6" t="s">
        <v>57</v>
      </c>
    </row>
    <row r="111" spans="1:43" ht="15">
      <c r="A111" s="2" t="s">
        <v>395</v>
      </c>
      <c r="B111" s="5">
        <v>5738670</v>
      </c>
      <c r="C111" s="2" t="s">
        <v>23</v>
      </c>
      <c r="D111" s="2" t="s">
        <v>396</v>
      </c>
      <c r="E111" s="2" t="s">
        <v>397</v>
      </c>
      <c r="F111" s="2" t="s">
        <v>26</v>
      </c>
      <c r="G111" s="2" t="s">
        <v>26</v>
      </c>
      <c r="H111" s="2" t="s">
        <v>27</v>
      </c>
      <c r="I111" s="2" t="s">
        <v>28</v>
      </c>
      <c r="J111" s="6"/>
      <c r="K111" s="2" t="s">
        <v>55</v>
      </c>
      <c r="L111" s="2" t="s">
        <v>56</v>
      </c>
      <c r="M111" s="2" t="s">
        <v>55</v>
      </c>
      <c r="N111" s="2"/>
      <c r="O111" s="2"/>
      <c r="P111" s="6" t="s">
        <v>57</v>
      </c>
      <c r="Q111" s="6" t="s">
        <v>57</v>
      </c>
      <c r="R111" s="9">
        <v>0</v>
      </c>
      <c r="S111" s="2"/>
      <c r="T111" s="9">
        <v>0</v>
      </c>
      <c r="U111" s="9">
        <v>0</v>
      </c>
      <c r="V111" s="9">
        <v>0</v>
      </c>
      <c r="W111" s="9">
        <v>0</v>
      </c>
      <c r="X111" s="9">
        <v>0</v>
      </c>
      <c r="Y111" s="9">
        <v>100</v>
      </c>
      <c r="Z111" s="9">
        <v>115</v>
      </c>
      <c r="AA111" s="9">
        <v>90</v>
      </c>
      <c r="AB111" s="9">
        <v>0</v>
      </c>
      <c r="AC111" s="9">
        <v>0</v>
      </c>
      <c r="AD111" s="9">
        <v>0</v>
      </c>
      <c r="AE111" s="6" t="s">
        <v>57</v>
      </c>
      <c r="AF111" s="6" t="s">
        <v>57</v>
      </c>
      <c r="AG111" s="6" t="s">
        <v>57</v>
      </c>
      <c r="AH111" s="6" t="s">
        <v>57</v>
      </c>
      <c r="AI111" s="6" t="s">
        <v>57</v>
      </c>
      <c r="AJ111" s="6" t="s">
        <v>57</v>
      </c>
      <c r="AK111" s="6" t="s">
        <v>57</v>
      </c>
      <c r="AL111" s="6" t="s">
        <v>57</v>
      </c>
      <c r="AM111" s="6" t="s">
        <v>57</v>
      </c>
      <c r="AN111" s="6" t="s">
        <v>57</v>
      </c>
      <c r="AO111" s="6" t="s">
        <v>57</v>
      </c>
      <c r="AP111" s="6" t="s">
        <v>57</v>
      </c>
      <c r="AQ111" s="9">
        <v>0</v>
      </c>
    </row>
    <row r="112" spans="1:43" ht="15">
      <c r="A112" s="2" t="s">
        <v>398</v>
      </c>
      <c r="B112" s="5">
        <v>28745989</v>
      </c>
      <c r="C112" s="2" t="s">
        <v>23</v>
      </c>
      <c r="D112" s="2" t="s">
        <v>399</v>
      </c>
      <c r="E112" s="2" t="s">
        <v>400</v>
      </c>
      <c r="F112" s="2" t="s">
        <v>26</v>
      </c>
      <c r="G112" s="2"/>
      <c r="H112" s="2"/>
      <c r="I112" s="2" t="s">
        <v>28</v>
      </c>
      <c r="J112" s="6"/>
      <c r="K112" s="2" t="s">
        <v>55</v>
      </c>
      <c r="L112" s="2" t="s">
        <v>56</v>
      </c>
      <c r="M112" s="2" t="s">
        <v>55</v>
      </c>
      <c r="N112" s="2"/>
      <c r="O112" s="2"/>
      <c r="P112" s="7">
        <v>14.4687153263404</v>
      </c>
      <c r="Q112" s="6" t="s">
        <v>57</v>
      </c>
      <c r="R112" s="9">
        <v>0</v>
      </c>
      <c r="S112" s="2"/>
      <c r="T112" s="9">
        <v>0</v>
      </c>
      <c r="U112" s="9">
        <v>0</v>
      </c>
      <c r="V112" s="9">
        <v>0</v>
      </c>
      <c r="W112" s="9">
        <v>12093</v>
      </c>
      <c r="X112" s="9">
        <v>12045</v>
      </c>
      <c r="Y112" s="9">
        <v>8410</v>
      </c>
      <c r="Z112" s="9">
        <v>5603</v>
      </c>
      <c r="AA112" s="9">
        <v>6582</v>
      </c>
      <c r="AB112" s="9">
        <v>0</v>
      </c>
      <c r="AC112" s="9">
        <v>0</v>
      </c>
      <c r="AD112" s="9">
        <v>0</v>
      </c>
      <c r="AE112" s="6" t="s">
        <v>57</v>
      </c>
      <c r="AF112" s="6" t="s">
        <v>57</v>
      </c>
      <c r="AG112" s="6" t="s">
        <v>57</v>
      </c>
      <c r="AH112" s="6" t="s">
        <v>57</v>
      </c>
      <c r="AI112" s="6" t="s">
        <v>57</v>
      </c>
      <c r="AJ112" s="6" t="s">
        <v>57</v>
      </c>
      <c r="AK112" s="6" t="s">
        <v>57</v>
      </c>
      <c r="AL112" s="6" t="s">
        <v>57</v>
      </c>
      <c r="AM112" s="6" t="s">
        <v>57</v>
      </c>
      <c r="AN112" s="6" t="s">
        <v>57</v>
      </c>
      <c r="AO112" s="6" t="s">
        <v>57</v>
      </c>
      <c r="AP112" s="6" t="s">
        <v>57</v>
      </c>
      <c r="AQ112" s="9">
        <v>0</v>
      </c>
    </row>
    <row r="113" spans="1:43" ht="15">
      <c r="A113" s="2" t="s">
        <v>401</v>
      </c>
      <c r="B113" s="5">
        <v>6166471</v>
      </c>
      <c r="C113" s="2" t="s">
        <v>23</v>
      </c>
      <c r="D113" s="2" t="s">
        <v>402</v>
      </c>
      <c r="E113" s="2" t="s">
        <v>403</v>
      </c>
      <c r="F113" s="2" t="s">
        <v>26</v>
      </c>
      <c r="G113" s="2" t="s">
        <v>26</v>
      </c>
      <c r="H113" s="2" t="s">
        <v>27</v>
      </c>
      <c r="I113" s="2" t="s">
        <v>28</v>
      </c>
      <c r="J113" s="6"/>
      <c r="K113" s="2" t="s">
        <v>55</v>
      </c>
      <c r="L113" s="2" t="s">
        <v>56</v>
      </c>
      <c r="M113" s="2" t="s">
        <v>55</v>
      </c>
      <c r="N113" s="2"/>
      <c r="O113" s="2"/>
      <c r="P113" s="7">
        <v>29.890146332022201</v>
      </c>
      <c r="Q113" s="6" t="s">
        <v>57</v>
      </c>
      <c r="R113" s="9">
        <v>0</v>
      </c>
      <c r="S113" s="2" t="s">
        <v>404</v>
      </c>
      <c r="T113" s="9">
        <v>0</v>
      </c>
      <c r="U113" s="9">
        <v>0</v>
      </c>
      <c r="V113" s="9">
        <v>0</v>
      </c>
      <c r="W113" s="9">
        <v>0</v>
      </c>
      <c r="X113" s="9">
        <v>0</v>
      </c>
      <c r="Y113" s="9">
        <v>0</v>
      </c>
      <c r="Z113" s="9">
        <v>8</v>
      </c>
      <c r="AA113" s="9">
        <v>5</v>
      </c>
      <c r="AB113" s="9">
        <v>0</v>
      </c>
      <c r="AC113" s="9">
        <v>0</v>
      </c>
      <c r="AD113" s="9">
        <v>0</v>
      </c>
      <c r="AE113" s="6" t="s">
        <v>57</v>
      </c>
      <c r="AF113" s="6" t="s">
        <v>57</v>
      </c>
      <c r="AG113" s="6" t="s">
        <v>57</v>
      </c>
      <c r="AH113" s="6" t="s">
        <v>57</v>
      </c>
      <c r="AI113" s="6" t="s">
        <v>57</v>
      </c>
      <c r="AJ113" s="6" t="s">
        <v>57</v>
      </c>
      <c r="AK113" s="6" t="s">
        <v>57</v>
      </c>
      <c r="AL113" s="6" t="s">
        <v>57</v>
      </c>
      <c r="AM113" s="6" t="s">
        <v>57</v>
      </c>
      <c r="AN113" s="6" t="s">
        <v>57</v>
      </c>
      <c r="AO113" s="6" t="s">
        <v>57</v>
      </c>
      <c r="AP113" s="6" t="s">
        <v>57</v>
      </c>
      <c r="AQ113" s="9">
        <v>0</v>
      </c>
    </row>
    <row r="114" spans="1:43" ht="15">
      <c r="A114" s="2" t="s">
        <v>405</v>
      </c>
      <c r="B114" s="5">
        <v>105877586</v>
      </c>
      <c r="C114" s="2" t="s">
        <v>23</v>
      </c>
      <c r="D114" s="2" t="s">
        <v>406</v>
      </c>
      <c r="E114" s="2" t="s">
        <v>407</v>
      </c>
      <c r="F114" s="2" t="s">
        <v>26</v>
      </c>
      <c r="G114" s="2" t="s">
        <v>26</v>
      </c>
      <c r="H114" s="2" t="s">
        <v>27</v>
      </c>
      <c r="I114" s="2" t="s">
        <v>28</v>
      </c>
      <c r="J114" s="6"/>
      <c r="K114" s="2" t="s">
        <v>55</v>
      </c>
      <c r="L114" s="2" t="s">
        <v>56</v>
      </c>
      <c r="M114" s="2" t="s">
        <v>55</v>
      </c>
      <c r="N114" s="2"/>
      <c r="O114" s="2"/>
      <c r="P114" s="6" t="s">
        <v>57</v>
      </c>
      <c r="Q114" s="6" t="s">
        <v>57</v>
      </c>
      <c r="R114" s="9">
        <v>0</v>
      </c>
      <c r="S114" s="2"/>
      <c r="T114" s="9">
        <v>0</v>
      </c>
      <c r="U114" s="9">
        <v>518</v>
      </c>
      <c r="V114" s="9">
        <v>844</v>
      </c>
      <c r="W114" s="9">
        <v>1710</v>
      </c>
      <c r="X114" s="9">
        <v>1703</v>
      </c>
      <c r="Y114" s="9">
        <v>2235</v>
      </c>
      <c r="Z114" s="9">
        <v>2760</v>
      </c>
      <c r="AA114" s="9">
        <v>2760</v>
      </c>
      <c r="AB114" s="9">
        <v>307</v>
      </c>
      <c r="AC114" s="9">
        <v>437</v>
      </c>
      <c r="AD114" s="9">
        <v>1173</v>
      </c>
      <c r="AE114" s="6" t="s">
        <v>57</v>
      </c>
      <c r="AF114" s="6" t="s">
        <v>57</v>
      </c>
      <c r="AG114" s="6" t="s">
        <v>57</v>
      </c>
      <c r="AH114" s="6" t="s">
        <v>57</v>
      </c>
      <c r="AI114" s="6" t="s">
        <v>57</v>
      </c>
      <c r="AJ114" s="6" t="s">
        <v>57</v>
      </c>
      <c r="AK114" s="6" t="s">
        <v>57</v>
      </c>
      <c r="AL114" s="6" t="s">
        <v>57</v>
      </c>
      <c r="AM114" s="6" t="s">
        <v>57</v>
      </c>
      <c r="AN114" s="6" t="s">
        <v>57</v>
      </c>
      <c r="AO114" s="6" t="s">
        <v>57</v>
      </c>
      <c r="AP114" s="6" t="s">
        <v>57</v>
      </c>
      <c r="AQ114" s="9">
        <v>0</v>
      </c>
    </row>
    <row r="115" spans="1:43" ht="15">
      <c r="A115" s="2" t="s">
        <v>408</v>
      </c>
      <c r="B115" s="5">
        <v>10707826</v>
      </c>
      <c r="C115" s="2" t="s">
        <v>23</v>
      </c>
      <c r="D115" s="2" t="s">
        <v>409</v>
      </c>
      <c r="E115" s="2" t="s">
        <v>410</v>
      </c>
      <c r="F115" s="2" t="s">
        <v>26</v>
      </c>
      <c r="G115" s="2"/>
      <c r="H115" s="2"/>
      <c r="I115" s="2" t="s">
        <v>28</v>
      </c>
      <c r="J115" s="6"/>
      <c r="K115" s="2" t="s">
        <v>55</v>
      </c>
      <c r="L115" s="2" t="s">
        <v>56</v>
      </c>
      <c r="M115" s="2" t="s">
        <v>55</v>
      </c>
      <c r="N115" s="2"/>
      <c r="O115" s="2"/>
      <c r="P115" s="7">
        <v>5.1654889928233798</v>
      </c>
      <c r="Q115" s="6" t="s">
        <v>57</v>
      </c>
      <c r="R115" s="9">
        <v>0</v>
      </c>
      <c r="S115" s="2"/>
      <c r="T115" s="9">
        <v>0</v>
      </c>
      <c r="U115" s="9">
        <v>0</v>
      </c>
      <c r="V115" s="9">
        <v>0</v>
      </c>
      <c r="W115" s="9">
        <v>0</v>
      </c>
      <c r="X115" s="9">
        <v>0</v>
      </c>
      <c r="Y115" s="9">
        <v>48</v>
      </c>
      <c r="Z115" s="9">
        <v>32</v>
      </c>
      <c r="AA115" s="9">
        <v>57</v>
      </c>
      <c r="AB115" s="9">
        <v>0</v>
      </c>
      <c r="AC115" s="9">
        <v>0</v>
      </c>
      <c r="AD115" s="9">
        <v>0</v>
      </c>
      <c r="AE115" s="6" t="s">
        <v>57</v>
      </c>
      <c r="AF115" s="6" t="s">
        <v>57</v>
      </c>
      <c r="AG115" s="6" t="s">
        <v>57</v>
      </c>
      <c r="AH115" s="6" t="s">
        <v>57</v>
      </c>
      <c r="AI115" s="6" t="s">
        <v>57</v>
      </c>
      <c r="AJ115" s="6" t="s">
        <v>57</v>
      </c>
      <c r="AK115" s="6" t="s">
        <v>57</v>
      </c>
      <c r="AL115" s="6" t="s">
        <v>57</v>
      </c>
      <c r="AM115" s="6" t="s">
        <v>57</v>
      </c>
      <c r="AN115" s="6" t="s">
        <v>57</v>
      </c>
      <c r="AO115" s="6" t="s">
        <v>57</v>
      </c>
      <c r="AP115" s="6" t="s">
        <v>57</v>
      </c>
      <c r="AQ115" s="9">
        <v>0</v>
      </c>
    </row>
    <row r="116" spans="1:43" ht="15">
      <c r="A116" s="2" t="s">
        <v>411</v>
      </c>
      <c r="B116" s="5">
        <v>101360657</v>
      </c>
      <c r="C116" s="2" t="s">
        <v>23</v>
      </c>
      <c r="D116" s="2" t="s">
        <v>412</v>
      </c>
      <c r="E116" s="2" t="s">
        <v>413</v>
      </c>
      <c r="F116" s="2" t="s">
        <v>26</v>
      </c>
      <c r="G116" s="2" t="s">
        <v>26</v>
      </c>
      <c r="H116" s="2" t="s">
        <v>27</v>
      </c>
      <c r="I116" s="2" t="s">
        <v>28</v>
      </c>
      <c r="J116" s="6"/>
      <c r="K116" s="2" t="s">
        <v>55</v>
      </c>
      <c r="L116" s="2" t="s">
        <v>56</v>
      </c>
      <c r="M116" s="2" t="s">
        <v>55</v>
      </c>
      <c r="N116" s="2"/>
      <c r="O116" s="2"/>
      <c r="P116" s="6" t="s">
        <v>57</v>
      </c>
      <c r="Q116" s="6" t="s">
        <v>57</v>
      </c>
      <c r="R116" s="9">
        <v>0</v>
      </c>
      <c r="S116" s="2"/>
      <c r="T116" s="9">
        <v>0</v>
      </c>
      <c r="U116" s="9">
        <v>0</v>
      </c>
      <c r="V116" s="9">
        <v>0</v>
      </c>
      <c r="W116" s="9">
        <v>36</v>
      </c>
      <c r="X116" s="9">
        <v>36</v>
      </c>
      <c r="Y116" s="9">
        <v>18</v>
      </c>
      <c r="Z116" s="9">
        <v>23</v>
      </c>
      <c r="AA116" s="9">
        <v>69</v>
      </c>
      <c r="AB116" s="9">
        <v>0</v>
      </c>
      <c r="AC116" s="9">
        <v>0</v>
      </c>
      <c r="AD116" s="9">
        <v>0</v>
      </c>
      <c r="AE116" s="6" t="s">
        <v>57</v>
      </c>
      <c r="AF116" s="6" t="s">
        <v>57</v>
      </c>
      <c r="AG116" s="6" t="s">
        <v>57</v>
      </c>
      <c r="AH116" s="6" t="s">
        <v>57</v>
      </c>
      <c r="AI116" s="6" t="s">
        <v>57</v>
      </c>
      <c r="AJ116" s="6" t="s">
        <v>57</v>
      </c>
      <c r="AK116" s="6" t="s">
        <v>57</v>
      </c>
      <c r="AL116" s="6" t="s">
        <v>57</v>
      </c>
      <c r="AM116" s="6" t="s">
        <v>57</v>
      </c>
      <c r="AN116" s="6" t="s">
        <v>57</v>
      </c>
      <c r="AO116" s="6" t="s">
        <v>57</v>
      </c>
      <c r="AP116" s="6" t="s">
        <v>57</v>
      </c>
      <c r="AQ116" s="9">
        <v>0</v>
      </c>
    </row>
    <row r="117" spans="1:43" ht="15">
      <c r="A117" s="2" t="s">
        <v>414</v>
      </c>
      <c r="B117" s="5">
        <v>142720578</v>
      </c>
      <c r="C117" s="2" t="s">
        <v>23</v>
      </c>
      <c r="D117" s="2" t="s">
        <v>415</v>
      </c>
      <c r="E117" s="2" t="s">
        <v>416</v>
      </c>
      <c r="F117" s="2" t="s">
        <v>26</v>
      </c>
      <c r="G117" s="2"/>
      <c r="H117" s="2"/>
      <c r="I117" s="2" t="s">
        <v>28</v>
      </c>
      <c r="J117" s="6"/>
      <c r="K117" s="2" t="s">
        <v>55</v>
      </c>
      <c r="L117" s="2" t="s">
        <v>56</v>
      </c>
      <c r="M117" s="2" t="s">
        <v>55</v>
      </c>
      <c r="N117" s="2"/>
      <c r="O117" s="2"/>
      <c r="P117" s="6" t="s">
        <v>57</v>
      </c>
      <c r="Q117" s="6" t="s">
        <v>57</v>
      </c>
      <c r="R117" s="9">
        <v>1000</v>
      </c>
      <c r="S117" s="2"/>
      <c r="T117" s="9">
        <v>334</v>
      </c>
      <c r="U117" s="9">
        <v>1925</v>
      </c>
      <c r="V117" s="9">
        <v>961</v>
      </c>
      <c r="W117" s="9">
        <v>12756</v>
      </c>
      <c r="X117" s="9">
        <v>12756</v>
      </c>
      <c r="Y117" s="9">
        <v>12756</v>
      </c>
      <c r="Z117" s="9">
        <v>12756</v>
      </c>
      <c r="AA117" s="9">
        <v>12756</v>
      </c>
      <c r="AB117" s="9">
        <v>2200</v>
      </c>
      <c r="AC117" s="9">
        <v>790</v>
      </c>
      <c r="AD117" s="9">
        <v>5386</v>
      </c>
      <c r="AE117" s="6" t="s">
        <v>57</v>
      </c>
      <c r="AF117" s="6" t="s">
        <v>57</v>
      </c>
      <c r="AG117" s="6" t="s">
        <v>57</v>
      </c>
      <c r="AH117" s="6" t="s">
        <v>57</v>
      </c>
      <c r="AI117" s="6" t="s">
        <v>57</v>
      </c>
      <c r="AJ117" s="6" t="s">
        <v>57</v>
      </c>
      <c r="AK117" s="6" t="s">
        <v>57</v>
      </c>
      <c r="AL117" s="6" t="s">
        <v>57</v>
      </c>
      <c r="AM117" s="6" t="s">
        <v>57</v>
      </c>
      <c r="AN117" s="6" t="s">
        <v>57</v>
      </c>
      <c r="AO117" s="6" t="s">
        <v>57</v>
      </c>
      <c r="AP117" s="6" t="s">
        <v>57</v>
      </c>
      <c r="AQ117" s="9">
        <v>2000</v>
      </c>
    </row>
    <row r="118" spans="1:43" ht="15">
      <c r="A118" s="2" t="s">
        <v>417</v>
      </c>
      <c r="B118" s="5">
        <v>116245379</v>
      </c>
      <c r="C118" s="2" t="s">
        <v>23</v>
      </c>
      <c r="D118" s="2" t="s">
        <v>418</v>
      </c>
      <c r="E118" s="2" t="s">
        <v>419</v>
      </c>
      <c r="F118" s="2" t="s">
        <v>26</v>
      </c>
      <c r="G118" s="2" t="s">
        <v>26</v>
      </c>
      <c r="H118" s="2" t="s">
        <v>27</v>
      </c>
      <c r="I118" s="2" t="s">
        <v>28</v>
      </c>
      <c r="J118" s="6"/>
      <c r="K118" s="2" t="s">
        <v>55</v>
      </c>
      <c r="L118" s="2" t="s">
        <v>56</v>
      </c>
      <c r="M118" s="2" t="s">
        <v>55</v>
      </c>
      <c r="N118" s="2"/>
      <c r="O118" s="2"/>
      <c r="P118" s="6" t="s">
        <v>57</v>
      </c>
      <c r="Q118" s="6" t="s">
        <v>57</v>
      </c>
      <c r="R118" s="9">
        <v>19913</v>
      </c>
      <c r="S118" s="2"/>
      <c r="T118" s="9">
        <v>8124</v>
      </c>
      <c r="U118" s="9">
        <v>7233</v>
      </c>
      <c r="V118" s="9">
        <v>7032</v>
      </c>
      <c r="W118" s="9">
        <v>7994</v>
      </c>
      <c r="X118" s="9">
        <v>7962</v>
      </c>
      <c r="Y118" s="9">
        <v>11360</v>
      </c>
      <c r="Z118" s="9">
        <v>11794</v>
      </c>
      <c r="AA118" s="9">
        <v>11794</v>
      </c>
      <c r="AB118" s="9">
        <v>7550</v>
      </c>
      <c r="AC118" s="9">
        <v>7181</v>
      </c>
      <c r="AD118" s="9">
        <v>8628</v>
      </c>
      <c r="AE118" s="6" t="s">
        <v>57</v>
      </c>
      <c r="AF118" s="6" t="s">
        <v>57</v>
      </c>
      <c r="AG118" s="6" t="s">
        <v>57</v>
      </c>
      <c r="AH118" s="6" t="s">
        <v>57</v>
      </c>
      <c r="AI118" s="6" t="s">
        <v>57</v>
      </c>
      <c r="AJ118" s="6" t="s">
        <v>57</v>
      </c>
      <c r="AK118" s="6" t="s">
        <v>57</v>
      </c>
      <c r="AL118" s="6" t="s">
        <v>57</v>
      </c>
      <c r="AM118" s="6" t="s">
        <v>57</v>
      </c>
      <c r="AN118" s="6" t="s">
        <v>57</v>
      </c>
      <c r="AO118" s="6" t="s">
        <v>57</v>
      </c>
      <c r="AP118" s="6" t="s">
        <v>57</v>
      </c>
      <c r="AQ118" s="9">
        <v>33555</v>
      </c>
    </row>
    <row r="119" spans="1:43" ht="15">
      <c r="A119" s="2" t="s">
        <v>420</v>
      </c>
      <c r="B119" s="5">
        <v>4524832</v>
      </c>
      <c r="C119" s="2" t="s">
        <v>23</v>
      </c>
      <c r="D119" s="2" t="s">
        <v>421</v>
      </c>
      <c r="E119" s="2" t="s">
        <v>422</v>
      </c>
      <c r="F119" s="2" t="s">
        <v>26</v>
      </c>
      <c r="G119" s="2" t="s">
        <v>26</v>
      </c>
      <c r="H119" s="2" t="s">
        <v>27</v>
      </c>
      <c r="I119" s="2" t="s">
        <v>28</v>
      </c>
      <c r="J119" s="6"/>
      <c r="K119" s="2" t="s">
        <v>423</v>
      </c>
      <c r="L119" s="2" t="s">
        <v>30</v>
      </c>
      <c r="M119" s="2" t="s">
        <v>424</v>
      </c>
      <c r="N119" s="2" t="s">
        <v>423</v>
      </c>
      <c r="O119" s="2"/>
      <c r="P119" s="7">
        <v>8.5607023002888205</v>
      </c>
      <c r="Q119" s="8">
        <v>4.5465564515520001</v>
      </c>
      <c r="R119" s="9">
        <v>0</v>
      </c>
      <c r="S119" s="2" t="s">
        <v>425</v>
      </c>
      <c r="T119" s="9">
        <v>0</v>
      </c>
      <c r="U119" s="9">
        <v>0</v>
      </c>
      <c r="V119" s="9">
        <v>0</v>
      </c>
      <c r="W119" s="9">
        <v>0</v>
      </c>
      <c r="X119" s="9">
        <v>0</v>
      </c>
      <c r="Y119" s="9">
        <v>0</v>
      </c>
      <c r="Z119" s="9">
        <v>0</v>
      </c>
      <c r="AA119" s="9">
        <v>0</v>
      </c>
      <c r="AB119" s="9">
        <v>0</v>
      </c>
      <c r="AC119" s="9">
        <v>0</v>
      </c>
      <c r="AD119" s="9">
        <v>0</v>
      </c>
      <c r="AE119" s="7">
        <v>0</v>
      </c>
      <c r="AF119" s="7">
        <v>0</v>
      </c>
      <c r="AG119" s="7">
        <v>0</v>
      </c>
      <c r="AH119" s="7">
        <v>0</v>
      </c>
      <c r="AI119" s="7">
        <v>0</v>
      </c>
      <c r="AJ119" s="7">
        <v>0</v>
      </c>
      <c r="AK119" s="7">
        <v>0</v>
      </c>
      <c r="AL119" s="7">
        <v>0</v>
      </c>
      <c r="AM119" s="7">
        <v>0</v>
      </c>
      <c r="AN119" s="7">
        <v>0</v>
      </c>
      <c r="AO119" s="7">
        <v>0</v>
      </c>
      <c r="AP119" s="7">
        <v>0</v>
      </c>
      <c r="AQ119" s="9">
        <v>0</v>
      </c>
    </row>
    <row r="120" spans="1:43" ht="15">
      <c r="A120" s="2" t="s">
        <v>426</v>
      </c>
      <c r="B120" s="5">
        <v>4995274</v>
      </c>
      <c r="C120" s="2" t="s">
        <v>46</v>
      </c>
      <c r="D120" s="2" t="s">
        <v>427</v>
      </c>
      <c r="E120" s="2" t="s">
        <v>428</v>
      </c>
      <c r="F120" s="2" t="s">
        <v>49</v>
      </c>
      <c r="G120" s="2" t="s">
        <v>49</v>
      </c>
      <c r="H120" s="2" t="s">
        <v>50</v>
      </c>
      <c r="I120" s="2" t="s">
        <v>40</v>
      </c>
      <c r="J120" s="10">
        <v>40941</v>
      </c>
      <c r="K120" s="2" t="s">
        <v>429</v>
      </c>
      <c r="L120" s="2" t="s">
        <v>182</v>
      </c>
      <c r="M120" s="2" t="s">
        <v>430</v>
      </c>
      <c r="N120" s="2" t="s">
        <v>429</v>
      </c>
      <c r="O120" s="2"/>
      <c r="P120" s="7">
        <v>85.070413378663304</v>
      </c>
      <c r="Q120" s="8">
        <v>323.30353325809199</v>
      </c>
      <c r="R120" s="9">
        <v>0</v>
      </c>
      <c r="S120" s="2" t="s">
        <v>431</v>
      </c>
      <c r="T120" s="9">
        <v>167</v>
      </c>
      <c r="U120" s="9">
        <v>8439</v>
      </c>
      <c r="V120" s="9">
        <v>4695</v>
      </c>
      <c r="W120" s="9">
        <v>1645</v>
      </c>
      <c r="X120" s="9">
        <v>1666</v>
      </c>
      <c r="Y120" s="9">
        <v>5651</v>
      </c>
      <c r="Z120" s="9">
        <v>63430</v>
      </c>
      <c r="AA120" s="9">
        <v>60766</v>
      </c>
      <c r="AB120" s="9">
        <v>9645</v>
      </c>
      <c r="AC120" s="9">
        <v>4926</v>
      </c>
      <c r="AD120" s="9">
        <v>2931</v>
      </c>
      <c r="AE120" s="7">
        <v>0</v>
      </c>
      <c r="AF120" s="7">
        <v>0.00027869808716927898</v>
      </c>
      <c r="AG120" s="7">
        <v>0.014112016992860001</v>
      </c>
      <c r="AH120" s="7">
        <v>0.0078510557552869606</v>
      </c>
      <c r="AI120" s="7">
        <v>0.0027509247263913001</v>
      </c>
      <c r="AJ120" s="7">
        <v>0.0027857055492459099</v>
      </c>
      <c r="AK120" s="7">
        <v>0.0094493094701756809</v>
      </c>
      <c r="AL120" s="7">
        <v>0.10606626251698301</v>
      </c>
      <c r="AM120" s="7">
        <v>0.10161261381617701</v>
      </c>
      <c r="AN120" s="7">
        <v>0.016128019420411501</v>
      </c>
      <c r="AO120" s="7">
        <v>0.0082371732514486106</v>
      </c>
      <c r="AP120" s="7">
        <v>0.00490121153174157</v>
      </c>
      <c r="AQ120" s="9">
        <v>0</v>
      </c>
    </row>
    <row r="121" spans="1:43" ht="15">
      <c r="A121" s="2" t="s">
        <v>432</v>
      </c>
      <c r="B121" s="5">
        <v>4439971</v>
      </c>
      <c r="C121" s="2" t="s">
        <v>23</v>
      </c>
      <c r="D121" s="2" t="s">
        <v>433</v>
      </c>
      <c r="E121" s="2" t="s">
        <v>434</v>
      </c>
      <c r="F121" s="2" t="s">
        <v>26</v>
      </c>
      <c r="G121" s="2" t="s">
        <v>26</v>
      </c>
      <c r="H121" s="2" t="s">
        <v>27</v>
      </c>
      <c r="I121" s="2" t="s">
        <v>40</v>
      </c>
      <c r="J121" s="6"/>
      <c r="K121" s="2" t="s">
        <v>435</v>
      </c>
      <c r="L121" s="2" t="s">
        <v>182</v>
      </c>
      <c r="M121" s="2" t="s">
        <v>183</v>
      </c>
      <c r="N121" s="2" t="s">
        <v>435</v>
      </c>
      <c r="O121" s="2"/>
      <c r="P121" s="7">
        <v>3726.82750959445</v>
      </c>
      <c r="Q121" s="8">
        <v>20236.900217472001</v>
      </c>
      <c r="R121" s="9">
        <v>26645</v>
      </c>
      <c r="S121" s="2" t="s">
        <v>436</v>
      </c>
      <c r="T121" s="9">
        <v>9398</v>
      </c>
      <c r="U121" s="9">
        <v>11611</v>
      </c>
      <c r="V121" s="9">
        <v>394667</v>
      </c>
      <c r="W121" s="9">
        <v>125523</v>
      </c>
      <c r="X121" s="9">
        <v>125061</v>
      </c>
      <c r="Y121" s="9">
        <v>71993</v>
      </c>
      <c r="Z121" s="9">
        <v>54397</v>
      </c>
      <c r="AA121" s="9">
        <v>61476</v>
      </c>
      <c r="AB121" s="9">
        <v>10381</v>
      </c>
      <c r="AC121" s="9">
        <v>413882</v>
      </c>
      <c r="AD121" s="9">
        <v>224545</v>
      </c>
      <c r="AE121" s="7">
        <v>0.029371858170211901</v>
      </c>
      <c r="AF121" s="7">
        <v>0.0103599781720152</v>
      </c>
      <c r="AG121" s="7">
        <v>0.0127989061585641</v>
      </c>
      <c r="AH121" s="7">
        <v>0.43505759330294602</v>
      </c>
      <c r="AI121" s="7">
        <v>0.13836858305645</v>
      </c>
      <c r="AJ121" s="7">
        <v>0.13785994311024399</v>
      </c>
      <c r="AK121" s="7">
        <v>0.079361311032025594</v>
      </c>
      <c r="AL121" s="7">
        <v>0.059963562310877898</v>
      </c>
      <c r="AM121" s="7">
        <v>0.067766933317664896</v>
      </c>
      <c r="AN121" s="7">
        <v>0.011443342503473701</v>
      </c>
      <c r="AO121" s="7">
        <v>0.45623829759930001</v>
      </c>
      <c r="AP121" s="7">
        <v>0.247525036721325</v>
      </c>
      <c r="AQ121" s="9">
        <v>44567</v>
      </c>
    </row>
    <row r="122" spans="1:43" ht="15">
      <c r="A122" s="2" t="s">
        <v>437</v>
      </c>
      <c r="B122" s="5">
        <v>19747206</v>
      </c>
      <c r="C122" s="2" t="s">
        <v>23</v>
      </c>
      <c r="D122" s="2" t="s">
        <v>438</v>
      </c>
      <c r="E122" s="2" t="s">
        <v>439</v>
      </c>
      <c r="F122" s="2" t="s">
        <v>26</v>
      </c>
      <c r="G122" s="2" t="s">
        <v>26</v>
      </c>
      <c r="H122" s="2" t="s">
        <v>27</v>
      </c>
      <c r="I122" s="2" t="s">
        <v>28</v>
      </c>
      <c r="J122" s="6"/>
      <c r="K122" s="2" t="s">
        <v>55</v>
      </c>
      <c r="L122" s="2" t="s">
        <v>56</v>
      </c>
      <c r="M122" s="2" t="s">
        <v>55</v>
      </c>
      <c r="N122" s="2"/>
      <c r="O122" s="2"/>
      <c r="P122" s="6" t="s">
        <v>57</v>
      </c>
      <c r="Q122" s="6" t="s">
        <v>57</v>
      </c>
      <c r="R122" s="9">
        <v>113</v>
      </c>
      <c r="S122" s="2"/>
      <c r="T122" s="9">
        <v>845</v>
      </c>
      <c r="U122" s="9">
        <v>465</v>
      </c>
      <c r="V122" s="9">
        <v>715</v>
      </c>
      <c r="W122" s="9">
        <v>820</v>
      </c>
      <c r="X122" s="9">
        <v>877</v>
      </c>
      <c r="Y122" s="9">
        <v>1034</v>
      </c>
      <c r="Z122" s="9">
        <v>1268</v>
      </c>
      <c r="AA122" s="9">
        <v>946</v>
      </c>
      <c r="AB122" s="9">
        <v>531</v>
      </c>
      <c r="AC122" s="9">
        <v>737</v>
      </c>
      <c r="AD122" s="9">
        <v>847</v>
      </c>
      <c r="AE122" s="6" t="s">
        <v>57</v>
      </c>
      <c r="AF122" s="6" t="s">
        <v>57</v>
      </c>
      <c r="AG122" s="6" t="s">
        <v>57</v>
      </c>
      <c r="AH122" s="6" t="s">
        <v>57</v>
      </c>
      <c r="AI122" s="6" t="s">
        <v>57</v>
      </c>
      <c r="AJ122" s="6" t="s">
        <v>57</v>
      </c>
      <c r="AK122" s="6" t="s">
        <v>57</v>
      </c>
      <c r="AL122" s="6" t="s">
        <v>57</v>
      </c>
      <c r="AM122" s="6" t="s">
        <v>57</v>
      </c>
      <c r="AN122" s="6" t="s">
        <v>57</v>
      </c>
      <c r="AO122" s="6" t="s">
        <v>57</v>
      </c>
      <c r="AP122" s="6" t="s">
        <v>57</v>
      </c>
      <c r="AQ122" s="9">
        <v>226</v>
      </c>
    </row>
    <row r="123" spans="1:43" ht="15">
      <c r="A123" s="2" t="s">
        <v>440</v>
      </c>
      <c r="B123" s="5">
        <v>142605255</v>
      </c>
      <c r="C123" s="2" t="s">
        <v>46</v>
      </c>
      <c r="D123" s="2" t="s">
        <v>441</v>
      </c>
      <c r="E123" s="2" t="s">
        <v>442</v>
      </c>
      <c r="F123" s="2" t="s">
        <v>49</v>
      </c>
      <c r="G123" s="2" t="s">
        <v>49</v>
      </c>
      <c r="H123" s="2" t="s">
        <v>50</v>
      </c>
      <c r="I123" s="2" t="s">
        <v>28</v>
      </c>
      <c r="J123" s="6"/>
      <c r="K123" s="2" t="s">
        <v>443</v>
      </c>
      <c r="L123" s="2" t="s">
        <v>99</v>
      </c>
      <c r="M123" s="2" t="s">
        <v>100</v>
      </c>
      <c r="N123" s="2" t="s">
        <v>443</v>
      </c>
      <c r="O123" s="2"/>
      <c r="P123" s="6" t="s">
        <v>57</v>
      </c>
      <c r="Q123" s="6" t="s">
        <v>57</v>
      </c>
      <c r="R123" s="6" t="s">
        <v>57</v>
      </c>
      <c r="S123" s="2" t="s">
        <v>444</v>
      </c>
      <c r="T123" s="6" t="s">
        <v>57</v>
      </c>
      <c r="U123" s="6" t="s">
        <v>57</v>
      </c>
      <c r="V123" s="6" t="s">
        <v>57</v>
      </c>
      <c r="W123" s="6" t="s">
        <v>57</v>
      </c>
      <c r="X123" s="6" t="s">
        <v>57</v>
      </c>
      <c r="Y123" s="6" t="s">
        <v>57</v>
      </c>
      <c r="Z123" s="6" t="s">
        <v>57</v>
      </c>
      <c r="AA123" s="6" t="s">
        <v>57</v>
      </c>
      <c r="AB123" s="6" t="s">
        <v>57</v>
      </c>
      <c r="AC123" s="6" t="s">
        <v>57</v>
      </c>
      <c r="AD123" s="6" t="s">
        <v>57</v>
      </c>
      <c r="AE123" s="6" t="s">
        <v>57</v>
      </c>
      <c r="AF123" s="6" t="s">
        <v>57</v>
      </c>
      <c r="AG123" s="6" t="s">
        <v>57</v>
      </c>
      <c r="AH123" s="6" t="s">
        <v>57</v>
      </c>
      <c r="AI123" s="6" t="s">
        <v>57</v>
      </c>
      <c r="AJ123" s="6" t="s">
        <v>57</v>
      </c>
      <c r="AK123" s="6" t="s">
        <v>57</v>
      </c>
      <c r="AL123" s="6" t="s">
        <v>57</v>
      </c>
      <c r="AM123" s="6" t="s">
        <v>57</v>
      </c>
      <c r="AN123" s="6" t="s">
        <v>57</v>
      </c>
      <c r="AO123" s="6" t="s">
        <v>57</v>
      </c>
      <c r="AP123" s="6" t="s">
        <v>57</v>
      </c>
      <c r="AQ123" s="6" t="s">
        <v>57</v>
      </c>
    </row>
    <row r="124" spans="1:43" ht="15">
      <c r="A124" s="2" t="s">
        <v>445</v>
      </c>
      <c r="B124" s="5">
        <v>5736271</v>
      </c>
      <c r="C124" s="2" t="s">
        <v>23</v>
      </c>
      <c r="D124" s="2" t="s">
        <v>446</v>
      </c>
      <c r="E124" s="2" t="s">
        <v>447</v>
      </c>
      <c r="F124" s="2" t="s">
        <v>26</v>
      </c>
      <c r="G124" s="2"/>
      <c r="H124" s="2"/>
      <c r="I124" s="2" t="s">
        <v>28</v>
      </c>
      <c r="J124" s="6"/>
      <c r="K124" s="2" t="s">
        <v>55</v>
      </c>
      <c r="L124" s="2" t="s">
        <v>56</v>
      </c>
      <c r="M124" s="2" t="s">
        <v>55</v>
      </c>
      <c r="N124" s="2"/>
      <c r="O124" s="2"/>
      <c r="P124" s="7">
        <v>55.863688289574704</v>
      </c>
      <c r="Q124" s="6" t="s">
        <v>57</v>
      </c>
      <c r="R124" s="9">
        <v>0</v>
      </c>
      <c r="S124" s="2" t="s">
        <v>448</v>
      </c>
      <c r="T124" s="9">
        <v>0</v>
      </c>
      <c r="U124" s="9">
        <v>0</v>
      </c>
      <c r="V124" s="9">
        <v>0</v>
      </c>
      <c r="W124" s="9">
        <v>0</v>
      </c>
      <c r="X124" s="9">
        <v>0</v>
      </c>
      <c r="Y124" s="9">
        <v>25</v>
      </c>
      <c r="Z124" s="9">
        <v>17</v>
      </c>
      <c r="AA124" s="9">
        <v>10</v>
      </c>
      <c r="AB124" s="9">
        <v>0</v>
      </c>
      <c r="AC124" s="9">
        <v>0</v>
      </c>
      <c r="AD124" s="9">
        <v>0</v>
      </c>
      <c r="AE124" s="6" t="s">
        <v>57</v>
      </c>
      <c r="AF124" s="6" t="s">
        <v>57</v>
      </c>
      <c r="AG124" s="6" t="s">
        <v>57</v>
      </c>
      <c r="AH124" s="6" t="s">
        <v>57</v>
      </c>
      <c r="AI124" s="6" t="s">
        <v>57</v>
      </c>
      <c r="AJ124" s="6" t="s">
        <v>57</v>
      </c>
      <c r="AK124" s="6" t="s">
        <v>57</v>
      </c>
      <c r="AL124" s="6" t="s">
        <v>57</v>
      </c>
      <c r="AM124" s="6" t="s">
        <v>57</v>
      </c>
      <c r="AN124" s="6" t="s">
        <v>57</v>
      </c>
      <c r="AO124" s="6" t="s">
        <v>57</v>
      </c>
      <c r="AP124" s="6" t="s">
        <v>57</v>
      </c>
      <c r="AQ124" s="9">
        <v>0</v>
      </c>
    </row>
    <row r="125" spans="1:43" ht="15">
      <c r="A125" s="2" t="s">
        <v>449</v>
      </c>
      <c r="B125" s="5">
        <v>5731227</v>
      </c>
      <c r="C125" s="2" t="s">
        <v>23</v>
      </c>
      <c r="D125" s="2" t="s">
        <v>450</v>
      </c>
      <c r="E125" s="2" t="s">
        <v>451</v>
      </c>
      <c r="F125" s="2" t="s">
        <v>26</v>
      </c>
      <c r="G125" s="2" t="s">
        <v>26</v>
      </c>
      <c r="H125" s="2" t="s">
        <v>27</v>
      </c>
      <c r="I125" s="2" t="s">
        <v>28</v>
      </c>
      <c r="J125" s="6"/>
      <c r="K125" s="2" t="s">
        <v>55</v>
      </c>
      <c r="L125" s="2" t="s">
        <v>56</v>
      </c>
      <c r="M125" s="2" t="s">
        <v>55</v>
      </c>
      <c r="N125" s="2"/>
      <c r="O125" s="2"/>
      <c r="P125" s="7">
        <v>87.119752861112801</v>
      </c>
      <c r="Q125" s="6" t="s">
        <v>57</v>
      </c>
      <c r="R125" s="9">
        <v>219</v>
      </c>
      <c r="S125" s="2" t="s">
        <v>452</v>
      </c>
      <c r="T125" s="9">
        <v>318</v>
      </c>
      <c r="U125" s="9">
        <v>343</v>
      </c>
      <c r="V125" s="9">
        <v>624</v>
      </c>
      <c r="W125" s="9">
        <v>1602</v>
      </c>
      <c r="X125" s="9">
        <v>1600</v>
      </c>
      <c r="Y125" s="9">
        <v>1264</v>
      </c>
      <c r="Z125" s="9">
        <v>1210</v>
      </c>
      <c r="AA125" s="9">
        <v>1283</v>
      </c>
      <c r="AB125" s="9">
        <v>339</v>
      </c>
      <c r="AC125" s="9">
        <v>645</v>
      </c>
      <c r="AD125" s="9">
        <v>1912</v>
      </c>
      <c r="AE125" s="6" t="s">
        <v>57</v>
      </c>
      <c r="AF125" s="6" t="s">
        <v>57</v>
      </c>
      <c r="AG125" s="6" t="s">
        <v>57</v>
      </c>
      <c r="AH125" s="6" t="s">
        <v>57</v>
      </c>
      <c r="AI125" s="6" t="s">
        <v>57</v>
      </c>
      <c r="AJ125" s="6" t="s">
        <v>57</v>
      </c>
      <c r="AK125" s="6" t="s">
        <v>57</v>
      </c>
      <c r="AL125" s="6" t="s">
        <v>57</v>
      </c>
      <c r="AM125" s="6" t="s">
        <v>57</v>
      </c>
      <c r="AN125" s="6" t="s">
        <v>57</v>
      </c>
      <c r="AO125" s="6" t="s">
        <v>57</v>
      </c>
      <c r="AP125" s="6" t="s">
        <v>57</v>
      </c>
      <c r="AQ125" s="9">
        <v>86</v>
      </c>
    </row>
    <row r="126" spans="1:43" ht="15">
      <c r="A126" s="2" t="s">
        <v>453</v>
      </c>
      <c r="B126" s="5">
        <v>4916880</v>
      </c>
      <c r="C126" s="2" t="s">
        <v>46</v>
      </c>
      <c r="D126" s="2" t="s">
        <v>454</v>
      </c>
      <c r="E126" s="2" t="s">
        <v>455</v>
      </c>
      <c r="F126" s="2" t="s">
        <v>49</v>
      </c>
      <c r="G126" s="2" t="s">
        <v>49</v>
      </c>
      <c r="H126" s="2" t="s">
        <v>50</v>
      </c>
      <c r="I126" s="2" t="s">
        <v>40</v>
      </c>
      <c r="J126" s="6"/>
      <c r="K126" s="2" t="s">
        <v>211</v>
      </c>
      <c r="L126" s="2" t="s">
        <v>30</v>
      </c>
      <c r="M126" s="2" t="s">
        <v>189</v>
      </c>
      <c r="N126" s="2" t="s">
        <v>211</v>
      </c>
      <c r="O126" s="2"/>
      <c r="P126" s="7">
        <v>121.54784012821101</v>
      </c>
      <c r="Q126" s="8">
        <v>244.506425019988</v>
      </c>
      <c r="R126" s="9">
        <v>9442</v>
      </c>
      <c r="S126" s="2" t="s">
        <v>456</v>
      </c>
      <c r="T126" s="9">
        <v>6267</v>
      </c>
      <c r="U126" s="9">
        <v>7416</v>
      </c>
      <c r="V126" s="9">
        <v>3767</v>
      </c>
      <c r="W126" s="9">
        <v>2979</v>
      </c>
      <c r="X126" s="9">
        <v>2967</v>
      </c>
      <c r="Y126" s="9">
        <v>4160</v>
      </c>
      <c r="Z126" s="9">
        <v>3338</v>
      </c>
      <c r="AA126" s="9">
        <v>4658</v>
      </c>
      <c r="AB126" s="9">
        <v>8476</v>
      </c>
      <c r="AC126" s="9">
        <v>3718</v>
      </c>
      <c r="AD126" s="9">
        <v>3274</v>
      </c>
      <c r="AE126" s="7">
        <v>0.018227570221955602</v>
      </c>
      <c r="AF126" s="7">
        <v>0.012098625345198699</v>
      </c>
      <c r="AG126" s="7">
        <v>0.01431730725154</v>
      </c>
      <c r="AH126" s="7">
        <v>0.0072717776067014201</v>
      </c>
      <c r="AI126" s="7">
        <v>0.0057505751286149103</v>
      </c>
      <c r="AJ126" s="7">
        <v>0.0057275728281004504</v>
      </c>
      <c r="AK126" s="7">
        <v>0.0080311856097870695</v>
      </c>
      <c r="AL126" s="7">
        <v>0.0064447993383125596</v>
      </c>
      <c r="AM126" s="7">
        <v>0.0089917903319916004</v>
      </c>
      <c r="AN126" s="7">
        <v>0.0163626368589029</v>
      </c>
      <c r="AO126" s="7">
        <v>0.0071772628240010803</v>
      </c>
      <c r="AP126" s="7">
        <v>0.0063206641436449303</v>
      </c>
      <c r="AQ126" s="9">
        <v>14184</v>
      </c>
    </row>
    <row r="127" spans="1:43" ht="15">
      <c r="A127" s="2" t="s">
        <v>457</v>
      </c>
      <c r="B127" s="5">
        <v>106516306</v>
      </c>
      <c r="C127" s="2" t="s">
        <v>23</v>
      </c>
      <c r="D127" s="2" t="s">
        <v>458</v>
      </c>
      <c r="E127" s="2" t="s">
        <v>459</v>
      </c>
      <c r="F127" s="2" t="s">
        <v>26</v>
      </c>
      <c r="G127" s="2"/>
      <c r="H127" s="2"/>
      <c r="I127" s="2" t="s">
        <v>28</v>
      </c>
      <c r="J127" s="6"/>
      <c r="K127" s="2" t="s">
        <v>55</v>
      </c>
      <c r="L127" s="2" t="s">
        <v>56</v>
      </c>
      <c r="M127" s="2" t="s">
        <v>55</v>
      </c>
      <c r="N127" s="2"/>
      <c r="O127" s="2"/>
      <c r="P127" s="6" t="s">
        <v>57</v>
      </c>
      <c r="Q127" s="6" t="s">
        <v>57</v>
      </c>
      <c r="R127" s="9">
        <v>0</v>
      </c>
      <c r="S127" s="2"/>
      <c r="T127" s="9">
        <v>0</v>
      </c>
      <c r="U127" s="9">
        <v>0</v>
      </c>
      <c r="V127" s="9">
        <v>74</v>
      </c>
      <c r="W127" s="9">
        <v>115</v>
      </c>
      <c r="X127" s="9">
        <v>115</v>
      </c>
      <c r="Y127" s="9">
        <v>115</v>
      </c>
      <c r="Z127" s="9">
        <v>115</v>
      </c>
      <c r="AA127" s="9">
        <v>115</v>
      </c>
      <c r="AB127" s="9">
        <v>0</v>
      </c>
      <c r="AC127" s="9">
        <v>78</v>
      </c>
      <c r="AD127" s="9">
        <v>84</v>
      </c>
      <c r="AE127" s="6" t="s">
        <v>57</v>
      </c>
      <c r="AF127" s="6" t="s">
        <v>57</v>
      </c>
      <c r="AG127" s="6" t="s">
        <v>57</v>
      </c>
      <c r="AH127" s="6" t="s">
        <v>57</v>
      </c>
      <c r="AI127" s="6" t="s">
        <v>57</v>
      </c>
      <c r="AJ127" s="6" t="s">
        <v>57</v>
      </c>
      <c r="AK127" s="6" t="s">
        <v>57</v>
      </c>
      <c r="AL127" s="6" t="s">
        <v>57</v>
      </c>
      <c r="AM127" s="6" t="s">
        <v>57</v>
      </c>
      <c r="AN127" s="6" t="s">
        <v>57</v>
      </c>
      <c r="AO127" s="6" t="s">
        <v>57</v>
      </c>
      <c r="AP127" s="6" t="s">
        <v>57</v>
      </c>
      <c r="AQ127" s="9">
        <v>0</v>
      </c>
    </row>
    <row r="128" spans="1:43" ht="15">
      <c r="A128" s="2" t="s">
        <v>460</v>
      </c>
      <c r="B128" s="5">
        <v>138597716</v>
      </c>
      <c r="C128" s="2" t="s">
        <v>23</v>
      </c>
      <c r="D128" s="2" t="s">
        <v>461</v>
      </c>
      <c r="E128" s="2" t="s">
        <v>462</v>
      </c>
      <c r="F128" s="2" t="s">
        <v>26</v>
      </c>
      <c r="G128" s="2"/>
      <c r="H128" s="2"/>
      <c r="I128" s="2" t="s">
        <v>28</v>
      </c>
      <c r="J128" s="6"/>
      <c r="K128" s="2" t="s">
        <v>55</v>
      </c>
      <c r="L128" s="2" t="s">
        <v>56</v>
      </c>
      <c r="M128" s="2" t="s">
        <v>55</v>
      </c>
      <c r="N128" s="2"/>
      <c r="O128" s="2"/>
      <c r="P128" s="6" t="s">
        <v>57</v>
      </c>
      <c r="Q128" s="6" t="s">
        <v>57</v>
      </c>
      <c r="R128" s="9">
        <v>0</v>
      </c>
      <c r="S128" s="2"/>
      <c r="T128" s="9">
        <v>0</v>
      </c>
      <c r="U128" s="9">
        <v>3503</v>
      </c>
      <c r="V128" s="9">
        <v>4696</v>
      </c>
      <c r="W128" s="9">
        <v>3105</v>
      </c>
      <c r="X128" s="9">
        <v>3105</v>
      </c>
      <c r="Y128" s="9">
        <v>3105</v>
      </c>
      <c r="Z128" s="9">
        <v>3105</v>
      </c>
      <c r="AA128" s="9">
        <v>3105</v>
      </c>
      <c r="AB128" s="9">
        <v>4004</v>
      </c>
      <c r="AC128" s="9">
        <v>2006</v>
      </c>
      <c r="AD128" s="9">
        <v>2424</v>
      </c>
      <c r="AE128" s="6" t="s">
        <v>57</v>
      </c>
      <c r="AF128" s="6" t="s">
        <v>57</v>
      </c>
      <c r="AG128" s="6" t="s">
        <v>57</v>
      </c>
      <c r="AH128" s="6" t="s">
        <v>57</v>
      </c>
      <c r="AI128" s="6" t="s">
        <v>57</v>
      </c>
      <c r="AJ128" s="6" t="s">
        <v>57</v>
      </c>
      <c r="AK128" s="6" t="s">
        <v>57</v>
      </c>
      <c r="AL128" s="6" t="s">
        <v>57</v>
      </c>
      <c r="AM128" s="6" t="s">
        <v>57</v>
      </c>
      <c r="AN128" s="6" t="s">
        <v>57</v>
      </c>
      <c r="AO128" s="6" t="s">
        <v>57</v>
      </c>
      <c r="AP128" s="6" t="s">
        <v>57</v>
      </c>
      <c r="AQ128" s="9">
        <v>0</v>
      </c>
    </row>
    <row r="129" spans="1:43" ht="15">
      <c r="A129" s="2" t="s">
        <v>463</v>
      </c>
      <c r="B129" s="5">
        <v>109845695</v>
      </c>
      <c r="C129" s="2" t="s">
        <v>23</v>
      </c>
      <c r="D129" s="2" t="s">
        <v>464</v>
      </c>
      <c r="E129" s="2" t="s">
        <v>465</v>
      </c>
      <c r="F129" s="2" t="s">
        <v>26</v>
      </c>
      <c r="G129" s="2" t="s">
        <v>26</v>
      </c>
      <c r="H129" s="2" t="s">
        <v>27</v>
      </c>
      <c r="I129" s="2" t="s">
        <v>28</v>
      </c>
      <c r="J129" s="6"/>
      <c r="K129" s="2" t="s">
        <v>55</v>
      </c>
      <c r="L129" s="2" t="s">
        <v>56</v>
      </c>
      <c r="M129" s="2" t="s">
        <v>55</v>
      </c>
      <c r="N129" s="2"/>
      <c r="O129" s="2"/>
      <c r="P129" s="6" t="s">
        <v>57</v>
      </c>
      <c r="Q129" s="6" t="s">
        <v>57</v>
      </c>
      <c r="R129" s="9">
        <v>0</v>
      </c>
      <c r="S129" s="2"/>
      <c r="T129" s="9">
        <v>551</v>
      </c>
      <c r="U129" s="9">
        <v>231</v>
      </c>
      <c r="V129" s="9">
        <v>113</v>
      </c>
      <c r="W129" s="9">
        <v>66</v>
      </c>
      <c r="X129" s="9">
        <v>66</v>
      </c>
      <c r="Y129" s="9">
        <v>66</v>
      </c>
      <c r="Z129" s="9">
        <v>66</v>
      </c>
      <c r="AA129" s="9">
        <v>66</v>
      </c>
      <c r="AB129" s="9">
        <v>264</v>
      </c>
      <c r="AC129" s="9">
        <v>119</v>
      </c>
      <c r="AD129" s="9">
        <v>66</v>
      </c>
      <c r="AE129" s="6" t="s">
        <v>57</v>
      </c>
      <c r="AF129" s="6" t="s">
        <v>57</v>
      </c>
      <c r="AG129" s="6" t="s">
        <v>57</v>
      </c>
      <c r="AH129" s="6" t="s">
        <v>57</v>
      </c>
      <c r="AI129" s="6" t="s">
        <v>57</v>
      </c>
      <c r="AJ129" s="6" t="s">
        <v>57</v>
      </c>
      <c r="AK129" s="6" t="s">
        <v>57</v>
      </c>
      <c r="AL129" s="6" t="s">
        <v>57</v>
      </c>
      <c r="AM129" s="6" t="s">
        <v>57</v>
      </c>
      <c r="AN129" s="6" t="s">
        <v>57</v>
      </c>
      <c r="AO129" s="6" t="s">
        <v>57</v>
      </c>
      <c r="AP129" s="6" t="s">
        <v>57</v>
      </c>
      <c r="AQ129" s="9">
        <v>0</v>
      </c>
    </row>
    <row r="130" spans="1:43" ht="15">
      <c r="A130" s="2" t="s">
        <v>466</v>
      </c>
      <c r="B130" s="5">
        <v>4995483</v>
      </c>
      <c r="C130" s="2" t="s">
        <v>23</v>
      </c>
      <c r="D130" s="2" t="s">
        <v>467</v>
      </c>
      <c r="E130" s="2" t="s">
        <v>468</v>
      </c>
      <c r="F130" s="2" t="s">
        <v>26</v>
      </c>
      <c r="G130" s="2" t="s">
        <v>26</v>
      </c>
      <c r="H130" s="2" t="s">
        <v>27</v>
      </c>
      <c r="I130" s="2" t="s">
        <v>28</v>
      </c>
      <c r="J130" s="10">
        <v>39770</v>
      </c>
      <c r="K130" s="2" t="s">
        <v>469</v>
      </c>
      <c r="L130" s="2" t="s">
        <v>247</v>
      </c>
      <c r="M130" s="2" t="s">
        <v>470</v>
      </c>
      <c r="N130" s="2" t="s">
        <v>469</v>
      </c>
      <c r="O130" s="2"/>
      <c r="P130" s="7">
        <v>25.184537320815899</v>
      </c>
      <c r="Q130" s="8">
        <v>33.946266781711998</v>
      </c>
      <c r="R130" s="9">
        <v>0</v>
      </c>
      <c r="S130" s="2" t="s">
        <v>471</v>
      </c>
      <c r="T130" s="9">
        <v>22</v>
      </c>
      <c r="U130" s="9">
        <v>166</v>
      </c>
      <c r="V130" s="9">
        <v>167</v>
      </c>
      <c r="W130" s="9">
        <v>39053</v>
      </c>
      <c r="X130" s="9">
        <v>38897</v>
      </c>
      <c r="Y130" s="9">
        <v>19713</v>
      </c>
      <c r="Z130" s="9">
        <v>13321</v>
      </c>
      <c r="AA130" s="9">
        <v>8088</v>
      </c>
      <c r="AB130" s="9">
        <v>182</v>
      </c>
      <c r="AC130" s="9">
        <v>166</v>
      </c>
      <c r="AD130" s="9">
        <v>77731</v>
      </c>
      <c r="AE130" s="7">
        <v>0</v>
      </c>
      <c r="AF130" s="7">
        <v>0.000242446812018379</v>
      </c>
      <c r="AG130" s="7">
        <v>0.0018565830874176701</v>
      </c>
      <c r="AH130" s="7">
        <v>0.00187377583009686</v>
      </c>
      <c r="AI130" s="7">
        <v>0.43699480724137502</v>
      </c>
      <c r="AJ130" s="7">
        <v>0.43524682801240899</v>
      </c>
      <c r="AK130" s="7">
        <v>0.220591063086086</v>
      </c>
      <c r="AL130" s="7">
        <v>0.149056295028965</v>
      </c>
      <c r="AM130" s="7">
        <v>0.090506459984745505</v>
      </c>
      <c r="AN130" s="7">
        <v>0.0020312247195913499</v>
      </c>
      <c r="AO130" s="7">
        <v>0.00186045061852994</v>
      </c>
      <c r="AP130" s="7">
        <v>0.86979989669816604</v>
      </c>
      <c r="AQ130" s="9">
        <v>0</v>
      </c>
    </row>
    <row r="131" spans="1:43" ht="15">
      <c r="A131" s="2" t="s">
        <v>472</v>
      </c>
      <c r="B131" s="5">
        <v>105761641</v>
      </c>
      <c r="C131" s="2" t="s">
        <v>35</v>
      </c>
      <c r="D131" s="2" t="s">
        <v>473</v>
      </c>
      <c r="E131" s="2" t="s">
        <v>474</v>
      </c>
      <c r="F131" s="2" t="s">
        <v>475</v>
      </c>
      <c r="G131" s="2" t="s">
        <v>475</v>
      </c>
      <c r="H131" s="2" t="s">
        <v>476</v>
      </c>
      <c r="I131" s="2" t="s">
        <v>28</v>
      </c>
      <c r="J131" s="6"/>
      <c r="K131" s="2" t="s">
        <v>226</v>
      </c>
      <c r="L131" s="2" t="s">
        <v>56</v>
      </c>
      <c r="M131" s="2" t="s">
        <v>227</v>
      </c>
      <c r="N131" s="2" t="s">
        <v>226</v>
      </c>
      <c r="O131" s="2"/>
      <c r="P131" s="7">
        <v>4764.9416227603497</v>
      </c>
      <c r="Q131" s="6" t="s">
        <v>57</v>
      </c>
      <c r="R131" s="9">
        <v>803756</v>
      </c>
      <c r="S131" s="2" t="s">
        <v>477</v>
      </c>
      <c r="T131" s="9">
        <v>1081778</v>
      </c>
      <c r="U131" s="9">
        <v>836252</v>
      </c>
      <c r="V131" s="9">
        <v>721263</v>
      </c>
      <c r="W131" s="9">
        <v>802670</v>
      </c>
      <c r="X131" s="9">
        <v>799760</v>
      </c>
      <c r="Y131" s="9">
        <v>711989</v>
      </c>
      <c r="Z131" s="9">
        <v>713230</v>
      </c>
      <c r="AA131" s="9">
        <v>1460178</v>
      </c>
      <c r="AB131" s="9">
        <v>845981</v>
      </c>
      <c r="AC131" s="9">
        <v>746635</v>
      </c>
      <c r="AD131" s="9">
        <v>832911</v>
      </c>
      <c r="AE131" s="7">
        <v>0.0092983815999030505</v>
      </c>
      <c r="AF131" s="7">
        <v>0.0125147319680922</v>
      </c>
      <c r="AG131" s="7">
        <v>0.0096743207593195796</v>
      </c>
      <c r="AH131" s="7">
        <v>0.0083440516281767206</v>
      </c>
      <c r="AI131" s="7">
        <v>0.0092858230000169399</v>
      </c>
      <c r="AJ131" s="7">
        <v>0.0092521630116730504</v>
      </c>
      <c r="AK131" s="7">
        <v>0.0082367674115783399</v>
      </c>
      <c r="AL131" s="7">
        <v>0.0082511184055088001</v>
      </c>
      <c r="AM131" s="7">
        <v>0.016892313074064198</v>
      </c>
      <c r="AN131" s="7">
        <v>0.0097868756643588704</v>
      </c>
      <c r="AO131" s="7">
        <v>0.0086375746203231699</v>
      </c>
      <c r="AP131" s="7">
        <v>0.0096356666888415508</v>
      </c>
      <c r="AQ131" s="9">
        <v>969225</v>
      </c>
    </row>
    <row r="132" spans="1:43" ht="15">
      <c r="A132" s="2" t="s">
        <v>478</v>
      </c>
      <c r="B132" s="5">
        <v>19739226</v>
      </c>
      <c r="C132" s="2" t="s">
        <v>23</v>
      </c>
      <c r="D132" s="2" t="s">
        <v>479</v>
      </c>
      <c r="E132" s="2" t="s">
        <v>480</v>
      </c>
      <c r="F132" s="2" t="s">
        <v>26</v>
      </c>
      <c r="G132" s="2" t="s">
        <v>26</v>
      </c>
      <c r="H132" s="2" t="s">
        <v>27</v>
      </c>
      <c r="I132" s="2" t="s">
        <v>28</v>
      </c>
      <c r="J132" s="6"/>
      <c r="K132" s="2" t="s">
        <v>55</v>
      </c>
      <c r="L132" s="2" t="s">
        <v>56</v>
      </c>
      <c r="M132" s="2" t="s">
        <v>55</v>
      </c>
      <c r="N132" s="2"/>
      <c r="O132" s="2"/>
      <c r="P132" s="6" t="s">
        <v>57</v>
      </c>
      <c r="Q132" s="6" t="s">
        <v>57</v>
      </c>
      <c r="R132" s="9">
        <v>0</v>
      </c>
      <c r="S132" s="2"/>
      <c r="T132" s="9">
        <v>0</v>
      </c>
      <c r="U132" s="9">
        <v>0</v>
      </c>
      <c r="V132" s="9">
        <v>0</v>
      </c>
      <c r="W132" s="9">
        <v>0</v>
      </c>
      <c r="X132" s="9">
        <v>0</v>
      </c>
      <c r="Y132" s="9">
        <v>99</v>
      </c>
      <c r="Z132" s="9">
        <v>455</v>
      </c>
      <c r="AA132" s="9">
        <v>816</v>
      </c>
      <c r="AB132" s="9">
        <v>0</v>
      </c>
      <c r="AC132" s="9">
        <v>0</v>
      </c>
      <c r="AD132" s="9">
        <v>0</v>
      </c>
      <c r="AE132" s="6" t="s">
        <v>57</v>
      </c>
      <c r="AF132" s="6" t="s">
        <v>57</v>
      </c>
      <c r="AG132" s="6" t="s">
        <v>57</v>
      </c>
      <c r="AH132" s="6" t="s">
        <v>57</v>
      </c>
      <c r="AI132" s="6" t="s">
        <v>57</v>
      </c>
      <c r="AJ132" s="6" t="s">
        <v>57</v>
      </c>
      <c r="AK132" s="6" t="s">
        <v>57</v>
      </c>
      <c r="AL132" s="6" t="s">
        <v>57</v>
      </c>
      <c r="AM132" s="6" t="s">
        <v>57</v>
      </c>
      <c r="AN132" s="6" t="s">
        <v>57</v>
      </c>
      <c r="AO132" s="6" t="s">
        <v>57</v>
      </c>
      <c r="AP132" s="6" t="s">
        <v>57</v>
      </c>
      <c r="AQ132" s="9">
        <v>0</v>
      </c>
    </row>
    <row r="133" spans="1:43" ht="15">
      <c r="A133" s="2" t="s">
        <v>481</v>
      </c>
      <c r="B133" s="5">
        <v>19147802</v>
      </c>
      <c r="C133" s="2" t="s">
        <v>23</v>
      </c>
      <c r="D133" s="2" t="s">
        <v>482</v>
      </c>
      <c r="E133" s="2" t="s">
        <v>483</v>
      </c>
      <c r="F133" s="2" t="s">
        <v>26</v>
      </c>
      <c r="G133" s="2" t="s">
        <v>26</v>
      </c>
      <c r="H133" s="2" t="s">
        <v>27</v>
      </c>
      <c r="I133" s="2" t="s">
        <v>28</v>
      </c>
      <c r="J133" s="6"/>
      <c r="K133" s="2" t="s">
        <v>55</v>
      </c>
      <c r="L133" s="2" t="s">
        <v>56</v>
      </c>
      <c r="M133" s="2" t="s">
        <v>55</v>
      </c>
      <c r="N133" s="2"/>
      <c r="O133" s="2"/>
      <c r="P133" s="6" t="s">
        <v>57</v>
      </c>
      <c r="Q133" s="6" t="s">
        <v>57</v>
      </c>
      <c r="R133" s="9">
        <v>0</v>
      </c>
      <c r="S133" s="2"/>
      <c r="T133" s="9">
        <v>0</v>
      </c>
      <c r="U133" s="9">
        <v>0</v>
      </c>
      <c r="V133" s="9">
        <v>0</v>
      </c>
      <c r="W133" s="9">
        <v>0</v>
      </c>
      <c r="X133" s="9">
        <v>0</v>
      </c>
      <c r="Y133" s="9">
        <v>1</v>
      </c>
      <c r="Z133" s="9">
        <v>24</v>
      </c>
      <c r="AA133" s="9">
        <v>17</v>
      </c>
      <c r="AB133" s="9">
        <v>0</v>
      </c>
      <c r="AC133" s="9">
        <v>0</v>
      </c>
      <c r="AD133" s="9">
        <v>0</v>
      </c>
      <c r="AE133" s="6" t="s">
        <v>57</v>
      </c>
      <c r="AF133" s="6" t="s">
        <v>57</v>
      </c>
      <c r="AG133" s="6" t="s">
        <v>57</v>
      </c>
      <c r="AH133" s="6" t="s">
        <v>57</v>
      </c>
      <c r="AI133" s="6" t="s">
        <v>57</v>
      </c>
      <c r="AJ133" s="6" t="s">
        <v>57</v>
      </c>
      <c r="AK133" s="6" t="s">
        <v>57</v>
      </c>
      <c r="AL133" s="6" t="s">
        <v>57</v>
      </c>
      <c r="AM133" s="6" t="s">
        <v>57</v>
      </c>
      <c r="AN133" s="6" t="s">
        <v>57</v>
      </c>
      <c r="AO133" s="6" t="s">
        <v>57</v>
      </c>
      <c r="AP133" s="6" t="s">
        <v>57</v>
      </c>
      <c r="AQ133" s="9">
        <v>0</v>
      </c>
    </row>
    <row r="134" spans="1:43" ht="15">
      <c r="A134" s="2" t="s">
        <v>484</v>
      </c>
      <c r="B134" s="5">
        <v>106509541</v>
      </c>
      <c r="C134" s="2" t="s">
        <v>23</v>
      </c>
      <c r="D134" s="2" t="s">
        <v>485</v>
      </c>
      <c r="E134" s="2" t="s">
        <v>486</v>
      </c>
      <c r="F134" s="2" t="s">
        <v>26</v>
      </c>
      <c r="G134" s="2"/>
      <c r="H134" s="2"/>
      <c r="I134" s="2" t="s">
        <v>28</v>
      </c>
      <c r="J134" s="6"/>
      <c r="K134" s="2" t="s">
        <v>55</v>
      </c>
      <c r="L134" s="2" t="s">
        <v>56</v>
      </c>
      <c r="M134" s="2" t="s">
        <v>55</v>
      </c>
      <c r="N134" s="2"/>
      <c r="O134" s="2"/>
      <c r="P134" s="6" t="s">
        <v>57</v>
      </c>
      <c r="Q134" s="6" t="s">
        <v>57</v>
      </c>
      <c r="R134" s="9">
        <v>0</v>
      </c>
      <c r="S134" s="2"/>
      <c r="T134" s="9">
        <v>0</v>
      </c>
      <c r="U134" s="9">
        <v>0</v>
      </c>
      <c r="V134" s="9">
        <v>0</v>
      </c>
      <c r="W134" s="9">
        <v>0</v>
      </c>
      <c r="X134" s="9">
        <v>0</v>
      </c>
      <c r="Y134" s="9">
        <v>0</v>
      </c>
      <c r="Z134" s="9">
        <v>334</v>
      </c>
      <c r="AA134" s="9">
        <v>514</v>
      </c>
      <c r="AB134" s="9">
        <v>0</v>
      </c>
      <c r="AC134" s="9">
        <v>0</v>
      </c>
      <c r="AD134" s="9">
        <v>0</v>
      </c>
      <c r="AE134" s="6" t="s">
        <v>57</v>
      </c>
      <c r="AF134" s="6" t="s">
        <v>57</v>
      </c>
      <c r="AG134" s="6" t="s">
        <v>57</v>
      </c>
      <c r="AH134" s="6" t="s">
        <v>57</v>
      </c>
      <c r="AI134" s="6" t="s">
        <v>57</v>
      </c>
      <c r="AJ134" s="6" t="s">
        <v>57</v>
      </c>
      <c r="AK134" s="6" t="s">
        <v>57</v>
      </c>
      <c r="AL134" s="6" t="s">
        <v>57</v>
      </c>
      <c r="AM134" s="6" t="s">
        <v>57</v>
      </c>
      <c r="AN134" s="6" t="s">
        <v>57</v>
      </c>
      <c r="AO134" s="6" t="s">
        <v>57</v>
      </c>
      <c r="AP134" s="6" t="s">
        <v>57</v>
      </c>
      <c r="AQ134" s="9">
        <v>0</v>
      </c>
    </row>
    <row r="135" spans="1:43" ht="15">
      <c r="A135" s="2" t="s">
        <v>487</v>
      </c>
      <c r="B135" s="5">
        <v>101458192</v>
      </c>
      <c r="C135" s="2" t="s">
        <v>23</v>
      </c>
      <c r="D135" s="2" t="s">
        <v>488</v>
      </c>
      <c r="E135" s="2" t="s">
        <v>489</v>
      </c>
      <c r="F135" s="2" t="s">
        <v>26</v>
      </c>
      <c r="G135" s="2"/>
      <c r="H135" s="2"/>
      <c r="I135" s="2" t="s">
        <v>28</v>
      </c>
      <c r="J135" s="6"/>
      <c r="K135" s="2" t="s">
        <v>55</v>
      </c>
      <c r="L135" s="2" t="s">
        <v>56</v>
      </c>
      <c r="M135" s="2" t="s">
        <v>55</v>
      </c>
      <c r="N135" s="2"/>
      <c r="O135" s="2"/>
      <c r="P135" s="6" t="s">
        <v>57</v>
      </c>
      <c r="Q135" s="6" t="s">
        <v>57</v>
      </c>
      <c r="R135" s="9">
        <v>0</v>
      </c>
      <c r="S135" s="2"/>
      <c r="T135" s="9">
        <v>0</v>
      </c>
      <c r="U135" s="9">
        <v>0</v>
      </c>
      <c r="V135" s="9">
        <v>0</v>
      </c>
      <c r="W135" s="9">
        <v>0</v>
      </c>
      <c r="X135" s="9">
        <v>0</v>
      </c>
      <c r="Y135" s="9">
        <v>61</v>
      </c>
      <c r="Z135" s="9">
        <v>1992</v>
      </c>
      <c r="AA135" s="9">
        <v>3531</v>
      </c>
      <c r="AB135" s="9">
        <v>0</v>
      </c>
      <c r="AC135" s="9">
        <v>0</v>
      </c>
      <c r="AD135" s="9">
        <v>0</v>
      </c>
      <c r="AE135" s="6" t="s">
        <v>57</v>
      </c>
      <c r="AF135" s="6" t="s">
        <v>57</v>
      </c>
      <c r="AG135" s="6" t="s">
        <v>57</v>
      </c>
      <c r="AH135" s="6" t="s">
        <v>57</v>
      </c>
      <c r="AI135" s="6" t="s">
        <v>57</v>
      </c>
      <c r="AJ135" s="6" t="s">
        <v>57</v>
      </c>
      <c r="AK135" s="6" t="s">
        <v>57</v>
      </c>
      <c r="AL135" s="6" t="s">
        <v>57</v>
      </c>
      <c r="AM135" s="6" t="s">
        <v>57</v>
      </c>
      <c r="AN135" s="6" t="s">
        <v>57</v>
      </c>
      <c r="AO135" s="6" t="s">
        <v>57</v>
      </c>
      <c r="AP135" s="6" t="s">
        <v>57</v>
      </c>
      <c r="AQ135" s="9">
        <v>0</v>
      </c>
    </row>
    <row r="136" spans="1:43" ht="15">
      <c r="A136" s="2" t="s">
        <v>490</v>
      </c>
      <c r="B136" s="5">
        <v>111417758</v>
      </c>
      <c r="C136" s="2" t="s">
        <v>23</v>
      </c>
      <c r="D136" s="2" t="s">
        <v>491</v>
      </c>
      <c r="E136" s="2" t="s">
        <v>492</v>
      </c>
      <c r="F136" s="2" t="s">
        <v>26</v>
      </c>
      <c r="G136" s="2" t="s">
        <v>26</v>
      </c>
      <c r="H136" s="2" t="s">
        <v>27</v>
      </c>
      <c r="I136" s="2" t="s">
        <v>28</v>
      </c>
      <c r="J136" s="6"/>
      <c r="K136" s="2" t="s">
        <v>55</v>
      </c>
      <c r="L136" s="2" t="s">
        <v>56</v>
      </c>
      <c r="M136" s="2" t="s">
        <v>55</v>
      </c>
      <c r="N136" s="2"/>
      <c r="O136" s="2"/>
      <c r="P136" s="6" t="s">
        <v>57</v>
      </c>
      <c r="Q136" s="6" t="s">
        <v>57</v>
      </c>
      <c r="R136" s="9">
        <v>104883</v>
      </c>
      <c r="S136" s="2"/>
      <c r="T136" s="9">
        <v>229333</v>
      </c>
      <c r="U136" s="9">
        <v>253331</v>
      </c>
      <c r="V136" s="9">
        <v>233364</v>
      </c>
      <c r="W136" s="9">
        <v>214623</v>
      </c>
      <c r="X136" s="9">
        <v>214195</v>
      </c>
      <c r="Y136" s="9">
        <v>149138</v>
      </c>
      <c r="Z136" s="9">
        <v>125676</v>
      </c>
      <c r="AA136" s="9">
        <v>121114</v>
      </c>
      <c r="AB136" s="9">
        <v>222745</v>
      </c>
      <c r="AC136" s="9">
        <v>233459</v>
      </c>
      <c r="AD136" s="9">
        <v>315289</v>
      </c>
      <c r="AE136" s="6" t="s">
        <v>57</v>
      </c>
      <c r="AF136" s="6" t="s">
        <v>57</v>
      </c>
      <c r="AG136" s="6" t="s">
        <v>57</v>
      </c>
      <c r="AH136" s="6" t="s">
        <v>57</v>
      </c>
      <c r="AI136" s="6" t="s">
        <v>57</v>
      </c>
      <c r="AJ136" s="6" t="s">
        <v>57</v>
      </c>
      <c r="AK136" s="6" t="s">
        <v>57</v>
      </c>
      <c r="AL136" s="6" t="s">
        <v>57</v>
      </c>
      <c r="AM136" s="6" t="s">
        <v>57</v>
      </c>
      <c r="AN136" s="6" t="s">
        <v>57</v>
      </c>
      <c r="AO136" s="6" t="s">
        <v>57</v>
      </c>
      <c r="AP136" s="6" t="s">
        <v>57</v>
      </c>
      <c r="AQ136" s="9">
        <v>134177</v>
      </c>
    </row>
    <row r="137" spans="1:43" ht="15">
      <c r="A137" s="2" t="s">
        <v>493</v>
      </c>
      <c r="B137" s="5">
        <v>13318495</v>
      </c>
      <c r="C137" s="2" t="s">
        <v>23</v>
      </c>
      <c r="D137" s="2" t="s">
        <v>494</v>
      </c>
      <c r="E137" s="2" t="s">
        <v>495</v>
      </c>
      <c r="F137" s="2" t="s">
        <v>26</v>
      </c>
      <c r="G137" s="2"/>
      <c r="H137" s="2"/>
      <c r="I137" s="2" t="s">
        <v>28</v>
      </c>
      <c r="J137" s="6"/>
      <c r="K137" s="2" t="s">
        <v>55</v>
      </c>
      <c r="L137" s="2" t="s">
        <v>56</v>
      </c>
      <c r="M137" s="2" t="s">
        <v>55</v>
      </c>
      <c r="N137" s="2"/>
      <c r="O137" s="2"/>
      <c r="P137" s="7">
        <v>26.370407338215902</v>
      </c>
      <c r="Q137" s="6" t="s">
        <v>57</v>
      </c>
      <c r="R137" s="9">
        <v>0</v>
      </c>
      <c r="S137" s="2"/>
      <c r="T137" s="9">
        <v>0</v>
      </c>
      <c r="U137" s="9">
        <v>0</v>
      </c>
      <c r="V137" s="9">
        <v>0</v>
      </c>
      <c r="W137" s="9">
        <v>0</v>
      </c>
      <c r="X137" s="9">
        <v>0</v>
      </c>
      <c r="Y137" s="9">
        <v>0</v>
      </c>
      <c r="Z137" s="9">
        <v>1</v>
      </c>
      <c r="AA137" s="9">
        <v>1</v>
      </c>
      <c r="AB137" s="9">
        <v>0</v>
      </c>
      <c r="AC137" s="9">
        <v>0</v>
      </c>
      <c r="AD137" s="9">
        <v>0</v>
      </c>
      <c r="AE137" s="6" t="s">
        <v>57</v>
      </c>
      <c r="AF137" s="6" t="s">
        <v>57</v>
      </c>
      <c r="AG137" s="6" t="s">
        <v>57</v>
      </c>
      <c r="AH137" s="6" t="s">
        <v>57</v>
      </c>
      <c r="AI137" s="6" t="s">
        <v>57</v>
      </c>
      <c r="AJ137" s="6" t="s">
        <v>57</v>
      </c>
      <c r="AK137" s="6" t="s">
        <v>57</v>
      </c>
      <c r="AL137" s="6" t="s">
        <v>57</v>
      </c>
      <c r="AM137" s="6" t="s">
        <v>57</v>
      </c>
      <c r="AN137" s="6" t="s">
        <v>57</v>
      </c>
      <c r="AO137" s="6" t="s">
        <v>57</v>
      </c>
      <c r="AP137" s="6" t="s">
        <v>57</v>
      </c>
      <c r="AQ137" s="9">
        <v>0</v>
      </c>
    </row>
    <row r="138" spans="1:43" ht="15">
      <c r="A138" s="2" t="s">
        <v>496</v>
      </c>
      <c r="B138" s="5">
        <v>11117763</v>
      </c>
      <c r="C138" s="2" t="s">
        <v>23</v>
      </c>
      <c r="D138" s="2" t="s">
        <v>497</v>
      </c>
      <c r="E138" s="2" t="s">
        <v>498</v>
      </c>
      <c r="F138" s="2" t="s">
        <v>26</v>
      </c>
      <c r="G138" s="2" t="s">
        <v>26</v>
      </c>
      <c r="H138" s="2" t="s">
        <v>27</v>
      </c>
      <c r="I138" s="2" t="s">
        <v>28</v>
      </c>
      <c r="J138" s="6"/>
      <c r="K138" s="2" t="s">
        <v>55</v>
      </c>
      <c r="L138" s="2" t="s">
        <v>56</v>
      </c>
      <c r="M138" s="2" t="s">
        <v>55</v>
      </c>
      <c r="N138" s="2"/>
      <c r="O138" s="2"/>
      <c r="P138" s="7">
        <v>114.298455768446</v>
      </c>
      <c r="Q138" s="6" t="s">
        <v>57</v>
      </c>
      <c r="R138" s="9">
        <v>0</v>
      </c>
      <c r="S138" s="2"/>
      <c r="T138" s="9">
        <v>0</v>
      </c>
      <c r="U138" s="9">
        <v>0</v>
      </c>
      <c r="V138" s="9">
        <v>0</v>
      </c>
      <c r="W138" s="9">
        <v>0</v>
      </c>
      <c r="X138" s="9">
        <v>0</v>
      </c>
      <c r="Y138" s="9">
        <v>0</v>
      </c>
      <c r="Z138" s="9">
        <v>725</v>
      </c>
      <c r="AA138" s="9">
        <v>995</v>
      </c>
      <c r="AB138" s="9">
        <v>0</v>
      </c>
      <c r="AC138" s="9">
        <v>0</v>
      </c>
      <c r="AD138" s="9">
        <v>0</v>
      </c>
      <c r="AE138" s="6" t="s">
        <v>57</v>
      </c>
      <c r="AF138" s="6" t="s">
        <v>57</v>
      </c>
      <c r="AG138" s="6" t="s">
        <v>57</v>
      </c>
      <c r="AH138" s="6" t="s">
        <v>57</v>
      </c>
      <c r="AI138" s="6" t="s">
        <v>57</v>
      </c>
      <c r="AJ138" s="6" t="s">
        <v>57</v>
      </c>
      <c r="AK138" s="6" t="s">
        <v>57</v>
      </c>
      <c r="AL138" s="6" t="s">
        <v>57</v>
      </c>
      <c r="AM138" s="6" t="s">
        <v>57</v>
      </c>
      <c r="AN138" s="6" t="s">
        <v>57</v>
      </c>
      <c r="AO138" s="6" t="s">
        <v>57</v>
      </c>
      <c r="AP138" s="6" t="s">
        <v>57</v>
      </c>
      <c r="AQ138" s="9">
        <v>0</v>
      </c>
    </row>
    <row r="139" spans="1:43" ht="15">
      <c r="A139" s="2" t="s">
        <v>499</v>
      </c>
      <c r="B139" s="5">
        <v>5738265</v>
      </c>
      <c r="C139" s="2" t="s">
        <v>23</v>
      </c>
      <c r="D139" s="2" t="s">
        <v>500</v>
      </c>
      <c r="E139" s="2" t="s">
        <v>501</v>
      </c>
      <c r="F139" s="2" t="s">
        <v>26</v>
      </c>
      <c r="G139" s="2"/>
      <c r="H139" s="2"/>
      <c r="I139" s="2" t="s">
        <v>28</v>
      </c>
      <c r="J139" s="6"/>
      <c r="K139" s="2" t="s">
        <v>55</v>
      </c>
      <c r="L139" s="2" t="s">
        <v>56</v>
      </c>
      <c r="M139" s="2" t="s">
        <v>55</v>
      </c>
      <c r="N139" s="2"/>
      <c r="O139" s="2"/>
      <c r="P139" s="7">
        <v>5.6105722383554397</v>
      </c>
      <c r="Q139" s="6" t="s">
        <v>57</v>
      </c>
      <c r="R139" s="9">
        <v>0</v>
      </c>
      <c r="S139" s="2"/>
      <c r="T139" s="9">
        <v>0</v>
      </c>
      <c r="U139" s="9">
        <v>0</v>
      </c>
      <c r="V139" s="9">
        <v>4500</v>
      </c>
      <c r="W139" s="9">
        <v>15089</v>
      </c>
      <c r="X139" s="9">
        <v>15029</v>
      </c>
      <c r="Y139" s="9">
        <v>14739</v>
      </c>
      <c r="Z139" s="9">
        <v>11995</v>
      </c>
      <c r="AA139" s="9">
        <v>11963</v>
      </c>
      <c r="AB139" s="9">
        <v>0</v>
      </c>
      <c r="AC139" s="9">
        <v>4721</v>
      </c>
      <c r="AD139" s="9">
        <v>14680</v>
      </c>
      <c r="AE139" s="6" t="s">
        <v>57</v>
      </c>
      <c r="AF139" s="6" t="s">
        <v>57</v>
      </c>
      <c r="AG139" s="6" t="s">
        <v>57</v>
      </c>
      <c r="AH139" s="6" t="s">
        <v>57</v>
      </c>
      <c r="AI139" s="6" t="s">
        <v>57</v>
      </c>
      <c r="AJ139" s="6" t="s">
        <v>57</v>
      </c>
      <c r="AK139" s="6" t="s">
        <v>57</v>
      </c>
      <c r="AL139" s="6" t="s">
        <v>57</v>
      </c>
      <c r="AM139" s="6" t="s">
        <v>57</v>
      </c>
      <c r="AN139" s="6" t="s">
        <v>57</v>
      </c>
      <c r="AO139" s="6" t="s">
        <v>57</v>
      </c>
      <c r="AP139" s="6" t="s">
        <v>57</v>
      </c>
      <c r="AQ139" s="9">
        <v>0</v>
      </c>
    </row>
    <row r="140" spans="1:43" ht="15">
      <c r="A140" s="2" t="s">
        <v>502</v>
      </c>
      <c r="B140" s="5">
        <v>5738539</v>
      </c>
      <c r="C140" s="2" t="s">
        <v>23</v>
      </c>
      <c r="D140" s="2" t="s">
        <v>503</v>
      </c>
      <c r="E140" s="2" t="s">
        <v>504</v>
      </c>
      <c r="F140" s="2" t="s">
        <v>26</v>
      </c>
      <c r="G140" s="2" t="s">
        <v>26</v>
      </c>
      <c r="H140" s="2" t="s">
        <v>27</v>
      </c>
      <c r="I140" s="2" t="s">
        <v>28</v>
      </c>
      <c r="J140" s="6"/>
      <c r="K140" s="2" t="s">
        <v>55</v>
      </c>
      <c r="L140" s="2" t="s">
        <v>56</v>
      </c>
      <c r="M140" s="2" t="s">
        <v>55</v>
      </c>
      <c r="N140" s="2"/>
      <c r="O140" s="2"/>
      <c r="P140" s="7">
        <v>13.1341637484805</v>
      </c>
      <c r="Q140" s="6" t="s">
        <v>57</v>
      </c>
      <c r="R140" s="9">
        <v>0</v>
      </c>
      <c r="S140" s="2"/>
      <c r="T140" s="9">
        <v>0</v>
      </c>
      <c r="U140" s="9">
        <v>0</v>
      </c>
      <c r="V140" s="9">
        <v>0</v>
      </c>
      <c r="W140" s="9">
        <v>0</v>
      </c>
      <c r="X140" s="9">
        <v>0</v>
      </c>
      <c r="Y140" s="9">
        <v>0</v>
      </c>
      <c r="Z140" s="9">
        <v>2</v>
      </c>
      <c r="AA140" s="9">
        <v>21</v>
      </c>
      <c r="AB140" s="9">
        <v>0</v>
      </c>
      <c r="AC140" s="9">
        <v>0</v>
      </c>
      <c r="AD140" s="9">
        <v>0</v>
      </c>
      <c r="AE140" s="6" t="s">
        <v>57</v>
      </c>
      <c r="AF140" s="6" t="s">
        <v>57</v>
      </c>
      <c r="AG140" s="6" t="s">
        <v>57</v>
      </c>
      <c r="AH140" s="6" t="s">
        <v>57</v>
      </c>
      <c r="AI140" s="6" t="s">
        <v>57</v>
      </c>
      <c r="AJ140" s="6" t="s">
        <v>57</v>
      </c>
      <c r="AK140" s="6" t="s">
        <v>57</v>
      </c>
      <c r="AL140" s="6" t="s">
        <v>57</v>
      </c>
      <c r="AM140" s="6" t="s">
        <v>57</v>
      </c>
      <c r="AN140" s="6" t="s">
        <v>57</v>
      </c>
      <c r="AO140" s="6" t="s">
        <v>57</v>
      </c>
      <c r="AP140" s="6" t="s">
        <v>57</v>
      </c>
      <c r="AQ140" s="9">
        <v>0</v>
      </c>
    </row>
    <row r="141" spans="1:43" ht="15">
      <c r="A141" s="2" t="s">
        <v>505</v>
      </c>
      <c r="B141" s="5">
        <v>5738389</v>
      </c>
      <c r="C141" s="2" t="s">
        <v>23</v>
      </c>
      <c r="D141" s="2" t="s">
        <v>506</v>
      </c>
      <c r="E141" s="2" t="s">
        <v>507</v>
      </c>
      <c r="F141" s="2" t="s">
        <v>26</v>
      </c>
      <c r="G141" s="2" t="s">
        <v>26</v>
      </c>
      <c r="H141" s="2" t="s">
        <v>27</v>
      </c>
      <c r="I141" s="2" t="s">
        <v>28</v>
      </c>
      <c r="J141" s="6"/>
      <c r="K141" s="2" t="s">
        <v>55</v>
      </c>
      <c r="L141" s="2" t="s">
        <v>56</v>
      </c>
      <c r="M141" s="2" t="s">
        <v>55</v>
      </c>
      <c r="N141" s="2"/>
      <c r="O141" s="2"/>
      <c r="P141" s="7">
        <v>55.768974061619502</v>
      </c>
      <c r="Q141" s="6" t="s">
        <v>57</v>
      </c>
      <c r="R141" s="9">
        <v>31522</v>
      </c>
      <c r="S141" s="2"/>
      <c r="T141" s="9">
        <v>43150</v>
      </c>
      <c r="U141" s="9">
        <v>28820</v>
      </c>
      <c r="V141" s="9">
        <v>31134</v>
      </c>
      <c r="W141" s="9">
        <v>62379</v>
      </c>
      <c r="X141" s="9">
        <v>62342</v>
      </c>
      <c r="Y141" s="9">
        <v>56412</v>
      </c>
      <c r="Z141" s="9">
        <v>59121</v>
      </c>
      <c r="AA141" s="9">
        <v>83650</v>
      </c>
      <c r="AB141" s="9">
        <v>32319</v>
      </c>
      <c r="AC141" s="9">
        <v>31600</v>
      </c>
      <c r="AD141" s="9">
        <v>40379</v>
      </c>
      <c r="AE141" s="6" t="s">
        <v>57</v>
      </c>
      <c r="AF141" s="6" t="s">
        <v>57</v>
      </c>
      <c r="AG141" s="6" t="s">
        <v>57</v>
      </c>
      <c r="AH141" s="6" t="s">
        <v>57</v>
      </c>
      <c r="AI141" s="6" t="s">
        <v>57</v>
      </c>
      <c r="AJ141" s="6" t="s">
        <v>57</v>
      </c>
      <c r="AK141" s="6" t="s">
        <v>57</v>
      </c>
      <c r="AL141" s="6" t="s">
        <v>57</v>
      </c>
      <c r="AM141" s="6" t="s">
        <v>57</v>
      </c>
      <c r="AN141" s="6" t="s">
        <v>57</v>
      </c>
      <c r="AO141" s="6" t="s">
        <v>57</v>
      </c>
      <c r="AP141" s="6" t="s">
        <v>57</v>
      </c>
      <c r="AQ141" s="9">
        <v>44202</v>
      </c>
    </row>
    <row r="142" spans="1:43" ht="15">
      <c r="A142" s="2" t="s">
        <v>508</v>
      </c>
      <c r="B142" s="5">
        <v>5737942</v>
      </c>
      <c r="C142" s="2" t="s">
        <v>23</v>
      </c>
      <c r="D142" s="2" t="s">
        <v>509</v>
      </c>
      <c r="E142" s="2" t="s">
        <v>510</v>
      </c>
      <c r="F142" s="2" t="s">
        <v>26</v>
      </c>
      <c r="G142" s="2" t="s">
        <v>26</v>
      </c>
      <c r="H142" s="2" t="s">
        <v>27</v>
      </c>
      <c r="I142" s="2" t="s">
        <v>28</v>
      </c>
      <c r="J142" s="6"/>
      <c r="K142" s="2" t="s">
        <v>55</v>
      </c>
      <c r="L142" s="2" t="s">
        <v>56</v>
      </c>
      <c r="M142" s="2" t="s">
        <v>55</v>
      </c>
      <c r="N142" s="2"/>
      <c r="O142" s="2"/>
      <c r="P142" s="7">
        <v>5.52346953901273</v>
      </c>
      <c r="Q142" s="6" t="s">
        <v>57</v>
      </c>
      <c r="R142" s="9">
        <v>0</v>
      </c>
      <c r="S142" s="2"/>
      <c r="T142" s="9">
        <v>0</v>
      </c>
      <c r="U142" s="9">
        <v>0</v>
      </c>
      <c r="V142" s="9">
        <v>0</v>
      </c>
      <c r="W142" s="9">
        <v>0</v>
      </c>
      <c r="X142" s="9">
        <v>0</v>
      </c>
      <c r="Y142" s="9">
        <v>0</v>
      </c>
      <c r="Z142" s="9">
        <v>0</v>
      </c>
      <c r="AA142" s="9">
        <v>0</v>
      </c>
      <c r="AB142" s="9">
        <v>0</v>
      </c>
      <c r="AC142" s="9">
        <v>0</v>
      </c>
      <c r="AD142" s="9">
        <v>0</v>
      </c>
      <c r="AE142" s="6" t="s">
        <v>57</v>
      </c>
      <c r="AF142" s="6" t="s">
        <v>57</v>
      </c>
      <c r="AG142" s="6" t="s">
        <v>57</v>
      </c>
      <c r="AH142" s="6" t="s">
        <v>57</v>
      </c>
      <c r="AI142" s="6" t="s">
        <v>57</v>
      </c>
      <c r="AJ142" s="6" t="s">
        <v>57</v>
      </c>
      <c r="AK142" s="6" t="s">
        <v>57</v>
      </c>
      <c r="AL142" s="6" t="s">
        <v>57</v>
      </c>
      <c r="AM142" s="6" t="s">
        <v>57</v>
      </c>
      <c r="AN142" s="6" t="s">
        <v>57</v>
      </c>
      <c r="AO142" s="6" t="s">
        <v>57</v>
      </c>
      <c r="AP142" s="6" t="s">
        <v>57</v>
      </c>
      <c r="AQ142" s="9">
        <v>0</v>
      </c>
    </row>
    <row r="143" spans="1:43" ht="15">
      <c r="A143" s="2" t="s">
        <v>511</v>
      </c>
      <c r="B143" s="5">
        <v>5738541</v>
      </c>
      <c r="C143" s="2" t="s">
        <v>23</v>
      </c>
      <c r="D143" s="2" t="s">
        <v>512</v>
      </c>
      <c r="E143" s="2" t="s">
        <v>513</v>
      </c>
      <c r="F143" s="2" t="s">
        <v>26</v>
      </c>
      <c r="G143" s="2"/>
      <c r="H143" s="2"/>
      <c r="I143" s="2" t="s">
        <v>28</v>
      </c>
      <c r="J143" s="6"/>
      <c r="K143" s="2" t="s">
        <v>55</v>
      </c>
      <c r="L143" s="2" t="s">
        <v>56</v>
      </c>
      <c r="M143" s="2" t="s">
        <v>55</v>
      </c>
      <c r="N143" s="2"/>
      <c r="O143" s="2"/>
      <c r="P143" s="7">
        <v>58.132525052422203</v>
      </c>
      <c r="Q143" s="6" t="s">
        <v>57</v>
      </c>
      <c r="R143" s="9">
        <v>0</v>
      </c>
      <c r="S143" s="2"/>
      <c r="T143" s="9">
        <v>0</v>
      </c>
      <c r="U143" s="9">
        <v>0</v>
      </c>
      <c r="V143" s="9">
        <v>0</v>
      </c>
      <c r="W143" s="9">
        <v>0</v>
      </c>
      <c r="X143" s="9">
        <v>0</v>
      </c>
      <c r="Y143" s="9">
        <v>0</v>
      </c>
      <c r="Z143" s="9">
        <v>56</v>
      </c>
      <c r="AA143" s="9">
        <v>46</v>
      </c>
      <c r="AB143" s="9">
        <v>0</v>
      </c>
      <c r="AC143" s="9">
        <v>0</v>
      </c>
      <c r="AD143" s="9">
        <v>0</v>
      </c>
      <c r="AE143" s="6" t="s">
        <v>57</v>
      </c>
      <c r="AF143" s="6" t="s">
        <v>57</v>
      </c>
      <c r="AG143" s="6" t="s">
        <v>57</v>
      </c>
      <c r="AH143" s="6" t="s">
        <v>57</v>
      </c>
      <c r="AI143" s="6" t="s">
        <v>57</v>
      </c>
      <c r="AJ143" s="6" t="s">
        <v>57</v>
      </c>
      <c r="AK143" s="6" t="s">
        <v>57</v>
      </c>
      <c r="AL143" s="6" t="s">
        <v>57</v>
      </c>
      <c r="AM143" s="6" t="s">
        <v>57</v>
      </c>
      <c r="AN143" s="6" t="s">
        <v>57</v>
      </c>
      <c r="AO143" s="6" t="s">
        <v>57</v>
      </c>
      <c r="AP143" s="6" t="s">
        <v>57</v>
      </c>
      <c r="AQ143" s="9">
        <v>0</v>
      </c>
    </row>
    <row r="144" spans="1:43" ht="15">
      <c r="A144" s="2" t="s">
        <v>514</v>
      </c>
      <c r="B144" s="5">
        <v>9860186</v>
      </c>
      <c r="C144" s="2" t="s">
        <v>23</v>
      </c>
      <c r="D144" s="2" t="s">
        <v>515</v>
      </c>
      <c r="E144" s="2" t="s">
        <v>516</v>
      </c>
      <c r="F144" s="2" t="s">
        <v>26</v>
      </c>
      <c r="G144" s="2"/>
      <c r="H144" s="2"/>
      <c r="I144" s="2" t="s">
        <v>28</v>
      </c>
      <c r="J144" s="6"/>
      <c r="K144" s="2" t="s">
        <v>55</v>
      </c>
      <c r="L144" s="2" t="s">
        <v>56</v>
      </c>
      <c r="M144" s="2" t="s">
        <v>55</v>
      </c>
      <c r="N144" s="2"/>
      <c r="O144" s="2"/>
      <c r="P144" s="7">
        <v>10.506742405611799</v>
      </c>
      <c r="Q144" s="6" t="s">
        <v>57</v>
      </c>
      <c r="R144" s="9">
        <v>0</v>
      </c>
      <c r="S144" s="2"/>
      <c r="T144" s="9">
        <v>0</v>
      </c>
      <c r="U144" s="9">
        <v>0</v>
      </c>
      <c r="V144" s="9">
        <v>0</v>
      </c>
      <c r="W144" s="9">
        <v>0</v>
      </c>
      <c r="X144" s="9">
        <v>0</v>
      </c>
      <c r="Y144" s="9">
        <v>0</v>
      </c>
      <c r="Z144" s="9">
        <v>0</v>
      </c>
      <c r="AA144" s="9">
        <v>2</v>
      </c>
      <c r="AB144" s="9">
        <v>0</v>
      </c>
      <c r="AC144" s="9">
        <v>0</v>
      </c>
      <c r="AD144" s="9">
        <v>0</v>
      </c>
      <c r="AE144" s="6" t="s">
        <v>57</v>
      </c>
      <c r="AF144" s="6" t="s">
        <v>57</v>
      </c>
      <c r="AG144" s="6" t="s">
        <v>57</v>
      </c>
      <c r="AH144" s="6" t="s">
        <v>57</v>
      </c>
      <c r="AI144" s="6" t="s">
        <v>57</v>
      </c>
      <c r="AJ144" s="6" t="s">
        <v>57</v>
      </c>
      <c r="AK144" s="6" t="s">
        <v>57</v>
      </c>
      <c r="AL144" s="6" t="s">
        <v>57</v>
      </c>
      <c r="AM144" s="6" t="s">
        <v>57</v>
      </c>
      <c r="AN144" s="6" t="s">
        <v>57</v>
      </c>
      <c r="AO144" s="6" t="s">
        <v>57</v>
      </c>
      <c r="AP144" s="6" t="s">
        <v>57</v>
      </c>
      <c r="AQ144" s="9">
        <v>0</v>
      </c>
    </row>
    <row r="145" spans="1:43" ht="15">
      <c r="A145" s="2" t="s">
        <v>517</v>
      </c>
      <c r="B145" s="5">
        <v>9042264</v>
      </c>
      <c r="C145" s="2" t="s">
        <v>23</v>
      </c>
      <c r="D145" s="2" t="s">
        <v>518</v>
      </c>
      <c r="E145" s="2" t="s">
        <v>519</v>
      </c>
      <c r="F145" s="2" t="s">
        <v>26</v>
      </c>
      <c r="G145" s="2"/>
      <c r="H145" s="2"/>
      <c r="I145" s="2" t="s">
        <v>28</v>
      </c>
      <c r="J145" s="6"/>
      <c r="K145" s="2" t="s">
        <v>55</v>
      </c>
      <c r="L145" s="2" t="s">
        <v>56</v>
      </c>
      <c r="M145" s="2" t="s">
        <v>55</v>
      </c>
      <c r="N145" s="2"/>
      <c r="O145" s="2"/>
      <c r="P145" s="7">
        <v>13.801509410952599</v>
      </c>
      <c r="Q145" s="6" t="s">
        <v>57</v>
      </c>
      <c r="R145" s="9">
        <v>0</v>
      </c>
      <c r="S145" s="2"/>
      <c r="T145" s="9">
        <v>0</v>
      </c>
      <c r="U145" s="9">
        <v>0</v>
      </c>
      <c r="V145" s="9">
        <v>0</v>
      </c>
      <c r="W145" s="9">
        <v>0</v>
      </c>
      <c r="X145" s="9">
        <v>0</v>
      </c>
      <c r="Y145" s="9">
        <v>0</v>
      </c>
      <c r="Z145" s="9">
        <v>198</v>
      </c>
      <c r="AA145" s="9">
        <v>1618</v>
      </c>
      <c r="AB145" s="9">
        <v>0</v>
      </c>
      <c r="AC145" s="9">
        <v>0</v>
      </c>
      <c r="AD145" s="9">
        <v>0</v>
      </c>
      <c r="AE145" s="6" t="s">
        <v>57</v>
      </c>
      <c r="AF145" s="6" t="s">
        <v>57</v>
      </c>
      <c r="AG145" s="6" t="s">
        <v>57</v>
      </c>
      <c r="AH145" s="6" t="s">
        <v>57</v>
      </c>
      <c r="AI145" s="6" t="s">
        <v>57</v>
      </c>
      <c r="AJ145" s="6" t="s">
        <v>57</v>
      </c>
      <c r="AK145" s="6" t="s">
        <v>57</v>
      </c>
      <c r="AL145" s="6" t="s">
        <v>57</v>
      </c>
      <c r="AM145" s="6" t="s">
        <v>57</v>
      </c>
      <c r="AN145" s="6" t="s">
        <v>57</v>
      </c>
      <c r="AO145" s="6" t="s">
        <v>57</v>
      </c>
      <c r="AP145" s="6" t="s">
        <v>57</v>
      </c>
      <c r="AQ145" s="9">
        <v>0</v>
      </c>
    </row>
    <row r="146" spans="1:43" ht="15">
      <c r="A146" s="2" t="s">
        <v>520</v>
      </c>
      <c r="B146" s="5">
        <v>25955819</v>
      </c>
      <c r="C146" s="2" t="s">
        <v>23</v>
      </c>
      <c r="D146" s="2" t="s">
        <v>521</v>
      </c>
      <c r="E146" s="2" t="s">
        <v>522</v>
      </c>
      <c r="F146" s="2" t="s">
        <v>26</v>
      </c>
      <c r="G146" s="2" t="s">
        <v>26</v>
      </c>
      <c r="H146" s="2" t="s">
        <v>27</v>
      </c>
      <c r="I146" s="2" t="s">
        <v>28</v>
      </c>
      <c r="J146" s="6"/>
      <c r="K146" s="2" t="s">
        <v>55</v>
      </c>
      <c r="L146" s="2" t="s">
        <v>56</v>
      </c>
      <c r="M146" s="2" t="s">
        <v>55</v>
      </c>
      <c r="N146" s="2"/>
      <c r="O146" s="2"/>
      <c r="P146" s="6" t="s">
        <v>57</v>
      </c>
      <c r="Q146" s="6" t="s">
        <v>57</v>
      </c>
      <c r="R146" s="9">
        <v>0</v>
      </c>
      <c r="S146" s="2"/>
      <c r="T146" s="9">
        <v>0</v>
      </c>
      <c r="U146" s="9">
        <v>0</v>
      </c>
      <c r="V146" s="9">
        <v>0</v>
      </c>
      <c r="W146" s="9">
        <v>0</v>
      </c>
      <c r="X146" s="9">
        <v>0</v>
      </c>
      <c r="Y146" s="9">
        <v>69</v>
      </c>
      <c r="Z146" s="9">
        <v>352</v>
      </c>
      <c r="AA146" s="9">
        <v>831</v>
      </c>
      <c r="AB146" s="9">
        <v>0</v>
      </c>
      <c r="AC146" s="9">
        <v>0</v>
      </c>
      <c r="AD146" s="9">
        <v>0</v>
      </c>
      <c r="AE146" s="6" t="s">
        <v>57</v>
      </c>
      <c r="AF146" s="6" t="s">
        <v>57</v>
      </c>
      <c r="AG146" s="6" t="s">
        <v>57</v>
      </c>
      <c r="AH146" s="6" t="s">
        <v>57</v>
      </c>
      <c r="AI146" s="6" t="s">
        <v>57</v>
      </c>
      <c r="AJ146" s="6" t="s">
        <v>57</v>
      </c>
      <c r="AK146" s="6" t="s">
        <v>57</v>
      </c>
      <c r="AL146" s="6" t="s">
        <v>57</v>
      </c>
      <c r="AM146" s="6" t="s">
        <v>57</v>
      </c>
      <c r="AN146" s="6" t="s">
        <v>57</v>
      </c>
      <c r="AO146" s="6" t="s">
        <v>57</v>
      </c>
      <c r="AP146" s="6" t="s">
        <v>57</v>
      </c>
      <c r="AQ146" s="9">
        <v>0</v>
      </c>
    </row>
    <row r="147" spans="1:43" ht="15">
      <c r="A147" s="2" t="s">
        <v>523</v>
      </c>
      <c r="B147" s="5">
        <v>136600112</v>
      </c>
      <c r="C147" s="2" t="s">
        <v>23</v>
      </c>
      <c r="D147" s="2" t="s">
        <v>524</v>
      </c>
      <c r="E147" s="2" t="s">
        <v>525</v>
      </c>
      <c r="F147" s="2" t="s">
        <v>26</v>
      </c>
      <c r="G147" s="2"/>
      <c r="H147" s="2"/>
      <c r="I147" s="2" t="s">
        <v>28</v>
      </c>
      <c r="J147" s="6"/>
      <c r="K147" s="2" t="s">
        <v>55</v>
      </c>
      <c r="L147" s="2" t="s">
        <v>56</v>
      </c>
      <c r="M147" s="2" t="s">
        <v>55</v>
      </c>
      <c r="N147" s="2"/>
      <c r="O147" s="2"/>
      <c r="P147" s="6" t="s">
        <v>57</v>
      </c>
      <c r="Q147" s="6" t="s">
        <v>57</v>
      </c>
      <c r="R147" s="9">
        <v>0</v>
      </c>
      <c r="S147" s="2"/>
      <c r="T147" s="9">
        <v>0</v>
      </c>
      <c r="U147" s="9">
        <v>0</v>
      </c>
      <c r="V147" s="9">
        <v>0</v>
      </c>
      <c r="W147" s="9">
        <v>711</v>
      </c>
      <c r="X147" s="9">
        <v>708</v>
      </c>
      <c r="Y147" s="9">
        <v>694</v>
      </c>
      <c r="Z147" s="9">
        <v>694</v>
      </c>
      <c r="AA147" s="9">
        <v>694</v>
      </c>
      <c r="AB147" s="9">
        <v>0</v>
      </c>
      <c r="AC147" s="9">
        <v>0</v>
      </c>
      <c r="AD147" s="9">
        <v>0</v>
      </c>
      <c r="AE147" s="6" t="s">
        <v>57</v>
      </c>
      <c r="AF147" s="6" t="s">
        <v>57</v>
      </c>
      <c r="AG147" s="6" t="s">
        <v>57</v>
      </c>
      <c r="AH147" s="6" t="s">
        <v>57</v>
      </c>
      <c r="AI147" s="6" t="s">
        <v>57</v>
      </c>
      <c r="AJ147" s="6" t="s">
        <v>57</v>
      </c>
      <c r="AK147" s="6" t="s">
        <v>57</v>
      </c>
      <c r="AL147" s="6" t="s">
        <v>57</v>
      </c>
      <c r="AM147" s="6" t="s">
        <v>57</v>
      </c>
      <c r="AN147" s="6" t="s">
        <v>57</v>
      </c>
      <c r="AO147" s="6" t="s">
        <v>57</v>
      </c>
      <c r="AP147" s="6" t="s">
        <v>57</v>
      </c>
      <c r="AQ147" s="9">
        <v>0</v>
      </c>
    </row>
    <row r="148" spans="1:43" ht="15">
      <c r="A148" s="2" t="s">
        <v>526</v>
      </c>
      <c r="B148" s="5">
        <v>106509163</v>
      </c>
      <c r="C148" s="2" t="s">
        <v>23</v>
      </c>
      <c r="D148" s="2" t="s">
        <v>527</v>
      </c>
      <c r="E148" s="2" t="s">
        <v>528</v>
      </c>
      <c r="F148" s="2" t="s">
        <v>26</v>
      </c>
      <c r="G148" s="2"/>
      <c r="H148" s="2"/>
      <c r="I148" s="2" t="s">
        <v>28</v>
      </c>
      <c r="J148" s="6"/>
      <c r="K148" s="2" t="s">
        <v>55</v>
      </c>
      <c r="L148" s="2" t="s">
        <v>56</v>
      </c>
      <c r="M148" s="2" t="s">
        <v>55</v>
      </c>
      <c r="N148" s="2"/>
      <c r="O148" s="2"/>
      <c r="P148" s="6" t="s">
        <v>57</v>
      </c>
      <c r="Q148" s="6" t="s">
        <v>57</v>
      </c>
      <c r="R148" s="9">
        <v>0</v>
      </c>
      <c r="S148" s="2"/>
      <c r="T148" s="9">
        <v>0</v>
      </c>
      <c r="U148" s="9">
        <v>0</v>
      </c>
      <c r="V148" s="9">
        <v>0</v>
      </c>
      <c r="W148" s="9">
        <v>0</v>
      </c>
      <c r="X148" s="9">
        <v>0</v>
      </c>
      <c r="Y148" s="9">
        <v>0</v>
      </c>
      <c r="Z148" s="9">
        <v>0</v>
      </c>
      <c r="AA148" s="9">
        <v>0</v>
      </c>
      <c r="AB148" s="9">
        <v>0</v>
      </c>
      <c r="AC148" s="9">
        <v>0</v>
      </c>
      <c r="AD148" s="9">
        <v>0</v>
      </c>
      <c r="AE148" s="6" t="s">
        <v>57</v>
      </c>
      <c r="AF148" s="6" t="s">
        <v>57</v>
      </c>
      <c r="AG148" s="6" t="s">
        <v>57</v>
      </c>
      <c r="AH148" s="6" t="s">
        <v>57</v>
      </c>
      <c r="AI148" s="6" t="s">
        <v>57</v>
      </c>
      <c r="AJ148" s="6" t="s">
        <v>57</v>
      </c>
      <c r="AK148" s="6" t="s">
        <v>57</v>
      </c>
      <c r="AL148" s="6" t="s">
        <v>57</v>
      </c>
      <c r="AM148" s="6" t="s">
        <v>57</v>
      </c>
      <c r="AN148" s="6" t="s">
        <v>57</v>
      </c>
      <c r="AO148" s="6" t="s">
        <v>57</v>
      </c>
      <c r="AP148" s="6" t="s">
        <v>57</v>
      </c>
      <c r="AQ148" s="9">
        <v>0</v>
      </c>
    </row>
    <row r="149" spans="1:43" ht="15">
      <c r="A149" s="2" t="s">
        <v>529</v>
      </c>
      <c r="B149" s="5">
        <v>113633986</v>
      </c>
      <c r="C149" s="2" t="s">
        <v>23</v>
      </c>
      <c r="D149" s="2" t="s">
        <v>530</v>
      </c>
      <c r="E149" s="2" t="s">
        <v>531</v>
      </c>
      <c r="F149" s="2" t="s">
        <v>26</v>
      </c>
      <c r="G149" s="2" t="s">
        <v>26</v>
      </c>
      <c r="H149" s="2" t="s">
        <v>27</v>
      </c>
      <c r="I149" s="2" t="s">
        <v>28</v>
      </c>
      <c r="J149" s="6"/>
      <c r="K149" s="2" t="s">
        <v>55</v>
      </c>
      <c r="L149" s="2" t="s">
        <v>56</v>
      </c>
      <c r="M149" s="2" t="s">
        <v>55</v>
      </c>
      <c r="N149" s="2"/>
      <c r="O149" s="2"/>
      <c r="P149" s="6" t="s">
        <v>57</v>
      </c>
      <c r="Q149" s="6" t="s">
        <v>57</v>
      </c>
      <c r="R149" s="9">
        <v>0</v>
      </c>
      <c r="S149" s="2"/>
      <c r="T149" s="9">
        <v>0</v>
      </c>
      <c r="U149" s="9">
        <v>0</v>
      </c>
      <c r="V149" s="9">
        <v>13823</v>
      </c>
      <c r="W149" s="9">
        <v>9437</v>
      </c>
      <c r="X149" s="9">
        <v>10139</v>
      </c>
      <c r="Y149" s="9">
        <v>6915</v>
      </c>
      <c r="Z149" s="9">
        <v>6575</v>
      </c>
      <c r="AA149" s="9">
        <v>6575</v>
      </c>
      <c r="AB149" s="9">
        <v>0</v>
      </c>
      <c r="AC149" s="9">
        <v>14503</v>
      </c>
      <c r="AD149" s="9">
        <v>12305</v>
      </c>
      <c r="AE149" s="6" t="s">
        <v>57</v>
      </c>
      <c r="AF149" s="6" t="s">
        <v>57</v>
      </c>
      <c r="AG149" s="6" t="s">
        <v>57</v>
      </c>
      <c r="AH149" s="6" t="s">
        <v>57</v>
      </c>
      <c r="AI149" s="6" t="s">
        <v>57</v>
      </c>
      <c r="AJ149" s="6" t="s">
        <v>57</v>
      </c>
      <c r="AK149" s="6" t="s">
        <v>57</v>
      </c>
      <c r="AL149" s="6" t="s">
        <v>57</v>
      </c>
      <c r="AM149" s="6" t="s">
        <v>57</v>
      </c>
      <c r="AN149" s="6" t="s">
        <v>57</v>
      </c>
      <c r="AO149" s="6" t="s">
        <v>57</v>
      </c>
      <c r="AP149" s="6" t="s">
        <v>57</v>
      </c>
      <c r="AQ149" s="9">
        <v>0</v>
      </c>
    </row>
    <row r="150" spans="1:43" ht="15">
      <c r="A150" s="2" t="s">
        <v>532</v>
      </c>
      <c r="B150" s="5">
        <v>13585807</v>
      </c>
      <c r="C150" s="2" t="s">
        <v>23</v>
      </c>
      <c r="D150" s="2" t="s">
        <v>533</v>
      </c>
      <c r="E150" s="2" t="s">
        <v>534</v>
      </c>
      <c r="F150" s="2" t="s">
        <v>26</v>
      </c>
      <c r="G150" s="2" t="s">
        <v>26</v>
      </c>
      <c r="H150" s="2" t="s">
        <v>27</v>
      </c>
      <c r="I150" s="2" t="s">
        <v>28</v>
      </c>
      <c r="J150" s="6"/>
      <c r="K150" s="2" t="s">
        <v>55</v>
      </c>
      <c r="L150" s="2" t="s">
        <v>56</v>
      </c>
      <c r="M150" s="2" t="s">
        <v>55</v>
      </c>
      <c r="N150" s="2"/>
      <c r="O150" s="2"/>
      <c r="P150" s="6" t="s">
        <v>57</v>
      </c>
      <c r="Q150" s="6" t="s">
        <v>57</v>
      </c>
      <c r="R150" s="9">
        <v>0</v>
      </c>
      <c r="S150" s="2"/>
      <c r="T150" s="9">
        <v>0</v>
      </c>
      <c r="U150" s="9">
        <v>0</v>
      </c>
      <c r="V150" s="9">
        <v>0</v>
      </c>
      <c r="W150" s="9">
        <v>0</v>
      </c>
      <c r="X150" s="9">
        <v>0</v>
      </c>
      <c r="Y150" s="9">
        <v>0</v>
      </c>
      <c r="Z150" s="9">
        <v>310</v>
      </c>
      <c r="AA150" s="9">
        <v>187</v>
      </c>
      <c r="AB150" s="9">
        <v>0</v>
      </c>
      <c r="AC150" s="9">
        <v>0</v>
      </c>
      <c r="AD150" s="9">
        <v>0</v>
      </c>
      <c r="AE150" s="6" t="s">
        <v>57</v>
      </c>
      <c r="AF150" s="6" t="s">
        <v>57</v>
      </c>
      <c r="AG150" s="6" t="s">
        <v>57</v>
      </c>
      <c r="AH150" s="6" t="s">
        <v>57</v>
      </c>
      <c r="AI150" s="6" t="s">
        <v>57</v>
      </c>
      <c r="AJ150" s="6" t="s">
        <v>57</v>
      </c>
      <c r="AK150" s="6" t="s">
        <v>57</v>
      </c>
      <c r="AL150" s="6" t="s">
        <v>57</v>
      </c>
      <c r="AM150" s="6" t="s">
        <v>57</v>
      </c>
      <c r="AN150" s="6" t="s">
        <v>57</v>
      </c>
      <c r="AO150" s="6" t="s">
        <v>57</v>
      </c>
      <c r="AP150" s="6" t="s">
        <v>57</v>
      </c>
      <c r="AQ150" s="9">
        <v>0</v>
      </c>
    </row>
    <row r="151" spans="1:43" ht="15">
      <c r="A151" s="2" t="s">
        <v>535</v>
      </c>
      <c r="B151" s="5">
        <v>5731730</v>
      </c>
      <c r="C151" s="2" t="s">
        <v>23</v>
      </c>
      <c r="D151" s="2" t="s">
        <v>536</v>
      </c>
      <c r="E151" s="2" t="s">
        <v>537</v>
      </c>
      <c r="F151" s="2" t="s">
        <v>26</v>
      </c>
      <c r="G151" s="2" t="s">
        <v>26</v>
      </c>
      <c r="H151" s="2" t="s">
        <v>27</v>
      </c>
      <c r="I151" s="2" t="s">
        <v>28</v>
      </c>
      <c r="J151" s="6"/>
      <c r="K151" s="2" t="s">
        <v>55</v>
      </c>
      <c r="L151" s="2" t="s">
        <v>56</v>
      </c>
      <c r="M151" s="2" t="s">
        <v>55</v>
      </c>
      <c r="N151" s="2"/>
      <c r="O151" s="2"/>
      <c r="P151" s="7">
        <v>12.08732218432</v>
      </c>
      <c r="Q151" s="6" t="s">
        <v>57</v>
      </c>
      <c r="R151" s="9">
        <v>0</v>
      </c>
      <c r="S151" s="2"/>
      <c r="T151" s="9">
        <v>0</v>
      </c>
      <c r="U151" s="9">
        <v>0</v>
      </c>
      <c r="V151" s="9">
        <v>0</v>
      </c>
      <c r="W151" s="9">
        <v>6</v>
      </c>
      <c r="X151" s="9">
        <v>6</v>
      </c>
      <c r="Y151" s="9">
        <v>6</v>
      </c>
      <c r="Z151" s="9">
        <v>4</v>
      </c>
      <c r="AA151" s="9">
        <v>2</v>
      </c>
      <c r="AB151" s="9">
        <v>0</v>
      </c>
      <c r="AC151" s="9">
        <v>0</v>
      </c>
      <c r="AD151" s="9">
        <v>0</v>
      </c>
      <c r="AE151" s="6" t="s">
        <v>57</v>
      </c>
      <c r="AF151" s="6" t="s">
        <v>57</v>
      </c>
      <c r="AG151" s="6" t="s">
        <v>57</v>
      </c>
      <c r="AH151" s="6" t="s">
        <v>57</v>
      </c>
      <c r="AI151" s="6" t="s">
        <v>57</v>
      </c>
      <c r="AJ151" s="6" t="s">
        <v>57</v>
      </c>
      <c r="AK151" s="6" t="s">
        <v>57</v>
      </c>
      <c r="AL151" s="6" t="s">
        <v>57</v>
      </c>
      <c r="AM151" s="6" t="s">
        <v>57</v>
      </c>
      <c r="AN151" s="6" t="s">
        <v>57</v>
      </c>
      <c r="AO151" s="6" t="s">
        <v>57</v>
      </c>
      <c r="AP151" s="6" t="s">
        <v>57</v>
      </c>
      <c r="AQ151" s="9">
        <v>0</v>
      </c>
    </row>
    <row r="152" spans="1:43" ht="15">
      <c r="A152" s="2" t="s">
        <v>538</v>
      </c>
      <c r="B152" s="5">
        <v>4271291</v>
      </c>
      <c r="C152" s="2" t="s">
        <v>46</v>
      </c>
      <c r="D152" s="2" t="s">
        <v>539</v>
      </c>
      <c r="E152" s="2" t="s">
        <v>540</v>
      </c>
      <c r="F152" s="2" t="s">
        <v>49</v>
      </c>
      <c r="G152" s="2" t="s">
        <v>49</v>
      </c>
      <c r="H152" s="2" t="s">
        <v>50</v>
      </c>
      <c r="I152" s="2" t="s">
        <v>28</v>
      </c>
      <c r="J152" s="6"/>
      <c r="K152" s="2" t="s">
        <v>226</v>
      </c>
      <c r="L152" s="2" t="s">
        <v>56</v>
      </c>
      <c r="M152" s="2" t="s">
        <v>227</v>
      </c>
      <c r="N152" s="2" t="s">
        <v>226</v>
      </c>
      <c r="O152" s="2"/>
      <c r="P152" s="7">
        <v>6056.6382125012397</v>
      </c>
      <c r="Q152" s="6" t="s">
        <v>57</v>
      </c>
      <c r="R152" s="9">
        <v>425480</v>
      </c>
      <c r="S152" s="2" t="s">
        <v>541</v>
      </c>
      <c r="T152" s="9">
        <v>311448</v>
      </c>
      <c r="U152" s="9">
        <v>488741</v>
      </c>
      <c r="V152" s="9">
        <v>383709</v>
      </c>
      <c r="W152" s="9">
        <v>606276</v>
      </c>
      <c r="X152" s="9">
        <v>605649</v>
      </c>
      <c r="Y152" s="9">
        <v>846175</v>
      </c>
      <c r="Z152" s="9">
        <v>812715</v>
      </c>
      <c r="AA152" s="9">
        <v>705097</v>
      </c>
      <c r="AB152" s="9">
        <v>499604</v>
      </c>
      <c r="AC152" s="9">
        <v>390770</v>
      </c>
      <c r="AD152" s="9">
        <v>656094</v>
      </c>
      <c r="AE152" s="7">
        <v>0.0200588027028594</v>
      </c>
      <c r="AF152" s="7">
        <v>0.014682910286709301</v>
      </c>
      <c r="AG152" s="7">
        <v>0.023041214221834201</v>
      </c>
      <c r="AH152" s="7">
        <v>0.0180895760034245</v>
      </c>
      <c r="AI152" s="7">
        <v>0.0285822949778873</v>
      </c>
      <c r="AJ152" s="7">
        <v>0.028552719949122202</v>
      </c>
      <c r="AK152" s="7">
        <v>0.0398920770446336</v>
      </c>
      <c r="AL152" s="7">
        <v>0.038314611353562199</v>
      </c>
      <c r="AM152" s="7">
        <v>0.033241091303134698</v>
      </c>
      <c r="AN152" s="7">
        <v>0.023553334370052199</v>
      </c>
      <c r="AO152" s="7">
        <v>0.018422462131220299</v>
      </c>
      <c r="AP152" s="7">
        <v>0.030930887727020899</v>
      </c>
      <c r="AQ152" s="9">
        <v>106089</v>
      </c>
    </row>
    <row r="153" spans="1:43" ht="15">
      <c r="A153" s="2" t="s">
        <v>542</v>
      </c>
      <c r="B153" s="5">
        <v>4271698</v>
      </c>
      <c r="C153" s="2" t="s">
        <v>35</v>
      </c>
      <c r="D153" s="2" t="s">
        <v>543</v>
      </c>
      <c r="E153" s="2" t="s">
        <v>544</v>
      </c>
      <c r="F153" s="2" t="s">
        <v>38</v>
      </c>
      <c r="G153" s="2" t="s">
        <v>38</v>
      </c>
      <c r="H153" s="2" t="s">
        <v>39</v>
      </c>
      <c r="I153" s="2" t="s">
        <v>40</v>
      </c>
      <c r="J153" s="6"/>
      <c r="K153" s="2" t="s">
        <v>226</v>
      </c>
      <c r="L153" s="2" t="s">
        <v>56</v>
      </c>
      <c r="M153" s="2" t="s">
        <v>227</v>
      </c>
      <c r="N153" s="2" t="s">
        <v>226</v>
      </c>
      <c r="O153" s="2"/>
      <c r="P153" s="7">
        <v>1106.3977153235701</v>
      </c>
      <c r="Q153" s="6" t="s">
        <v>57</v>
      </c>
      <c r="R153" s="9">
        <v>0</v>
      </c>
      <c r="S153" s="2" t="s">
        <v>545</v>
      </c>
      <c r="T153" s="9">
        <v>23186</v>
      </c>
      <c r="U153" s="9">
        <v>8154</v>
      </c>
      <c r="V153" s="9">
        <v>3635</v>
      </c>
      <c r="W153" s="9">
        <v>17910</v>
      </c>
      <c r="X153" s="9">
        <v>17836</v>
      </c>
      <c r="Y153" s="9">
        <v>19339</v>
      </c>
      <c r="Z153" s="9">
        <v>20269</v>
      </c>
      <c r="AA153" s="9">
        <v>23755</v>
      </c>
      <c r="AB153" s="9">
        <v>9442</v>
      </c>
      <c r="AC153" s="9">
        <v>3823</v>
      </c>
      <c r="AD153" s="9">
        <v>7554</v>
      </c>
      <c r="AE153" s="7">
        <v>0</v>
      </c>
      <c r="AF153" s="7">
        <v>0.00066977329905193797</v>
      </c>
      <c r="AG153" s="7">
        <v>0.00023554529075316</v>
      </c>
      <c r="AH153" s="7">
        <v>0.000104994385623941</v>
      </c>
      <c r="AI153" s="7">
        <v>0.00051734789621589905</v>
      </c>
      <c r="AJ153" s="7">
        <v>0.00051522761795271899</v>
      </c>
      <c r="AK153" s="7">
        <v>0.00055865244975834697</v>
      </c>
      <c r="AL153" s="7">
        <v>0.00058551140092945396</v>
      </c>
      <c r="AM153" s="7">
        <v>0.00068621370452687605</v>
      </c>
      <c r="AN153" s="7">
        <v>0.000272736652451027</v>
      </c>
      <c r="AO153" s="7">
        <v>0.00011042512970793799</v>
      </c>
      <c r="AP153" s="7">
        <v>0.00021822492895250801</v>
      </c>
      <c r="AQ153" s="9">
        <v>0</v>
      </c>
    </row>
    <row r="154" spans="1:43" ht="15">
      <c r="A154" s="2" t="s">
        <v>546</v>
      </c>
      <c r="B154" s="5">
        <v>4400172</v>
      </c>
      <c r="C154" s="2" t="s">
        <v>35</v>
      </c>
      <c r="D154" s="2" t="s">
        <v>547</v>
      </c>
      <c r="E154" s="2" t="s">
        <v>548</v>
      </c>
      <c r="F154" s="2" t="s">
        <v>38</v>
      </c>
      <c r="G154" s="2" t="s">
        <v>38</v>
      </c>
      <c r="H154" s="2" t="s">
        <v>39</v>
      </c>
      <c r="I154" s="2" t="s">
        <v>40</v>
      </c>
      <c r="J154" s="6"/>
      <c r="K154" s="2" t="s">
        <v>226</v>
      </c>
      <c r="L154" s="2" t="s">
        <v>56</v>
      </c>
      <c r="M154" s="2" t="s">
        <v>227</v>
      </c>
      <c r="N154" s="2" t="s">
        <v>226</v>
      </c>
      <c r="O154" s="2"/>
      <c r="P154" s="7">
        <v>143.76439314327601</v>
      </c>
      <c r="Q154" s="6" t="s">
        <v>57</v>
      </c>
      <c r="R154" s="9">
        <v>7882</v>
      </c>
      <c r="S154" s="2" t="s">
        <v>549</v>
      </c>
      <c r="T154" s="9">
        <v>2641</v>
      </c>
      <c r="U154" s="9">
        <v>720</v>
      </c>
      <c r="V154" s="9">
        <v>286</v>
      </c>
      <c r="W154" s="9">
        <v>401</v>
      </c>
      <c r="X154" s="9">
        <v>402</v>
      </c>
      <c r="Y154" s="9">
        <v>435</v>
      </c>
      <c r="Z154" s="9">
        <v>427</v>
      </c>
      <c r="AA154" s="9">
        <v>1143</v>
      </c>
      <c r="AB154" s="9">
        <v>834</v>
      </c>
      <c r="AC154" s="9">
        <v>301</v>
      </c>
      <c r="AD154" s="9">
        <v>360</v>
      </c>
      <c r="AE154" s="7">
        <v>0.017674651456187199</v>
      </c>
      <c r="AF154" s="7">
        <v>0.0059210755100307499</v>
      </c>
      <c r="AG154" s="7">
        <v>0.0016148387754629299</v>
      </c>
      <c r="AH154" s="7">
        <v>0.00064143866551930105</v>
      </c>
      <c r="AI154" s="7">
        <v>0.00090009106981529298</v>
      </c>
      <c r="AJ154" s="7">
        <v>0.00090136487585918204</v>
      </c>
      <c r="AK154" s="7">
        <v>0.00097497468939943899</v>
      </c>
      <c r="AL154" s="7">
        <v>0.00095698698338126504</v>
      </c>
      <c r="AM154" s="7">
        <v>0.00256284174713186</v>
      </c>
      <c r="AN154" s="7">
        <v>0.00186981331895708</v>
      </c>
      <c r="AO154" s="7">
        <v>0.00067461652752892002</v>
      </c>
      <c r="AP154" s="7">
        <v>0.00080728534010533195</v>
      </c>
      <c r="AQ154" s="9">
        <v>15764</v>
      </c>
    </row>
    <row r="155" spans="1:43" ht="15">
      <c r="A155" s="2" t="s">
        <v>550</v>
      </c>
      <c r="B155" s="5">
        <v>4396884</v>
      </c>
      <c r="C155" s="2" t="s">
        <v>35</v>
      </c>
      <c r="D155" s="2" t="s">
        <v>551</v>
      </c>
      <c r="E155" s="2" t="s">
        <v>552</v>
      </c>
      <c r="F155" s="2" t="s">
        <v>38</v>
      </c>
      <c r="G155" s="2" t="s">
        <v>38</v>
      </c>
      <c r="H155" s="2" t="s">
        <v>39</v>
      </c>
      <c r="I155" s="2" t="s">
        <v>40</v>
      </c>
      <c r="J155" s="10">
        <v>40441</v>
      </c>
      <c r="K155" s="2" t="s">
        <v>226</v>
      </c>
      <c r="L155" s="2" t="s">
        <v>56</v>
      </c>
      <c r="M155" s="2" t="s">
        <v>227</v>
      </c>
      <c r="N155" s="2" t="s">
        <v>226</v>
      </c>
      <c r="O155" s="2"/>
      <c r="P155" s="7">
        <v>3404.6261226815</v>
      </c>
      <c r="Q155" s="6" t="s">
        <v>57</v>
      </c>
      <c r="R155" s="9">
        <v>8111</v>
      </c>
      <c r="S155" s="2" t="s">
        <v>553</v>
      </c>
      <c r="T155" s="9">
        <v>15634</v>
      </c>
      <c r="U155" s="9">
        <v>16088</v>
      </c>
      <c r="V155" s="9">
        <v>12706</v>
      </c>
      <c r="W155" s="9">
        <v>70291</v>
      </c>
      <c r="X155" s="9">
        <v>71716</v>
      </c>
      <c r="Y155" s="9">
        <v>78266</v>
      </c>
      <c r="Z155" s="9">
        <v>87566</v>
      </c>
      <c r="AA155" s="9">
        <v>85173</v>
      </c>
      <c r="AB155" s="9">
        <v>17401</v>
      </c>
      <c r="AC155" s="9">
        <v>12878</v>
      </c>
      <c r="AD155" s="9">
        <v>12711</v>
      </c>
      <c r="AE155" s="7">
        <v>0.034778857665489202</v>
      </c>
      <c r="AF155" s="7">
        <v>0.067038440455388204</v>
      </c>
      <c r="AG155" s="7">
        <v>0.068989343529259201</v>
      </c>
      <c r="AH155" s="7">
        <v>0.054483611705660698</v>
      </c>
      <c r="AI155" s="7">
        <v>0.30141561940426398</v>
      </c>
      <c r="AJ155" s="7">
        <v>0.30752915819953403</v>
      </c>
      <c r="AK155" s="7">
        <v>0.33561258345824302</v>
      </c>
      <c r="AL155" s="7">
        <v>0.37549318979291302</v>
      </c>
      <c r="AM155" s="7">
        <v>0.36523263700332498</v>
      </c>
      <c r="AN155" s="7">
        <v>0.074616125882969897</v>
      </c>
      <c r="AO155" s="7">
        <v>0.055222061673547602</v>
      </c>
      <c r="AP155" s="7">
        <v>0.054506532127891701</v>
      </c>
      <c r="AQ155" s="9">
        <v>13446</v>
      </c>
    </row>
    <row r="156" spans="1:43" ht="15">
      <c r="A156" s="2" t="s">
        <v>554</v>
      </c>
      <c r="B156" s="5">
        <v>4047362</v>
      </c>
      <c r="C156" s="2" t="s">
        <v>35</v>
      </c>
      <c r="D156" s="2" t="s">
        <v>555</v>
      </c>
      <c r="E156" s="2" t="s">
        <v>556</v>
      </c>
      <c r="F156" s="2" t="s">
        <v>38</v>
      </c>
      <c r="G156" s="2" t="s">
        <v>38</v>
      </c>
      <c r="H156" s="2" t="s">
        <v>39</v>
      </c>
      <c r="I156" s="2" t="s">
        <v>40</v>
      </c>
      <c r="J156" s="6"/>
      <c r="K156" s="2" t="s">
        <v>226</v>
      </c>
      <c r="L156" s="2" t="s">
        <v>56</v>
      </c>
      <c r="M156" s="2" t="s">
        <v>227</v>
      </c>
      <c r="N156" s="2" t="s">
        <v>226</v>
      </c>
      <c r="O156" s="2"/>
      <c r="P156" s="7">
        <v>3926.90835956093</v>
      </c>
      <c r="Q156" s="6" t="s">
        <v>57</v>
      </c>
      <c r="R156" s="9">
        <v>3834</v>
      </c>
      <c r="S156" s="2" t="s">
        <v>557</v>
      </c>
      <c r="T156" s="9">
        <v>18674</v>
      </c>
      <c r="U156" s="9">
        <v>18264</v>
      </c>
      <c r="V156" s="9">
        <v>12470</v>
      </c>
      <c r="W156" s="9">
        <v>17935</v>
      </c>
      <c r="X156" s="9">
        <v>17892</v>
      </c>
      <c r="Y156" s="9">
        <v>17061</v>
      </c>
      <c r="Z156" s="9">
        <v>15461</v>
      </c>
      <c r="AA156" s="9">
        <v>14301</v>
      </c>
      <c r="AB156" s="9">
        <v>19204</v>
      </c>
      <c r="AC156" s="9">
        <v>12519</v>
      </c>
      <c r="AD156" s="9">
        <v>18323</v>
      </c>
      <c r="AE156" s="7">
        <v>0.0053961836365260399</v>
      </c>
      <c r="AF156" s="7">
        <v>0.0262830549276022</v>
      </c>
      <c r="AG156" s="7">
        <v>0.025705699701731199</v>
      </c>
      <c r="AH156" s="7">
        <v>0.017550575402457899</v>
      </c>
      <c r="AI156" s="7">
        <v>0.025242461825994399</v>
      </c>
      <c r="AJ156" s="7">
        <v>0.0251822883641987</v>
      </c>
      <c r="AK156" s="7">
        <v>0.024011987639059599</v>
      </c>
      <c r="AL156" s="7">
        <v>0.0217610413960003</v>
      </c>
      <c r="AM156" s="7">
        <v>0.020127569118333799</v>
      </c>
      <c r="AN156" s="7">
        <v>0.027029142045949799</v>
      </c>
      <c r="AO156" s="7">
        <v>0.0176200542863626</v>
      </c>
      <c r="AP156" s="7">
        <v>0.0257891701879439</v>
      </c>
      <c r="AQ156" s="9">
        <v>555</v>
      </c>
    </row>
    <row r="157" spans="1:43" ht="15">
      <c r="A157" s="2" t="s">
        <v>558</v>
      </c>
      <c r="B157" s="5">
        <v>4135408</v>
      </c>
      <c r="C157" s="2" t="s">
        <v>23</v>
      </c>
      <c r="D157" s="2" t="s">
        <v>559</v>
      </c>
      <c r="E157" s="2" t="s">
        <v>560</v>
      </c>
      <c r="F157" s="2" t="s">
        <v>26</v>
      </c>
      <c r="G157" s="2" t="s">
        <v>26</v>
      </c>
      <c r="H157" s="2" t="s">
        <v>27</v>
      </c>
      <c r="I157" s="2" t="s">
        <v>28</v>
      </c>
      <c r="J157" s="6"/>
      <c r="K157" s="2" t="s">
        <v>226</v>
      </c>
      <c r="L157" s="2" t="s">
        <v>56</v>
      </c>
      <c r="M157" s="2" t="s">
        <v>227</v>
      </c>
      <c r="N157" s="2" t="s">
        <v>226</v>
      </c>
      <c r="O157" s="2"/>
      <c r="P157" s="7">
        <v>19468.685211746</v>
      </c>
      <c r="Q157" s="6" t="s">
        <v>57</v>
      </c>
      <c r="R157" s="9">
        <v>61817913</v>
      </c>
      <c r="S157" s="2" t="s">
        <v>561</v>
      </c>
      <c r="T157" s="9">
        <v>50927710</v>
      </c>
      <c r="U157" s="9">
        <v>79409836</v>
      </c>
      <c r="V157" s="9">
        <v>98666641</v>
      </c>
      <c r="W157" s="9">
        <v>99579297</v>
      </c>
      <c r="X157" s="9">
        <v>99432125</v>
      </c>
      <c r="Y157" s="9">
        <v>99433718</v>
      </c>
      <c r="Z157" s="9">
        <v>95071172</v>
      </c>
      <c r="AA157" s="9">
        <v>103684873</v>
      </c>
      <c r="AB157" s="9">
        <v>78587750</v>
      </c>
      <c r="AC157" s="9">
        <v>99004908</v>
      </c>
      <c r="AD157" s="9">
        <v>104422505</v>
      </c>
      <c r="AE157" s="7">
        <v>0.305977522901484</v>
      </c>
      <c r="AF157" s="7">
        <v>0.25207474454671802</v>
      </c>
      <c r="AG157" s="7">
        <v>0.39305152818025701</v>
      </c>
      <c r="AH157" s="7">
        <v>0.48836612653174699</v>
      </c>
      <c r="AI157" s="7">
        <v>0.49288345858135002</v>
      </c>
      <c r="AJ157" s="7">
        <v>0.49215500798220801</v>
      </c>
      <c r="AK157" s="7">
        <v>0.49216289241061201</v>
      </c>
      <c r="AL157" s="7">
        <v>0.47056978480370798</v>
      </c>
      <c r="AM157" s="7">
        <v>0.51320465835574403</v>
      </c>
      <c r="AN157" s="7">
        <v>0.38898248475365998</v>
      </c>
      <c r="AO157" s="7">
        <v>0.49004042896894301</v>
      </c>
      <c r="AP157" s="7">
        <v>0.51685568102201196</v>
      </c>
      <c r="AQ157" s="9">
        <v>57165051</v>
      </c>
    </row>
    <row r="158" spans="1:43" ht="15">
      <c r="A158" s="2" t="s">
        <v>562</v>
      </c>
      <c r="B158" s="5">
        <v>4097665</v>
      </c>
      <c r="C158" s="2" t="s">
        <v>46</v>
      </c>
      <c r="D158" s="2" t="s">
        <v>563</v>
      </c>
      <c r="E158" s="2" t="s">
        <v>564</v>
      </c>
      <c r="F158" s="2" t="s">
        <v>49</v>
      </c>
      <c r="G158" s="2" t="s">
        <v>49</v>
      </c>
      <c r="H158" s="2" t="s">
        <v>50</v>
      </c>
      <c r="I158" s="2" t="s">
        <v>40</v>
      </c>
      <c r="J158" s="6"/>
      <c r="K158" s="2" t="s">
        <v>226</v>
      </c>
      <c r="L158" s="2" t="s">
        <v>56</v>
      </c>
      <c r="M158" s="2" t="s">
        <v>227</v>
      </c>
      <c r="N158" s="2" t="s">
        <v>226</v>
      </c>
      <c r="O158" s="2"/>
      <c r="P158" s="7">
        <v>24676.200342379801</v>
      </c>
      <c r="Q158" s="6" t="s">
        <v>57</v>
      </c>
      <c r="R158" s="9">
        <v>25955</v>
      </c>
      <c r="S158" s="2" t="s">
        <v>565</v>
      </c>
      <c r="T158" s="9">
        <v>104085</v>
      </c>
      <c r="U158" s="9">
        <v>69428</v>
      </c>
      <c r="V158" s="9">
        <v>62461</v>
      </c>
      <c r="W158" s="9">
        <v>46262</v>
      </c>
      <c r="X158" s="9">
        <v>46234</v>
      </c>
      <c r="Y158" s="9">
        <v>48620</v>
      </c>
      <c r="Z158" s="9">
        <v>44855</v>
      </c>
      <c r="AA158" s="9">
        <v>49225</v>
      </c>
      <c r="AB158" s="9">
        <v>74143</v>
      </c>
      <c r="AC158" s="9">
        <v>62529</v>
      </c>
      <c r="AD158" s="9">
        <v>56087</v>
      </c>
      <c r="AE158" s="7">
        <v>0.00100031413791265</v>
      </c>
      <c r="AF158" s="7">
        <v>0.0040115598637108897</v>
      </c>
      <c r="AG158" s="7">
        <v>0.0026758115737034599</v>
      </c>
      <c r="AH158" s="7">
        <v>0.0024073045876258901</v>
      </c>
      <c r="AI158" s="7">
        <v>0.00178299243953249</v>
      </c>
      <c r="AJ158" s="7">
        <v>0.00178189353432549</v>
      </c>
      <c r="AK158" s="7">
        <v>0.00187388222918804</v>
      </c>
      <c r="AL158" s="7">
        <v>0.0017287448368951499</v>
      </c>
      <c r="AM158" s="7">
        <v>0.0018971866671078799</v>
      </c>
      <c r="AN158" s="7">
        <v>0.0028575485366025598</v>
      </c>
      <c r="AO158" s="7">
        <v>0.0024099369405655999</v>
      </c>
      <c r="AP158" s="7">
        <v>0.0021616447748875902</v>
      </c>
      <c r="AQ158" s="9">
        <v>22835</v>
      </c>
    </row>
    <row r="159" spans="1:43" ht="15">
      <c r="A159" s="2" t="s">
        <v>566</v>
      </c>
      <c r="B159" s="5">
        <v>4183844</v>
      </c>
      <c r="C159" s="2" t="s">
        <v>23</v>
      </c>
      <c r="D159" s="2" t="s">
        <v>567</v>
      </c>
      <c r="E159" s="2" t="s">
        <v>568</v>
      </c>
      <c r="F159" s="2" t="s">
        <v>26</v>
      </c>
      <c r="G159" s="2" t="s">
        <v>26</v>
      </c>
      <c r="H159" s="2" t="s">
        <v>27</v>
      </c>
      <c r="I159" s="2" t="s">
        <v>40</v>
      </c>
      <c r="J159" s="6"/>
      <c r="K159" s="2" t="s">
        <v>226</v>
      </c>
      <c r="L159" s="2" t="s">
        <v>56</v>
      </c>
      <c r="M159" s="2" t="s">
        <v>227</v>
      </c>
      <c r="N159" s="2" t="s">
        <v>226</v>
      </c>
      <c r="O159" s="2"/>
      <c r="P159" s="7">
        <v>14264.782729844401</v>
      </c>
      <c r="Q159" s="6" t="s">
        <v>57</v>
      </c>
      <c r="R159" s="9">
        <v>117912</v>
      </c>
      <c r="S159" s="2" t="s">
        <v>569</v>
      </c>
      <c r="T159" s="9">
        <v>104141</v>
      </c>
      <c r="U159" s="9">
        <v>139080</v>
      </c>
      <c r="V159" s="9">
        <v>129676</v>
      </c>
      <c r="W159" s="9">
        <v>134489</v>
      </c>
      <c r="X159" s="9">
        <v>134146</v>
      </c>
      <c r="Y159" s="9">
        <v>131645</v>
      </c>
      <c r="Z159" s="9">
        <v>132729</v>
      </c>
      <c r="AA159" s="9">
        <v>123342</v>
      </c>
      <c r="AB159" s="9">
        <v>141878</v>
      </c>
      <c r="AC159" s="9">
        <v>126882</v>
      </c>
      <c r="AD159" s="9">
        <v>142947</v>
      </c>
      <c r="AE159" s="7">
        <v>0.269692824237244</v>
      </c>
      <c r="AF159" s="7">
        <v>0.23819603014535401</v>
      </c>
      <c r="AG159" s="7">
        <v>0.31811003432157903</v>
      </c>
      <c r="AH159" s="7">
        <v>0.29660032264055802</v>
      </c>
      <c r="AI159" s="7">
        <v>0.30760911502004401</v>
      </c>
      <c r="AJ159" s="7">
        <v>0.30682427829551101</v>
      </c>
      <c r="AK159" s="7">
        <v>0.30110402714715001</v>
      </c>
      <c r="AL159" s="7">
        <v>0.303583487966881</v>
      </c>
      <c r="AM159" s="7">
        <v>0.28211362230335002</v>
      </c>
      <c r="AN159" s="7">
        <v>0.32450855580518401</v>
      </c>
      <c r="AO159" s="7">
        <v>0.29021040028408901</v>
      </c>
      <c r="AP159" s="7">
        <v>0.32695335163296302</v>
      </c>
      <c r="AQ159" s="9">
        <v>100099</v>
      </c>
    </row>
    <row r="160" spans="1:43" ht="15">
      <c r="A160" s="2" t="s">
        <v>570</v>
      </c>
      <c r="B160" s="5">
        <v>4400064</v>
      </c>
      <c r="C160" s="2" t="s">
        <v>35</v>
      </c>
      <c r="D160" s="2" t="s">
        <v>571</v>
      </c>
      <c r="E160" s="2" t="s">
        <v>572</v>
      </c>
      <c r="F160" s="2" t="s">
        <v>38</v>
      </c>
      <c r="G160" s="2" t="s">
        <v>38</v>
      </c>
      <c r="H160" s="2" t="s">
        <v>39</v>
      </c>
      <c r="I160" s="2" t="s">
        <v>40</v>
      </c>
      <c r="J160" s="6"/>
      <c r="K160" s="2" t="s">
        <v>226</v>
      </c>
      <c r="L160" s="2" t="s">
        <v>56</v>
      </c>
      <c r="M160" s="2" t="s">
        <v>227</v>
      </c>
      <c r="N160" s="2" t="s">
        <v>226</v>
      </c>
      <c r="O160" s="2"/>
      <c r="P160" s="7">
        <v>898.08705251133699</v>
      </c>
      <c r="Q160" s="6" t="s">
        <v>57</v>
      </c>
      <c r="R160" s="9">
        <v>1520</v>
      </c>
      <c r="S160" s="2" t="s">
        <v>573</v>
      </c>
      <c r="T160" s="9">
        <v>673</v>
      </c>
      <c r="U160" s="9">
        <v>987</v>
      </c>
      <c r="V160" s="9">
        <v>440</v>
      </c>
      <c r="W160" s="9">
        <v>4249</v>
      </c>
      <c r="X160" s="9">
        <v>4232</v>
      </c>
      <c r="Y160" s="9">
        <v>2224</v>
      </c>
      <c r="Z160" s="9">
        <v>1520</v>
      </c>
      <c r="AA160" s="9">
        <v>999</v>
      </c>
      <c r="AB160" s="9">
        <v>1116</v>
      </c>
      <c r="AC160" s="9">
        <v>463</v>
      </c>
      <c r="AD160" s="9">
        <v>8468</v>
      </c>
      <c r="AE160" s="7">
        <v>0.0048749286071516299</v>
      </c>
      <c r="AF160" s="7">
        <v>0.0021595078479048901</v>
      </c>
      <c r="AG160" s="7">
        <v>0.0031644759352703498</v>
      </c>
      <c r="AH160" s="7">
        <v>0.0014107429291101399</v>
      </c>
      <c r="AI160" s="7">
        <v>0.0136279172983388</v>
      </c>
      <c r="AJ160" s="7">
        <v>0.0135720651782636</v>
      </c>
      <c r="AK160" s="7">
        <v>0.00713292145124232</v>
      </c>
      <c r="AL160" s="7">
        <v>0.0048737105760249498</v>
      </c>
      <c r="AM160" s="7">
        <v>0.00320470968128474</v>
      </c>
      <c r="AN160" s="7">
        <v>0.0035797302968097102</v>
      </c>
      <c r="AO160" s="7">
        <v>0.00148371239096067</v>
      </c>
      <c r="AP160" s="7">
        <v>0.027159642746173999</v>
      </c>
      <c r="AQ160" s="9">
        <v>0</v>
      </c>
    </row>
    <row r="161" spans="1:43" ht="15">
      <c r="A161" s="2" t="s">
        <v>574</v>
      </c>
      <c r="B161" s="5">
        <v>4396304</v>
      </c>
      <c r="C161" s="2" t="s">
        <v>23</v>
      </c>
      <c r="D161" s="2" t="s">
        <v>575</v>
      </c>
      <c r="E161" s="2" t="s">
        <v>576</v>
      </c>
      <c r="F161" s="2" t="s">
        <v>26</v>
      </c>
      <c r="G161" s="2" t="s">
        <v>26</v>
      </c>
      <c r="H161" s="2" t="s">
        <v>27</v>
      </c>
      <c r="I161" s="2" t="s">
        <v>40</v>
      </c>
      <c r="J161" s="6"/>
      <c r="K161" s="2" t="s">
        <v>226</v>
      </c>
      <c r="L161" s="2" t="s">
        <v>56</v>
      </c>
      <c r="M161" s="2" t="s">
        <v>227</v>
      </c>
      <c r="N161" s="2" t="s">
        <v>226</v>
      </c>
      <c r="O161" s="2"/>
      <c r="P161" s="7">
        <v>620.13681599302095</v>
      </c>
      <c r="Q161" s="6" t="s">
        <v>57</v>
      </c>
      <c r="R161" s="9">
        <v>0</v>
      </c>
      <c r="S161" s="2" t="s">
        <v>577</v>
      </c>
      <c r="T161" s="9">
        <v>500</v>
      </c>
      <c r="U161" s="9">
        <v>316</v>
      </c>
      <c r="V161" s="9">
        <v>290</v>
      </c>
      <c r="W161" s="9">
        <v>99</v>
      </c>
      <c r="X161" s="9">
        <v>98</v>
      </c>
      <c r="Y161" s="9">
        <v>12546</v>
      </c>
      <c r="Z161" s="9">
        <v>8384</v>
      </c>
      <c r="AA161" s="9">
        <v>5044</v>
      </c>
      <c r="AB161" s="9">
        <v>148</v>
      </c>
      <c r="AC161" s="9">
        <v>305</v>
      </c>
      <c r="AD161" s="9">
        <v>156</v>
      </c>
      <c r="AE161" s="7">
        <v>0</v>
      </c>
      <c r="AF161" s="7">
        <v>5.3482103407922003E-05</v>
      </c>
      <c r="AG161" s="7">
        <v>3.3778405144053398E-05</v>
      </c>
      <c r="AH161" s="7">
        <v>3.1046361028298803E-05</v>
      </c>
      <c r="AI161" s="7">
        <v>1.0561534091463201E-05</v>
      </c>
      <c r="AJ161" s="7">
        <v>1.0519287955097399E-05</v>
      </c>
      <c r="AK161" s="7">
        <v>0.00134197423002997</v>
      </c>
      <c r="AL161" s="7">
        <v>0.00089673571829352596</v>
      </c>
      <c r="AM161" s="7">
        <v>0.00053951354094497798</v>
      </c>
      <c r="AN161" s="7">
        <v>1.5789954339481698E-05</v>
      </c>
      <c r="AO161" s="7">
        <v>3.2573231242805199E-05</v>
      </c>
      <c r="AP161" s="7">
        <v>1.6674339659276301E-05</v>
      </c>
      <c r="AQ161" s="9">
        <v>0</v>
      </c>
    </row>
    <row r="162" spans="1:43" ht="15">
      <c r="A162" s="2" t="s">
        <v>578</v>
      </c>
      <c r="B162" s="5">
        <v>4402621</v>
      </c>
      <c r="C162" s="2" t="s">
        <v>46</v>
      </c>
      <c r="D162" s="2" t="s">
        <v>579</v>
      </c>
      <c r="E162" s="2" t="s">
        <v>580</v>
      </c>
      <c r="F162" s="2" t="s">
        <v>49</v>
      </c>
      <c r="G162" s="2" t="s">
        <v>49</v>
      </c>
      <c r="H162" s="2" t="s">
        <v>50</v>
      </c>
      <c r="I162" s="2" t="s">
        <v>40</v>
      </c>
      <c r="J162" s="6"/>
      <c r="K162" s="2" t="s">
        <v>226</v>
      </c>
      <c r="L162" s="2" t="s">
        <v>56</v>
      </c>
      <c r="M162" s="2" t="s">
        <v>227</v>
      </c>
      <c r="N162" s="2" t="s">
        <v>226</v>
      </c>
      <c r="O162" s="2"/>
      <c r="P162" s="7">
        <v>3801.62474962837</v>
      </c>
      <c r="Q162" s="6" t="s">
        <v>57</v>
      </c>
      <c r="R162" s="9">
        <v>16909</v>
      </c>
      <c r="S162" s="2" t="s">
        <v>581</v>
      </c>
      <c r="T162" s="9">
        <v>7190</v>
      </c>
      <c r="U162" s="9">
        <v>3768</v>
      </c>
      <c r="V162" s="9">
        <v>3392</v>
      </c>
      <c r="W162" s="9">
        <v>3251</v>
      </c>
      <c r="X162" s="9">
        <v>3240</v>
      </c>
      <c r="Y162" s="9">
        <v>4533</v>
      </c>
      <c r="Z162" s="9">
        <v>4255</v>
      </c>
      <c r="AA162" s="9">
        <v>4012</v>
      </c>
      <c r="AB162" s="9">
        <v>4260</v>
      </c>
      <c r="AC162" s="9">
        <v>3543</v>
      </c>
      <c r="AD162" s="9">
        <v>4178</v>
      </c>
      <c r="AE162" s="7">
        <v>0.0012588824865717499</v>
      </c>
      <c r="AF162" s="7">
        <v>0.00053532690020987195</v>
      </c>
      <c r="AG162" s="7">
        <v>0.00028054065486821903</v>
      </c>
      <c r="AH162" s="7">
        <v>0.00025252939965018402</v>
      </c>
      <c r="AI162" s="7">
        <v>0.00024205361026552401</v>
      </c>
      <c r="AJ162" s="7">
        <v>0.000241211667504222</v>
      </c>
      <c r="AK162" s="7">
        <v>0.00033747726171178699</v>
      </c>
      <c r="AL162" s="7">
        <v>0.00031680740509274798</v>
      </c>
      <c r="AM162" s="7">
        <v>0.00029872005324944</v>
      </c>
      <c r="AN162" s="7">
        <v>0.00031718597904728502</v>
      </c>
      <c r="AO162" s="7">
        <v>0.00026377594408618098</v>
      </c>
      <c r="AP162" s="7">
        <v>0.00031107874667343701</v>
      </c>
      <c r="AQ162" s="9">
        <v>1388</v>
      </c>
    </row>
    <row r="163" spans="1:43" ht="15">
      <c r="A163" s="2" t="s">
        <v>582</v>
      </c>
      <c r="B163" s="5">
        <v>4135292</v>
      </c>
      <c r="C163" s="2" t="s">
        <v>23</v>
      </c>
      <c r="D163" s="2" t="s">
        <v>583</v>
      </c>
      <c r="E163" s="2" t="s">
        <v>584</v>
      </c>
      <c r="F163" s="2" t="s">
        <v>26</v>
      </c>
      <c r="G163" s="2" t="s">
        <v>26</v>
      </c>
      <c r="H163" s="2" t="s">
        <v>27</v>
      </c>
      <c r="I163" s="2" t="s">
        <v>28</v>
      </c>
      <c r="J163" s="6"/>
      <c r="K163" s="2" t="s">
        <v>226</v>
      </c>
      <c r="L163" s="2" t="s">
        <v>56</v>
      </c>
      <c r="M163" s="2" t="s">
        <v>227</v>
      </c>
      <c r="N163" s="2" t="s">
        <v>226</v>
      </c>
      <c r="O163" s="2"/>
      <c r="P163" s="7">
        <v>4270.0649004809102</v>
      </c>
      <c r="Q163" s="6" t="s">
        <v>57</v>
      </c>
      <c r="R163" s="9">
        <v>213911</v>
      </c>
      <c r="S163" s="2" t="s">
        <v>585</v>
      </c>
      <c r="T163" s="9">
        <v>240402</v>
      </c>
      <c r="U163" s="9">
        <v>411526</v>
      </c>
      <c r="V163" s="9">
        <v>314939</v>
      </c>
      <c r="W163" s="9">
        <v>221675</v>
      </c>
      <c r="X163" s="9">
        <v>221219</v>
      </c>
      <c r="Y163" s="9">
        <v>210301</v>
      </c>
      <c r="Z163" s="9">
        <v>212687</v>
      </c>
      <c r="AA163" s="9">
        <v>211241</v>
      </c>
      <c r="AB163" s="9">
        <v>408177</v>
      </c>
      <c r="AC163" s="9">
        <v>319984</v>
      </c>
      <c r="AD163" s="9">
        <v>280529</v>
      </c>
      <c r="AE163" s="7">
        <v>0.49438443979871799</v>
      </c>
      <c r="AF163" s="7">
        <v>0.55560999898975705</v>
      </c>
      <c r="AG163" s="7">
        <v>0.95110510903642398</v>
      </c>
      <c r="AH163" s="7">
        <v>0.727876845221609</v>
      </c>
      <c r="AI163" s="7">
        <v>0.51232930149131095</v>
      </c>
      <c r="AJ163" s="7">
        <v>0.51127502567720096</v>
      </c>
      <c r="AK163" s="7">
        <v>0.48604114815289501</v>
      </c>
      <c r="AL163" s="7">
        <v>0.49155503315862797</v>
      </c>
      <c r="AM163" s="7">
        <v>0.488213145598204</v>
      </c>
      <c r="AN163" s="7">
        <v>0.94336651782424497</v>
      </c>
      <c r="AO163" s="7">
        <v>0.73953712896428303</v>
      </c>
      <c r="AP163" s="7">
        <v>0.64834927115595697</v>
      </c>
      <c r="AQ163" s="9">
        <v>169819</v>
      </c>
    </row>
    <row r="164" spans="1:43" ht="15">
      <c r="A164" s="2" t="s">
        <v>586</v>
      </c>
      <c r="B164" s="5">
        <v>4396031</v>
      </c>
      <c r="C164" s="2" t="s">
        <v>46</v>
      </c>
      <c r="D164" s="2" t="s">
        <v>587</v>
      </c>
      <c r="E164" s="2" t="s">
        <v>588</v>
      </c>
      <c r="F164" s="2" t="s">
        <v>49</v>
      </c>
      <c r="G164" s="2" t="s">
        <v>49</v>
      </c>
      <c r="H164" s="2" t="s">
        <v>50</v>
      </c>
      <c r="I164" s="2" t="s">
        <v>28</v>
      </c>
      <c r="J164" s="6"/>
      <c r="K164" s="2" t="s">
        <v>226</v>
      </c>
      <c r="L164" s="2" t="s">
        <v>56</v>
      </c>
      <c r="M164" s="2" t="s">
        <v>227</v>
      </c>
      <c r="N164" s="2" t="s">
        <v>226</v>
      </c>
      <c r="O164" s="2"/>
      <c r="P164" s="7">
        <v>74.416664526487594</v>
      </c>
      <c r="Q164" s="6" t="s">
        <v>57</v>
      </c>
      <c r="R164" s="9">
        <v>0</v>
      </c>
      <c r="S164" s="2" t="s">
        <v>589</v>
      </c>
      <c r="T164" s="9">
        <v>0</v>
      </c>
      <c r="U164" s="9">
        <v>0</v>
      </c>
      <c r="V164" s="9">
        <v>0</v>
      </c>
      <c r="W164" s="9">
        <v>4</v>
      </c>
      <c r="X164" s="9">
        <v>4</v>
      </c>
      <c r="Y164" s="9">
        <v>160</v>
      </c>
      <c r="Z164" s="9">
        <v>115</v>
      </c>
      <c r="AA164" s="9">
        <v>106</v>
      </c>
      <c r="AB164" s="9">
        <v>0</v>
      </c>
      <c r="AC164" s="9">
        <v>0</v>
      </c>
      <c r="AD164" s="9">
        <v>8</v>
      </c>
      <c r="AE164" s="7">
        <v>0</v>
      </c>
      <c r="AF164" s="7">
        <v>0</v>
      </c>
      <c r="AG164" s="7">
        <v>0</v>
      </c>
      <c r="AH164" s="7">
        <v>0</v>
      </c>
      <c r="AI164" s="7">
        <v>1.58289641487515E-06</v>
      </c>
      <c r="AJ164" s="7">
        <v>1.57656482921565E-06</v>
      </c>
      <c r="AK164" s="7">
        <v>6.3116303794070097E-05</v>
      </c>
      <c r="AL164" s="7">
        <v>4.5199062610393099E-05</v>
      </c>
      <c r="AM164" s="7">
        <v>4.1840985400603501E-05</v>
      </c>
      <c r="AN164" s="7">
        <v>0</v>
      </c>
      <c r="AO164" s="7">
        <v>0</v>
      </c>
      <c r="AP164" s="7">
        <v>3.1785581234186399E-06</v>
      </c>
      <c r="AQ164" s="9">
        <v>0</v>
      </c>
    </row>
    <row r="165" spans="1:43" ht="15">
      <c r="A165" s="2" t="s">
        <v>590</v>
      </c>
      <c r="B165" s="5">
        <v>4396396</v>
      </c>
      <c r="C165" s="2" t="s">
        <v>35</v>
      </c>
      <c r="D165" s="2" t="s">
        <v>591</v>
      </c>
      <c r="E165" s="2" t="s">
        <v>592</v>
      </c>
      <c r="F165" s="2" t="s">
        <v>38</v>
      </c>
      <c r="G165" s="2" t="s">
        <v>38</v>
      </c>
      <c r="H165" s="2" t="s">
        <v>39</v>
      </c>
      <c r="I165" s="2" t="s">
        <v>40</v>
      </c>
      <c r="J165" s="6"/>
      <c r="K165" s="2" t="s">
        <v>226</v>
      </c>
      <c r="L165" s="2" t="s">
        <v>56</v>
      </c>
      <c r="M165" s="2" t="s">
        <v>227</v>
      </c>
      <c r="N165" s="2" t="s">
        <v>226</v>
      </c>
      <c r="O165" s="2"/>
      <c r="P165" s="7">
        <v>269.71556025147902</v>
      </c>
      <c r="Q165" s="6" t="s">
        <v>57</v>
      </c>
      <c r="R165" s="9">
        <v>0</v>
      </c>
      <c r="S165" s="2" t="s">
        <v>593</v>
      </c>
      <c r="T165" s="9">
        <v>0</v>
      </c>
      <c r="U165" s="9">
        <v>0</v>
      </c>
      <c r="V165" s="9">
        <v>682</v>
      </c>
      <c r="W165" s="9">
        <v>2567</v>
      </c>
      <c r="X165" s="9">
        <v>2556</v>
      </c>
      <c r="Y165" s="9">
        <v>2225</v>
      </c>
      <c r="Z165" s="9">
        <v>1886</v>
      </c>
      <c r="AA165" s="9">
        <v>1797</v>
      </c>
      <c r="AB165" s="9">
        <v>0</v>
      </c>
      <c r="AC165" s="9">
        <v>717</v>
      </c>
      <c r="AD165" s="9">
        <v>2267</v>
      </c>
      <c r="AE165" s="7">
        <v>0</v>
      </c>
      <c r="AF165" s="7">
        <v>0</v>
      </c>
      <c r="AG165" s="7">
        <v>0</v>
      </c>
      <c r="AH165" s="7">
        <v>4.3238538020591703E-05</v>
      </c>
      <c r="AI165" s="7">
        <v>0.00016274367980887699</v>
      </c>
      <c r="AJ165" s="7">
        <v>0.00016207669751457801</v>
      </c>
      <c r="AK165" s="7">
        <v>0.00014104058730677799</v>
      </c>
      <c r="AL165" s="7">
        <v>0.000119608779030784</v>
      </c>
      <c r="AM165" s="7">
        <v>0.00011393572852768</v>
      </c>
      <c r="AN165" s="7">
        <v>0</v>
      </c>
      <c r="AO165" s="7">
        <v>4.5475014125105098E-05</v>
      </c>
      <c r="AP165" s="7">
        <v>0.000143746626208556</v>
      </c>
      <c r="AQ165" s="9">
        <v>0</v>
      </c>
    </row>
    <row r="166" spans="1:43" ht="15">
      <c r="A166" s="2" t="s">
        <v>594</v>
      </c>
      <c r="B166" s="5">
        <v>4135291</v>
      </c>
      <c r="C166" s="2" t="s">
        <v>23</v>
      </c>
      <c r="D166" s="2" t="s">
        <v>595</v>
      </c>
      <c r="E166" s="2" t="s">
        <v>596</v>
      </c>
      <c r="F166" s="2" t="s">
        <v>26</v>
      </c>
      <c r="G166" s="2" t="s">
        <v>26</v>
      </c>
      <c r="H166" s="2" t="s">
        <v>27</v>
      </c>
      <c r="I166" s="2" t="s">
        <v>40</v>
      </c>
      <c r="J166" s="6"/>
      <c r="K166" s="2" t="s">
        <v>226</v>
      </c>
      <c r="L166" s="2" t="s">
        <v>56</v>
      </c>
      <c r="M166" s="2" t="s">
        <v>227</v>
      </c>
      <c r="N166" s="2" t="s">
        <v>226</v>
      </c>
      <c r="O166" s="2"/>
      <c r="P166" s="7">
        <v>15319.9917022957</v>
      </c>
      <c r="Q166" s="6" t="s">
        <v>57</v>
      </c>
      <c r="R166" s="9">
        <v>156157505</v>
      </c>
      <c r="S166" s="2" t="s">
        <v>597</v>
      </c>
      <c r="T166" s="9">
        <v>103833453</v>
      </c>
      <c r="U166" s="9">
        <v>129456739</v>
      </c>
      <c r="V166" s="9">
        <v>152162268</v>
      </c>
      <c r="W166" s="9">
        <v>138201117</v>
      </c>
      <c r="X166" s="9">
        <v>137985302</v>
      </c>
      <c r="Y166" s="9">
        <v>130294722</v>
      </c>
      <c r="Z166" s="9">
        <v>139763932</v>
      </c>
      <c r="AA166" s="9">
        <v>145570179</v>
      </c>
      <c r="AB166" s="9">
        <v>131672848</v>
      </c>
      <c r="AC166" s="9">
        <v>148784943</v>
      </c>
      <c r="AD166" s="9">
        <v>153068414</v>
      </c>
      <c r="AE166" s="7">
        <v>0.414329303702548</v>
      </c>
      <c r="AF166" s="7">
        <v>0.27549903589556302</v>
      </c>
      <c r="AG166" s="7">
        <v>0.34348474281241798</v>
      </c>
      <c r="AH166" s="7">
        <v>0.403728827598063</v>
      </c>
      <c r="AI166" s="7">
        <v>0.36668601067818601</v>
      </c>
      <c r="AJ166" s="7">
        <v>0.36611339337008197</v>
      </c>
      <c r="AK166" s="7">
        <v>0.34570814619141199</v>
      </c>
      <c r="AL166" s="7">
        <v>0.37083259511259198</v>
      </c>
      <c r="AM166" s="7">
        <v>0.38623818198836102</v>
      </c>
      <c r="AN166" s="7">
        <v>0.34936469744160698</v>
      </c>
      <c r="AO166" s="7">
        <v>0.39476784602156301</v>
      </c>
      <c r="AP166" s="7">
        <v>0.40613308471916298</v>
      </c>
      <c r="AQ166" s="9">
        <v>104008881</v>
      </c>
    </row>
    <row r="167" spans="1:43" ht="15">
      <c r="A167" s="2" t="s">
        <v>598</v>
      </c>
      <c r="B167" s="5">
        <v>4536293</v>
      </c>
      <c r="C167" s="2" t="s">
        <v>23</v>
      </c>
      <c r="D167" s="2" t="s">
        <v>599</v>
      </c>
      <c r="E167" s="2" t="s">
        <v>600</v>
      </c>
      <c r="F167" s="2" t="s">
        <v>26</v>
      </c>
      <c r="G167" s="2" t="s">
        <v>26</v>
      </c>
      <c r="H167" s="2" t="s">
        <v>27</v>
      </c>
      <c r="I167" s="2" t="s">
        <v>40</v>
      </c>
      <c r="J167" s="6"/>
      <c r="K167" s="2" t="s">
        <v>601</v>
      </c>
      <c r="L167" s="2" t="s">
        <v>56</v>
      </c>
      <c r="M167" s="2" t="s">
        <v>602</v>
      </c>
      <c r="N167" s="2" t="s">
        <v>601</v>
      </c>
      <c r="O167" s="2"/>
      <c r="P167" s="7">
        <v>1332.48320437085</v>
      </c>
      <c r="Q167" s="8">
        <v>1415.7447156010401</v>
      </c>
      <c r="R167" s="9">
        <v>30</v>
      </c>
      <c r="S167" s="2" t="s">
        <v>603</v>
      </c>
      <c r="T167" s="9">
        <v>6501</v>
      </c>
      <c r="U167" s="9">
        <v>9470</v>
      </c>
      <c r="V167" s="9">
        <v>45466</v>
      </c>
      <c r="W167" s="9">
        <v>34082</v>
      </c>
      <c r="X167" s="9">
        <v>33946</v>
      </c>
      <c r="Y167" s="9">
        <v>32735</v>
      </c>
      <c r="Z167" s="9">
        <v>35411</v>
      </c>
      <c r="AA167" s="9">
        <v>33434</v>
      </c>
      <c r="AB167" s="9">
        <v>9108</v>
      </c>
      <c r="AC167" s="9">
        <v>47697</v>
      </c>
      <c r="AD167" s="9">
        <v>53548</v>
      </c>
      <c r="AE167" s="7">
        <v>9.3746150079981605E-06</v>
      </c>
      <c r="AF167" s="7">
        <v>0.0020313749098442198</v>
      </c>
      <c r="AG167" s="7">
        <v>0.00295914930846911</v>
      </c>
      <c r="AH167" s="7">
        <v>0.014207551297012099</v>
      </c>
      <c r="AI167" s="7">
        <v>0.0106502641765008</v>
      </c>
      <c r="AJ167" s="7">
        <v>0.010607786864712899</v>
      </c>
      <c r="AK167" s="7">
        <v>0.0102293824702278</v>
      </c>
      <c r="AL167" s="7">
        <v>0.0110653754151884</v>
      </c>
      <c r="AM167" s="7">
        <v>0.010447560653638201</v>
      </c>
      <c r="AN167" s="7">
        <v>0.0028462670394997802</v>
      </c>
      <c r="AO167" s="7">
        <v>0.0149045672099648</v>
      </c>
      <c r="AP167" s="7">
        <v>0.016733105655925399</v>
      </c>
      <c r="AQ167" s="9">
        <v>60</v>
      </c>
    </row>
    <row r="168" spans="1:43" ht="15">
      <c r="A168" s="2" t="s">
        <v>604</v>
      </c>
      <c r="B168" s="5">
        <v>4813236</v>
      </c>
      <c r="C168" s="2" t="s">
        <v>46</v>
      </c>
      <c r="D168" s="2" t="s">
        <v>605</v>
      </c>
      <c r="E168" s="2" t="s">
        <v>606</v>
      </c>
      <c r="F168" s="2" t="s">
        <v>49</v>
      </c>
      <c r="G168" s="2" t="s">
        <v>49</v>
      </c>
      <c r="H168" s="2" t="s">
        <v>50</v>
      </c>
      <c r="I168" s="2" t="s">
        <v>40</v>
      </c>
      <c r="J168" s="6"/>
      <c r="K168" s="2" t="s">
        <v>607</v>
      </c>
      <c r="L168" s="2" t="s">
        <v>608</v>
      </c>
      <c r="M168" s="2" t="s">
        <v>609</v>
      </c>
      <c r="N168" s="2" t="s">
        <v>607</v>
      </c>
      <c r="O168" s="2"/>
      <c r="P168" s="7">
        <v>78.915492290111004</v>
      </c>
      <c r="Q168" s="8">
        <v>70.196746492814995</v>
      </c>
      <c r="R168" s="9">
        <v>0</v>
      </c>
      <c r="S168" s="2" t="s">
        <v>610</v>
      </c>
      <c r="T168" s="9">
        <v>0</v>
      </c>
      <c r="U168" s="9">
        <v>0</v>
      </c>
      <c r="V168" s="9">
        <v>0</v>
      </c>
      <c r="W168" s="9">
        <v>0</v>
      </c>
      <c r="X168" s="9">
        <v>0</v>
      </c>
      <c r="Y168" s="9">
        <v>0</v>
      </c>
      <c r="Z168" s="9">
        <v>23</v>
      </c>
      <c r="AA168" s="9">
        <v>15</v>
      </c>
      <c r="AB168" s="9">
        <v>0</v>
      </c>
      <c r="AC168" s="9">
        <v>0</v>
      </c>
      <c r="AD168" s="9">
        <v>0</v>
      </c>
      <c r="AE168" s="7">
        <v>0</v>
      </c>
      <c r="AF168" s="7">
        <v>0</v>
      </c>
      <c r="AG168" s="7">
        <v>0</v>
      </c>
      <c r="AH168" s="7">
        <v>0</v>
      </c>
      <c r="AI168" s="7">
        <v>0</v>
      </c>
      <c r="AJ168" s="7">
        <v>0</v>
      </c>
      <c r="AK168" s="7">
        <v>0</v>
      </c>
      <c r="AL168" s="7">
        <v>0.0128326311017976</v>
      </c>
      <c r="AM168" s="7">
        <v>0.0081123963612875303</v>
      </c>
      <c r="AN168" s="7">
        <v>0</v>
      </c>
      <c r="AO168" s="7">
        <v>0</v>
      </c>
      <c r="AP168" s="7">
        <v>0</v>
      </c>
      <c r="AQ168" s="9">
        <v>0</v>
      </c>
    </row>
    <row r="169" spans="1:43" ht="15">
      <c r="A169" s="2" t="s">
        <v>611</v>
      </c>
      <c r="B169" s="5">
        <v>114872974</v>
      </c>
      <c r="C169" s="2" t="s">
        <v>23</v>
      </c>
      <c r="D169" s="2" t="s">
        <v>612</v>
      </c>
      <c r="E169" s="2" t="s">
        <v>613</v>
      </c>
      <c r="F169" s="2" t="s">
        <v>26</v>
      </c>
      <c r="G169" s="2" t="s">
        <v>26</v>
      </c>
      <c r="H169" s="2" t="s">
        <v>27</v>
      </c>
      <c r="I169" s="2" t="s">
        <v>28</v>
      </c>
      <c r="J169" s="6"/>
      <c r="K169" s="2" t="s">
        <v>55</v>
      </c>
      <c r="L169" s="2" t="s">
        <v>56</v>
      </c>
      <c r="M169" s="2" t="s">
        <v>55</v>
      </c>
      <c r="N169" s="2"/>
      <c r="O169" s="2"/>
      <c r="P169" s="6" t="s">
        <v>57</v>
      </c>
      <c r="Q169" s="6" t="s">
        <v>57</v>
      </c>
      <c r="R169" s="6" t="s">
        <v>57</v>
      </c>
      <c r="S169" s="2"/>
      <c r="T169" s="6" t="s">
        <v>57</v>
      </c>
      <c r="U169" s="6" t="s">
        <v>57</v>
      </c>
      <c r="V169" s="6" t="s">
        <v>57</v>
      </c>
      <c r="W169" s="6" t="s">
        <v>57</v>
      </c>
      <c r="X169" s="6" t="s">
        <v>57</v>
      </c>
      <c r="Y169" s="6" t="s">
        <v>57</v>
      </c>
      <c r="Z169" s="6" t="s">
        <v>57</v>
      </c>
      <c r="AA169" s="6" t="s">
        <v>57</v>
      </c>
      <c r="AB169" s="6" t="s">
        <v>57</v>
      </c>
      <c r="AC169" s="6" t="s">
        <v>57</v>
      </c>
      <c r="AD169" s="6" t="s">
        <v>57</v>
      </c>
      <c r="AE169" s="6" t="s">
        <v>57</v>
      </c>
      <c r="AF169" s="6" t="s">
        <v>57</v>
      </c>
      <c r="AG169" s="6" t="s">
        <v>57</v>
      </c>
      <c r="AH169" s="6" t="s">
        <v>57</v>
      </c>
      <c r="AI169" s="6" t="s">
        <v>57</v>
      </c>
      <c r="AJ169" s="6" t="s">
        <v>57</v>
      </c>
      <c r="AK169" s="6" t="s">
        <v>57</v>
      </c>
      <c r="AL169" s="6" t="s">
        <v>57</v>
      </c>
      <c r="AM169" s="6" t="s">
        <v>57</v>
      </c>
      <c r="AN169" s="6" t="s">
        <v>57</v>
      </c>
      <c r="AO169" s="6" t="s">
        <v>57</v>
      </c>
      <c r="AP169" s="6" t="s">
        <v>57</v>
      </c>
      <c r="AQ169" s="6" t="s">
        <v>57</v>
      </c>
    </row>
    <row r="170" spans="1:43" ht="15">
      <c r="A170" s="2" t="s">
        <v>614</v>
      </c>
      <c r="B170" s="5">
        <v>119934807</v>
      </c>
      <c r="C170" s="2" t="s">
        <v>23</v>
      </c>
      <c r="D170" s="2" t="s">
        <v>615</v>
      </c>
      <c r="E170" s="2" t="s">
        <v>616</v>
      </c>
      <c r="F170" s="2" t="s">
        <v>26</v>
      </c>
      <c r="G170" s="2" t="s">
        <v>26</v>
      </c>
      <c r="H170" s="2" t="s">
        <v>27</v>
      </c>
      <c r="I170" s="2" t="s">
        <v>28</v>
      </c>
      <c r="J170" s="6"/>
      <c r="K170" s="2" t="s">
        <v>55</v>
      </c>
      <c r="L170" s="2" t="s">
        <v>56</v>
      </c>
      <c r="M170" s="2" t="s">
        <v>55</v>
      </c>
      <c r="N170" s="2"/>
      <c r="O170" s="2"/>
      <c r="P170" s="6" t="s">
        <v>57</v>
      </c>
      <c r="Q170" s="6" t="s">
        <v>57</v>
      </c>
      <c r="R170" s="6" t="s">
        <v>57</v>
      </c>
      <c r="S170" s="2"/>
      <c r="T170" s="6" t="s">
        <v>57</v>
      </c>
      <c r="U170" s="6" t="s">
        <v>57</v>
      </c>
      <c r="V170" s="6" t="s">
        <v>57</v>
      </c>
      <c r="W170" s="6" t="s">
        <v>57</v>
      </c>
      <c r="X170" s="6" t="s">
        <v>57</v>
      </c>
      <c r="Y170" s="6" t="s">
        <v>57</v>
      </c>
      <c r="Z170" s="6" t="s">
        <v>57</v>
      </c>
      <c r="AA170" s="6" t="s">
        <v>57</v>
      </c>
      <c r="AB170" s="6" t="s">
        <v>57</v>
      </c>
      <c r="AC170" s="6" t="s">
        <v>57</v>
      </c>
      <c r="AD170" s="6" t="s">
        <v>57</v>
      </c>
      <c r="AE170" s="6" t="s">
        <v>57</v>
      </c>
      <c r="AF170" s="6" t="s">
        <v>57</v>
      </c>
      <c r="AG170" s="6" t="s">
        <v>57</v>
      </c>
      <c r="AH170" s="6" t="s">
        <v>57</v>
      </c>
      <c r="AI170" s="6" t="s">
        <v>57</v>
      </c>
      <c r="AJ170" s="6" t="s">
        <v>57</v>
      </c>
      <c r="AK170" s="6" t="s">
        <v>57</v>
      </c>
      <c r="AL170" s="6" t="s">
        <v>57</v>
      </c>
      <c r="AM170" s="6" t="s">
        <v>57</v>
      </c>
      <c r="AN170" s="6" t="s">
        <v>57</v>
      </c>
      <c r="AO170" s="6" t="s">
        <v>57</v>
      </c>
      <c r="AP170" s="6" t="s">
        <v>57</v>
      </c>
      <c r="AQ170" s="6" t="s">
        <v>57</v>
      </c>
    </row>
    <row r="171" spans="1:43" ht="15">
      <c r="A171" s="2" t="s">
        <v>617</v>
      </c>
      <c r="B171" s="5">
        <v>116717350</v>
      </c>
      <c r="C171" s="2" t="s">
        <v>23</v>
      </c>
      <c r="D171" s="2" t="s">
        <v>618</v>
      </c>
      <c r="E171" s="2" t="s">
        <v>619</v>
      </c>
      <c r="F171" s="2" t="s">
        <v>26</v>
      </c>
      <c r="G171" s="2" t="s">
        <v>26</v>
      </c>
      <c r="H171" s="2" t="s">
        <v>27</v>
      </c>
      <c r="I171" s="2" t="s">
        <v>28</v>
      </c>
      <c r="J171" s="6"/>
      <c r="K171" s="2" t="s">
        <v>55</v>
      </c>
      <c r="L171" s="2" t="s">
        <v>56</v>
      </c>
      <c r="M171" s="2" t="s">
        <v>55</v>
      </c>
      <c r="N171" s="2"/>
      <c r="O171" s="2"/>
      <c r="P171" s="6" t="s">
        <v>57</v>
      </c>
      <c r="Q171" s="6" t="s">
        <v>57</v>
      </c>
      <c r="R171" s="6" t="s">
        <v>57</v>
      </c>
      <c r="S171" s="2"/>
      <c r="T171" s="6" t="s">
        <v>57</v>
      </c>
      <c r="U171" s="6" t="s">
        <v>57</v>
      </c>
      <c r="V171" s="6" t="s">
        <v>57</v>
      </c>
      <c r="W171" s="6" t="s">
        <v>57</v>
      </c>
      <c r="X171" s="6" t="s">
        <v>57</v>
      </c>
      <c r="Y171" s="6" t="s">
        <v>57</v>
      </c>
      <c r="Z171" s="6" t="s">
        <v>57</v>
      </c>
      <c r="AA171" s="6" t="s">
        <v>57</v>
      </c>
      <c r="AB171" s="6" t="s">
        <v>57</v>
      </c>
      <c r="AC171" s="6" t="s">
        <v>57</v>
      </c>
      <c r="AD171" s="6" t="s">
        <v>57</v>
      </c>
      <c r="AE171" s="6" t="s">
        <v>57</v>
      </c>
      <c r="AF171" s="6" t="s">
        <v>57</v>
      </c>
      <c r="AG171" s="6" t="s">
        <v>57</v>
      </c>
      <c r="AH171" s="6" t="s">
        <v>57</v>
      </c>
      <c r="AI171" s="6" t="s">
        <v>57</v>
      </c>
      <c r="AJ171" s="6" t="s">
        <v>57</v>
      </c>
      <c r="AK171" s="6" t="s">
        <v>57</v>
      </c>
      <c r="AL171" s="6" t="s">
        <v>57</v>
      </c>
      <c r="AM171" s="6" t="s">
        <v>57</v>
      </c>
      <c r="AN171" s="6" t="s">
        <v>57</v>
      </c>
      <c r="AO171" s="6" t="s">
        <v>57</v>
      </c>
      <c r="AP171" s="6" t="s">
        <v>57</v>
      </c>
      <c r="AQ171" s="6" t="s">
        <v>57</v>
      </c>
    </row>
    <row r="172" spans="1:43" ht="15">
      <c r="A172" s="2" t="s">
        <v>620</v>
      </c>
      <c r="B172" s="5">
        <v>142719880</v>
      </c>
      <c r="C172" s="2" t="s">
        <v>23</v>
      </c>
      <c r="D172" s="2" t="s">
        <v>621</v>
      </c>
      <c r="E172" s="2" t="s">
        <v>622</v>
      </c>
      <c r="F172" s="2" t="s">
        <v>26</v>
      </c>
      <c r="G172" s="2" t="s">
        <v>26</v>
      </c>
      <c r="H172" s="2" t="s">
        <v>27</v>
      </c>
      <c r="I172" s="2" t="s">
        <v>28</v>
      </c>
      <c r="J172" s="6"/>
      <c r="K172" s="2" t="s">
        <v>55</v>
      </c>
      <c r="L172" s="2" t="s">
        <v>56</v>
      </c>
      <c r="M172" s="2" t="s">
        <v>55</v>
      </c>
      <c r="N172" s="2"/>
      <c r="O172" s="2"/>
      <c r="P172" s="6" t="s">
        <v>57</v>
      </c>
      <c r="Q172" s="6" t="s">
        <v>57</v>
      </c>
      <c r="R172" s="9">
        <v>0</v>
      </c>
      <c r="S172" s="2"/>
      <c r="T172" s="9">
        <v>0</v>
      </c>
      <c r="U172" s="9">
        <v>0</v>
      </c>
      <c r="V172" s="9">
        <v>0</v>
      </c>
      <c r="W172" s="9">
        <v>2</v>
      </c>
      <c r="X172" s="9">
        <v>2</v>
      </c>
      <c r="Y172" s="9">
        <v>2</v>
      </c>
      <c r="Z172" s="9">
        <v>2</v>
      </c>
      <c r="AA172" s="9">
        <v>2</v>
      </c>
      <c r="AB172" s="9">
        <v>0</v>
      </c>
      <c r="AC172" s="9">
        <v>0</v>
      </c>
      <c r="AD172" s="9">
        <v>1</v>
      </c>
      <c r="AE172" s="6" t="s">
        <v>57</v>
      </c>
      <c r="AF172" s="6" t="s">
        <v>57</v>
      </c>
      <c r="AG172" s="6" t="s">
        <v>57</v>
      </c>
      <c r="AH172" s="6" t="s">
        <v>57</v>
      </c>
      <c r="AI172" s="6" t="s">
        <v>57</v>
      </c>
      <c r="AJ172" s="6" t="s">
        <v>57</v>
      </c>
      <c r="AK172" s="6" t="s">
        <v>57</v>
      </c>
      <c r="AL172" s="6" t="s">
        <v>57</v>
      </c>
      <c r="AM172" s="6" t="s">
        <v>57</v>
      </c>
      <c r="AN172" s="6" t="s">
        <v>57</v>
      </c>
      <c r="AO172" s="6" t="s">
        <v>57</v>
      </c>
      <c r="AP172" s="6" t="s">
        <v>57</v>
      </c>
      <c r="AQ172" s="9">
        <v>0</v>
      </c>
    </row>
    <row r="173" spans="1:43" ht="15">
      <c r="A173" s="2" t="s">
        <v>623</v>
      </c>
      <c r="B173" s="5">
        <v>142583303</v>
      </c>
      <c r="C173" s="2" t="s">
        <v>23</v>
      </c>
      <c r="D173" s="2" t="s">
        <v>624</v>
      </c>
      <c r="E173" s="2" t="s">
        <v>625</v>
      </c>
      <c r="F173" s="2" t="s">
        <v>26</v>
      </c>
      <c r="G173" s="2"/>
      <c r="H173" s="2"/>
      <c r="I173" s="2" t="s">
        <v>28</v>
      </c>
      <c r="J173" s="6"/>
      <c r="K173" s="2" t="s">
        <v>55</v>
      </c>
      <c r="L173" s="2" t="s">
        <v>56</v>
      </c>
      <c r="M173" s="2" t="s">
        <v>55</v>
      </c>
      <c r="N173" s="2"/>
      <c r="O173" s="2"/>
      <c r="P173" s="6" t="s">
        <v>57</v>
      </c>
      <c r="Q173" s="6" t="s">
        <v>57</v>
      </c>
      <c r="R173" s="9">
        <v>0</v>
      </c>
      <c r="S173" s="2"/>
      <c r="T173" s="9">
        <v>0</v>
      </c>
      <c r="U173" s="9">
        <v>0</v>
      </c>
      <c r="V173" s="9">
        <v>256</v>
      </c>
      <c r="W173" s="9">
        <v>24276</v>
      </c>
      <c r="X173" s="9">
        <v>24276</v>
      </c>
      <c r="Y173" s="9">
        <v>24276</v>
      </c>
      <c r="Z173" s="9">
        <v>24276</v>
      </c>
      <c r="AA173" s="9">
        <v>24276</v>
      </c>
      <c r="AB173" s="9">
        <v>0</v>
      </c>
      <c r="AC173" s="9">
        <v>268</v>
      </c>
      <c r="AD173" s="9">
        <v>16461</v>
      </c>
      <c r="AE173" s="6" t="s">
        <v>57</v>
      </c>
      <c r="AF173" s="6" t="s">
        <v>57</v>
      </c>
      <c r="AG173" s="6" t="s">
        <v>57</v>
      </c>
      <c r="AH173" s="6" t="s">
        <v>57</v>
      </c>
      <c r="AI173" s="6" t="s">
        <v>57</v>
      </c>
      <c r="AJ173" s="6" t="s">
        <v>57</v>
      </c>
      <c r="AK173" s="6" t="s">
        <v>57</v>
      </c>
      <c r="AL173" s="6" t="s">
        <v>57</v>
      </c>
      <c r="AM173" s="6" t="s">
        <v>57</v>
      </c>
      <c r="AN173" s="6" t="s">
        <v>57</v>
      </c>
      <c r="AO173" s="6" t="s">
        <v>57</v>
      </c>
      <c r="AP173" s="6" t="s">
        <v>57</v>
      </c>
      <c r="AQ173" s="9">
        <v>0</v>
      </c>
    </row>
    <row r="174" spans="1:43" ht="15">
      <c r="A174" s="2" t="s">
        <v>626</v>
      </c>
      <c r="B174" s="5">
        <v>29178109</v>
      </c>
      <c r="C174" s="2" t="s">
        <v>23</v>
      </c>
      <c r="D174" s="2" t="s">
        <v>627</v>
      </c>
      <c r="E174" s="2" t="s">
        <v>628</v>
      </c>
      <c r="F174" s="2" t="s">
        <v>26</v>
      </c>
      <c r="G174" s="2" t="s">
        <v>26</v>
      </c>
      <c r="H174" s="2" t="s">
        <v>27</v>
      </c>
      <c r="I174" s="2" t="s">
        <v>28</v>
      </c>
      <c r="J174" s="6"/>
      <c r="K174" s="2" t="s">
        <v>55</v>
      </c>
      <c r="L174" s="2" t="s">
        <v>56</v>
      </c>
      <c r="M174" s="2" t="s">
        <v>55</v>
      </c>
      <c r="N174" s="2"/>
      <c r="O174" s="2"/>
      <c r="P174" s="6" t="s">
        <v>57</v>
      </c>
      <c r="Q174" s="6" t="s">
        <v>57</v>
      </c>
      <c r="R174" s="9">
        <v>0</v>
      </c>
      <c r="S174" s="2"/>
      <c r="T174" s="9">
        <v>0</v>
      </c>
      <c r="U174" s="9">
        <v>1600</v>
      </c>
      <c r="V174" s="9">
        <v>602</v>
      </c>
      <c r="W174" s="9">
        <v>502</v>
      </c>
      <c r="X174" s="9">
        <v>500</v>
      </c>
      <c r="Y174" s="9">
        <v>725</v>
      </c>
      <c r="Z174" s="9">
        <v>573</v>
      </c>
      <c r="AA174" s="9">
        <v>539</v>
      </c>
      <c r="AB174" s="9">
        <v>1829</v>
      </c>
      <c r="AC174" s="9">
        <v>632</v>
      </c>
      <c r="AD174" s="9">
        <v>502</v>
      </c>
      <c r="AE174" s="6" t="s">
        <v>57</v>
      </c>
      <c r="AF174" s="6" t="s">
        <v>57</v>
      </c>
      <c r="AG174" s="6" t="s">
        <v>57</v>
      </c>
      <c r="AH174" s="6" t="s">
        <v>57</v>
      </c>
      <c r="AI174" s="6" t="s">
        <v>57</v>
      </c>
      <c r="AJ174" s="6" t="s">
        <v>57</v>
      </c>
      <c r="AK174" s="6" t="s">
        <v>57</v>
      </c>
      <c r="AL174" s="6" t="s">
        <v>57</v>
      </c>
      <c r="AM174" s="6" t="s">
        <v>57</v>
      </c>
      <c r="AN174" s="6" t="s">
        <v>57</v>
      </c>
      <c r="AO174" s="6" t="s">
        <v>57</v>
      </c>
      <c r="AP174" s="6" t="s">
        <v>57</v>
      </c>
      <c r="AQ174" s="9">
        <v>0</v>
      </c>
    </row>
    <row r="175" spans="1:43" ht="15">
      <c r="A175" s="2" t="s">
        <v>629</v>
      </c>
      <c r="B175" s="5">
        <v>13077403</v>
      </c>
      <c r="C175" s="2" t="s">
        <v>23</v>
      </c>
      <c r="D175" s="2" t="s">
        <v>630</v>
      </c>
      <c r="E175" s="2" t="s">
        <v>631</v>
      </c>
      <c r="F175" s="2" t="s">
        <v>26</v>
      </c>
      <c r="G175" s="2" t="s">
        <v>26</v>
      </c>
      <c r="H175" s="2" t="s">
        <v>27</v>
      </c>
      <c r="I175" s="2" t="s">
        <v>28</v>
      </c>
      <c r="J175" s="6"/>
      <c r="K175" s="2" t="s">
        <v>55</v>
      </c>
      <c r="L175" s="2" t="s">
        <v>56</v>
      </c>
      <c r="M175" s="2" t="s">
        <v>55</v>
      </c>
      <c r="N175" s="2"/>
      <c r="O175" s="2"/>
      <c r="P175" s="6" t="s">
        <v>57</v>
      </c>
      <c r="Q175" s="6" t="s">
        <v>57</v>
      </c>
      <c r="R175" s="9">
        <v>0</v>
      </c>
      <c r="S175" s="2"/>
      <c r="T175" s="9">
        <v>0</v>
      </c>
      <c r="U175" s="9">
        <v>0</v>
      </c>
      <c r="V175" s="9">
        <v>0</v>
      </c>
      <c r="W175" s="9">
        <v>0</v>
      </c>
      <c r="X175" s="9">
        <v>0</v>
      </c>
      <c r="Y175" s="9">
        <v>0</v>
      </c>
      <c r="Z175" s="9">
        <v>0</v>
      </c>
      <c r="AA175" s="9">
        <v>0</v>
      </c>
      <c r="AB175" s="9">
        <v>0</v>
      </c>
      <c r="AC175" s="9">
        <v>0</v>
      </c>
      <c r="AD175" s="9">
        <v>0</v>
      </c>
      <c r="AE175" s="6" t="s">
        <v>57</v>
      </c>
      <c r="AF175" s="6" t="s">
        <v>57</v>
      </c>
      <c r="AG175" s="6" t="s">
        <v>57</v>
      </c>
      <c r="AH175" s="6" t="s">
        <v>57</v>
      </c>
      <c r="AI175" s="6" t="s">
        <v>57</v>
      </c>
      <c r="AJ175" s="6" t="s">
        <v>57</v>
      </c>
      <c r="AK175" s="6" t="s">
        <v>57</v>
      </c>
      <c r="AL175" s="6" t="s">
        <v>57</v>
      </c>
      <c r="AM175" s="6" t="s">
        <v>57</v>
      </c>
      <c r="AN175" s="6" t="s">
        <v>57</v>
      </c>
      <c r="AO175" s="6" t="s">
        <v>57</v>
      </c>
      <c r="AP175" s="6" t="s">
        <v>57</v>
      </c>
      <c r="AQ175" s="9">
        <v>0</v>
      </c>
    </row>
    <row r="176" spans="1:43" ht="15">
      <c r="A176" s="2" t="s">
        <v>632</v>
      </c>
      <c r="B176" s="5">
        <v>111422175</v>
      </c>
      <c r="C176" s="2" t="s">
        <v>23</v>
      </c>
      <c r="D176" s="2" t="s">
        <v>633</v>
      </c>
      <c r="E176" s="2" t="s">
        <v>634</v>
      </c>
      <c r="F176" s="2" t="s">
        <v>26</v>
      </c>
      <c r="G176" s="2" t="s">
        <v>26</v>
      </c>
      <c r="H176" s="2" t="s">
        <v>27</v>
      </c>
      <c r="I176" s="2" t="s">
        <v>28</v>
      </c>
      <c r="J176" s="6"/>
      <c r="K176" s="2" t="s">
        <v>55</v>
      </c>
      <c r="L176" s="2" t="s">
        <v>56</v>
      </c>
      <c r="M176" s="2" t="s">
        <v>55</v>
      </c>
      <c r="N176" s="2"/>
      <c r="O176" s="2"/>
      <c r="P176" s="6" t="s">
        <v>57</v>
      </c>
      <c r="Q176" s="6" t="s">
        <v>57</v>
      </c>
      <c r="R176" s="9">
        <v>0</v>
      </c>
      <c r="S176" s="2"/>
      <c r="T176" s="9">
        <v>0</v>
      </c>
      <c r="U176" s="9">
        <v>0</v>
      </c>
      <c r="V176" s="9">
        <v>0</v>
      </c>
      <c r="W176" s="9">
        <v>0</v>
      </c>
      <c r="X176" s="9">
        <v>0</v>
      </c>
      <c r="Y176" s="9">
        <v>0</v>
      </c>
      <c r="Z176" s="9">
        <v>0</v>
      </c>
      <c r="AA176" s="9">
        <v>8</v>
      </c>
      <c r="AB176" s="9">
        <v>0</v>
      </c>
      <c r="AC176" s="9">
        <v>0</v>
      </c>
      <c r="AD176" s="9">
        <v>0</v>
      </c>
      <c r="AE176" s="6" t="s">
        <v>57</v>
      </c>
      <c r="AF176" s="6" t="s">
        <v>57</v>
      </c>
      <c r="AG176" s="6" t="s">
        <v>57</v>
      </c>
      <c r="AH176" s="6" t="s">
        <v>57</v>
      </c>
      <c r="AI176" s="6" t="s">
        <v>57</v>
      </c>
      <c r="AJ176" s="6" t="s">
        <v>57</v>
      </c>
      <c r="AK176" s="6" t="s">
        <v>57</v>
      </c>
      <c r="AL176" s="6" t="s">
        <v>57</v>
      </c>
      <c r="AM176" s="6" t="s">
        <v>57</v>
      </c>
      <c r="AN176" s="6" t="s">
        <v>57</v>
      </c>
      <c r="AO176" s="6" t="s">
        <v>57</v>
      </c>
      <c r="AP176" s="6" t="s">
        <v>57</v>
      </c>
      <c r="AQ176" s="9">
        <v>0</v>
      </c>
    </row>
    <row r="177" spans="1:43" ht="15">
      <c r="A177" s="2" t="s">
        <v>635</v>
      </c>
      <c r="B177" s="5">
        <v>124707035</v>
      </c>
      <c r="C177" s="2" t="s">
        <v>23</v>
      </c>
      <c r="D177" s="2" t="s">
        <v>636</v>
      </c>
      <c r="E177" s="2" t="s">
        <v>637</v>
      </c>
      <c r="F177" s="2" t="s">
        <v>26</v>
      </c>
      <c r="G177" s="2" t="s">
        <v>26</v>
      </c>
      <c r="H177" s="2" t="s">
        <v>27</v>
      </c>
      <c r="I177" s="2" t="s">
        <v>28</v>
      </c>
      <c r="J177" s="6"/>
      <c r="K177" s="2" t="s">
        <v>55</v>
      </c>
      <c r="L177" s="2" t="s">
        <v>56</v>
      </c>
      <c r="M177" s="2" t="s">
        <v>55</v>
      </c>
      <c r="N177" s="2"/>
      <c r="O177" s="2"/>
      <c r="P177" s="6" t="s">
        <v>57</v>
      </c>
      <c r="Q177" s="6" t="s">
        <v>57</v>
      </c>
      <c r="R177" s="6" t="s">
        <v>57</v>
      </c>
      <c r="S177" s="2"/>
      <c r="T177" s="6" t="s">
        <v>57</v>
      </c>
      <c r="U177" s="6" t="s">
        <v>57</v>
      </c>
      <c r="V177" s="6" t="s">
        <v>57</v>
      </c>
      <c r="W177" s="6" t="s">
        <v>57</v>
      </c>
      <c r="X177" s="6" t="s">
        <v>57</v>
      </c>
      <c r="Y177" s="6" t="s">
        <v>57</v>
      </c>
      <c r="Z177" s="6" t="s">
        <v>57</v>
      </c>
      <c r="AA177" s="6" t="s">
        <v>57</v>
      </c>
      <c r="AB177" s="6" t="s">
        <v>57</v>
      </c>
      <c r="AC177" s="6" t="s">
        <v>57</v>
      </c>
      <c r="AD177" s="6" t="s">
        <v>57</v>
      </c>
      <c r="AE177" s="6" t="s">
        <v>57</v>
      </c>
      <c r="AF177" s="6" t="s">
        <v>57</v>
      </c>
      <c r="AG177" s="6" t="s">
        <v>57</v>
      </c>
      <c r="AH177" s="6" t="s">
        <v>57</v>
      </c>
      <c r="AI177" s="6" t="s">
        <v>57</v>
      </c>
      <c r="AJ177" s="6" t="s">
        <v>57</v>
      </c>
      <c r="AK177" s="6" t="s">
        <v>57</v>
      </c>
      <c r="AL177" s="6" t="s">
        <v>57</v>
      </c>
      <c r="AM177" s="6" t="s">
        <v>57</v>
      </c>
      <c r="AN177" s="6" t="s">
        <v>57</v>
      </c>
      <c r="AO177" s="6" t="s">
        <v>57</v>
      </c>
      <c r="AP177" s="6" t="s">
        <v>57</v>
      </c>
      <c r="AQ177" s="6" t="s">
        <v>57</v>
      </c>
    </row>
    <row r="178" spans="1:43" ht="15">
      <c r="A178" s="2" t="s">
        <v>638</v>
      </c>
      <c r="B178" s="5">
        <v>5738713</v>
      </c>
      <c r="C178" s="2" t="s">
        <v>23</v>
      </c>
      <c r="D178" s="2" t="s">
        <v>639</v>
      </c>
      <c r="E178" s="2" t="s">
        <v>640</v>
      </c>
      <c r="F178" s="2" t="s">
        <v>26</v>
      </c>
      <c r="G178" s="2" t="s">
        <v>26</v>
      </c>
      <c r="H178" s="2" t="s">
        <v>27</v>
      </c>
      <c r="I178" s="2" t="s">
        <v>28</v>
      </c>
      <c r="J178" s="6"/>
      <c r="K178" s="2" t="s">
        <v>55</v>
      </c>
      <c r="L178" s="2" t="s">
        <v>56</v>
      </c>
      <c r="M178" s="2" t="s">
        <v>55</v>
      </c>
      <c r="N178" s="2"/>
      <c r="O178" s="2"/>
      <c r="P178" s="7">
        <v>4.2847693802827598</v>
      </c>
      <c r="Q178" s="6" t="s">
        <v>57</v>
      </c>
      <c r="R178" s="9">
        <v>0</v>
      </c>
      <c r="S178" s="2"/>
      <c r="T178" s="9">
        <v>0</v>
      </c>
      <c r="U178" s="9">
        <v>0</v>
      </c>
      <c r="V178" s="9">
        <v>145</v>
      </c>
      <c r="W178" s="9">
        <v>37</v>
      </c>
      <c r="X178" s="9">
        <v>37</v>
      </c>
      <c r="Y178" s="9">
        <v>291</v>
      </c>
      <c r="Z178" s="9">
        <v>426</v>
      </c>
      <c r="AA178" s="9">
        <v>426</v>
      </c>
      <c r="AB178" s="9">
        <v>0</v>
      </c>
      <c r="AC178" s="9">
        <v>152</v>
      </c>
      <c r="AD178" s="9">
        <v>75</v>
      </c>
      <c r="AE178" s="6" t="s">
        <v>57</v>
      </c>
      <c r="AF178" s="6" t="s">
        <v>57</v>
      </c>
      <c r="AG178" s="6" t="s">
        <v>57</v>
      </c>
      <c r="AH178" s="6" t="s">
        <v>57</v>
      </c>
      <c r="AI178" s="6" t="s">
        <v>57</v>
      </c>
      <c r="AJ178" s="6" t="s">
        <v>57</v>
      </c>
      <c r="AK178" s="6" t="s">
        <v>57</v>
      </c>
      <c r="AL178" s="6" t="s">
        <v>57</v>
      </c>
      <c r="AM178" s="6" t="s">
        <v>57</v>
      </c>
      <c r="AN178" s="6" t="s">
        <v>57</v>
      </c>
      <c r="AO178" s="6" t="s">
        <v>57</v>
      </c>
      <c r="AP178" s="6" t="s">
        <v>57</v>
      </c>
      <c r="AQ178" s="9">
        <v>0</v>
      </c>
    </row>
    <row r="179" spans="1:43" ht="15">
      <c r="A179" s="2" t="s">
        <v>641</v>
      </c>
      <c r="B179" s="5">
        <v>5736777</v>
      </c>
      <c r="C179" s="2" t="s">
        <v>23</v>
      </c>
      <c r="D179" s="2" t="s">
        <v>642</v>
      </c>
      <c r="E179" s="2" t="s">
        <v>643</v>
      </c>
      <c r="F179" s="2" t="s">
        <v>26</v>
      </c>
      <c r="G179" s="2" t="s">
        <v>26</v>
      </c>
      <c r="H179" s="2" t="s">
        <v>27</v>
      </c>
      <c r="I179" s="2" t="s">
        <v>28</v>
      </c>
      <c r="J179" s="6"/>
      <c r="K179" s="2" t="s">
        <v>55</v>
      </c>
      <c r="L179" s="2" t="s">
        <v>56</v>
      </c>
      <c r="M179" s="2" t="s">
        <v>55</v>
      </c>
      <c r="N179" s="2"/>
      <c r="O179" s="2"/>
      <c r="P179" s="7">
        <v>41.982479154051902</v>
      </c>
      <c r="Q179" s="6" t="s">
        <v>57</v>
      </c>
      <c r="R179" s="9">
        <v>0</v>
      </c>
      <c r="S179" s="2" t="s">
        <v>644</v>
      </c>
      <c r="T179" s="9">
        <v>0</v>
      </c>
      <c r="U179" s="9">
        <v>0</v>
      </c>
      <c r="V179" s="9">
        <v>0</v>
      </c>
      <c r="W179" s="9">
        <v>0</v>
      </c>
      <c r="X179" s="9">
        <v>0</v>
      </c>
      <c r="Y179" s="9">
        <v>0</v>
      </c>
      <c r="Z179" s="9">
        <v>0</v>
      </c>
      <c r="AA179" s="9">
        <v>145</v>
      </c>
      <c r="AB179" s="9">
        <v>0</v>
      </c>
      <c r="AC179" s="9">
        <v>0</v>
      </c>
      <c r="AD179" s="9">
        <v>0</v>
      </c>
      <c r="AE179" s="6" t="s">
        <v>57</v>
      </c>
      <c r="AF179" s="6" t="s">
        <v>57</v>
      </c>
      <c r="AG179" s="6" t="s">
        <v>57</v>
      </c>
      <c r="AH179" s="6" t="s">
        <v>57</v>
      </c>
      <c r="AI179" s="6" t="s">
        <v>57</v>
      </c>
      <c r="AJ179" s="6" t="s">
        <v>57</v>
      </c>
      <c r="AK179" s="6" t="s">
        <v>57</v>
      </c>
      <c r="AL179" s="6" t="s">
        <v>57</v>
      </c>
      <c r="AM179" s="6" t="s">
        <v>57</v>
      </c>
      <c r="AN179" s="6" t="s">
        <v>57</v>
      </c>
      <c r="AO179" s="6" t="s">
        <v>57</v>
      </c>
      <c r="AP179" s="6" t="s">
        <v>57</v>
      </c>
      <c r="AQ179" s="9">
        <v>0</v>
      </c>
    </row>
    <row r="180" spans="1:43" ht="15">
      <c r="A180" s="2" t="s">
        <v>645</v>
      </c>
      <c r="B180" s="5">
        <v>29178304</v>
      </c>
      <c r="C180" s="2" t="s">
        <v>23</v>
      </c>
      <c r="D180" s="2" t="s">
        <v>646</v>
      </c>
      <c r="E180" s="2" t="s">
        <v>647</v>
      </c>
      <c r="F180" s="2" t="s">
        <v>26</v>
      </c>
      <c r="G180" s="2" t="s">
        <v>26</v>
      </c>
      <c r="H180" s="2" t="s">
        <v>27</v>
      </c>
      <c r="I180" s="2" t="s">
        <v>28</v>
      </c>
      <c r="J180" s="6"/>
      <c r="K180" s="2" t="s">
        <v>55</v>
      </c>
      <c r="L180" s="2" t="s">
        <v>56</v>
      </c>
      <c r="M180" s="2" t="s">
        <v>55</v>
      </c>
      <c r="N180" s="2"/>
      <c r="O180" s="2"/>
      <c r="P180" s="7">
        <v>2.1093098449212002</v>
      </c>
      <c r="Q180" s="6" t="s">
        <v>57</v>
      </c>
      <c r="R180" s="9">
        <v>0</v>
      </c>
      <c r="S180" s="2"/>
      <c r="T180" s="9">
        <v>0</v>
      </c>
      <c r="U180" s="9">
        <v>0</v>
      </c>
      <c r="V180" s="9">
        <v>0</v>
      </c>
      <c r="W180" s="9">
        <v>0</v>
      </c>
      <c r="X180" s="9">
        <v>0</v>
      </c>
      <c r="Y180" s="9">
        <v>116</v>
      </c>
      <c r="Z180" s="9">
        <v>191</v>
      </c>
      <c r="AA180" s="9">
        <v>1079</v>
      </c>
      <c r="AB180" s="9">
        <v>0</v>
      </c>
      <c r="AC180" s="9">
        <v>0</v>
      </c>
      <c r="AD180" s="9">
        <v>0</v>
      </c>
      <c r="AE180" s="6" t="s">
        <v>57</v>
      </c>
      <c r="AF180" s="6" t="s">
        <v>57</v>
      </c>
      <c r="AG180" s="6" t="s">
        <v>57</v>
      </c>
      <c r="AH180" s="6" t="s">
        <v>57</v>
      </c>
      <c r="AI180" s="6" t="s">
        <v>57</v>
      </c>
      <c r="AJ180" s="6" t="s">
        <v>57</v>
      </c>
      <c r="AK180" s="6" t="s">
        <v>57</v>
      </c>
      <c r="AL180" s="6" t="s">
        <v>57</v>
      </c>
      <c r="AM180" s="6" t="s">
        <v>57</v>
      </c>
      <c r="AN180" s="6" t="s">
        <v>57</v>
      </c>
      <c r="AO180" s="6" t="s">
        <v>57</v>
      </c>
      <c r="AP180" s="6" t="s">
        <v>57</v>
      </c>
      <c r="AQ180" s="9">
        <v>0</v>
      </c>
    </row>
    <row r="181" spans="1:43" ht="15">
      <c r="A181" s="2" t="s">
        <v>648</v>
      </c>
      <c r="B181" s="5">
        <v>4990044</v>
      </c>
      <c r="C181" s="2" t="s">
        <v>23</v>
      </c>
      <c r="D181" s="2" t="s">
        <v>649</v>
      </c>
      <c r="E181" s="2" t="s">
        <v>650</v>
      </c>
      <c r="F181" s="2" t="s">
        <v>26</v>
      </c>
      <c r="G181" s="2" t="s">
        <v>26</v>
      </c>
      <c r="H181" s="2" t="s">
        <v>27</v>
      </c>
      <c r="I181" s="2" t="s">
        <v>28</v>
      </c>
      <c r="J181" s="6"/>
      <c r="K181" s="2" t="s">
        <v>181</v>
      </c>
      <c r="L181" s="2" t="s">
        <v>182</v>
      </c>
      <c r="M181" s="2" t="s">
        <v>183</v>
      </c>
      <c r="N181" s="2" t="s">
        <v>181</v>
      </c>
      <c r="O181" s="2"/>
      <c r="P181" s="7">
        <v>764.69107546606404</v>
      </c>
      <c r="Q181" s="8">
        <v>1199.0221189665399</v>
      </c>
      <c r="R181" s="9">
        <v>13254</v>
      </c>
      <c r="S181" s="2" t="s">
        <v>651</v>
      </c>
      <c r="T181" s="9">
        <v>49355</v>
      </c>
      <c r="U181" s="9">
        <v>883271</v>
      </c>
      <c r="V181" s="9">
        <v>669399</v>
      </c>
      <c r="W181" s="9">
        <v>383702</v>
      </c>
      <c r="X181" s="9">
        <v>385446</v>
      </c>
      <c r="Y181" s="9">
        <v>309824</v>
      </c>
      <c r="Z181" s="9">
        <v>247448</v>
      </c>
      <c r="AA181" s="9">
        <v>284983</v>
      </c>
      <c r="AB181" s="9">
        <v>161689</v>
      </c>
      <c r="AC181" s="9">
        <v>663896</v>
      </c>
      <c r="AD181" s="9">
        <v>494928</v>
      </c>
      <c r="AE181" s="7">
        <v>0.0115013266231596</v>
      </c>
      <c r="AF181" s="7">
        <v>0.042830187676750502</v>
      </c>
      <c r="AG181" s="7">
        <v>0.76649831308206595</v>
      </c>
      <c r="AH181" s="7">
        <v>0.58090121130338801</v>
      </c>
      <c r="AI181" s="7">
        <v>0.33297486334100901</v>
      </c>
      <c r="AJ181" s="7">
        <v>0.334488010351008</v>
      </c>
      <c r="AK181" s="7">
        <v>0.26886372654684798</v>
      </c>
      <c r="AL181" s="7">
        <v>0.214734240376525</v>
      </c>
      <c r="AM181" s="7">
        <v>0.247307173413085</v>
      </c>
      <c r="AN181" s="7">
        <v>0.14031305660667001</v>
      </c>
      <c r="AO181" s="7">
        <v>0.57612603740341894</v>
      </c>
      <c r="AP181" s="7">
        <v>0.42949649047698302</v>
      </c>
      <c r="AQ181" s="9">
        <v>4397</v>
      </c>
    </row>
    <row r="182" spans="1:43" ht="15">
      <c r="A182" s="2" t="s">
        <v>652</v>
      </c>
      <c r="B182" s="5">
        <v>29561778</v>
      </c>
      <c r="C182" s="2" t="s">
        <v>23</v>
      </c>
      <c r="D182" s="2" t="s">
        <v>653</v>
      </c>
      <c r="E182" s="2" t="s">
        <v>654</v>
      </c>
      <c r="F182" s="2" t="s">
        <v>26</v>
      </c>
      <c r="G182" s="2" t="s">
        <v>26</v>
      </c>
      <c r="H182" s="2" t="s">
        <v>27</v>
      </c>
      <c r="I182" s="2" t="s">
        <v>28</v>
      </c>
      <c r="J182" s="6"/>
      <c r="K182" s="2" t="s">
        <v>55</v>
      </c>
      <c r="L182" s="2" t="s">
        <v>56</v>
      </c>
      <c r="M182" s="2" t="s">
        <v>55</v>
      </c>
      <c r="N182" s="2"/>
      <c r="O182" s="2"/>
      <c r="P182" s="7">
        <v>29.602219276022701</v>
      </c>
      <c r="Q182" s="6" t="s">
        <v>57</v>
      </c>
      <c r="R182" s="9">
        <v>0</v>
      </c>
      <c r="S182" s="2"/>
      <c r="T182" s="9">
        <v>36432</v>
      </c>
      <c r="U182" s="9">
        <v>22777</v>
      </c>
      <c r="V182" s="9">
        <v>24070</v>
      </c>
      <c r="W182" s="9">
        <v>41119</v>
      </c>
      <c r="X182" s="9">
        <v>41023</v>
      </c>
      <c r="Y182" s="9">
        <v>28704</v>
      </c>
      <c r="Z182" s="9">
        <v>23368</v>
      </c>
      <c r="AA182" s="9">
        <v>17519</v>
      </c>
      <c r="AB182" s="9">
        <v>23270</v>
      </c>
      <c r="AC182" s="9">
        <v>24951</v>
      </c>
      <c r="AD182" s="9">
        <v>46303</v>
      </c>
      <c r="AE182" s="6" t="s">
        <v>57</v>
      </c>
      <c r="AF182" s="6" t="s">
        <v>57</v>
      </c>
      <c r="AG182" s="6" t="s">
        <v>57</v>
      </c>
      <c r="AH182" s="6" t="s">
        <v>57</v>
      </c>
      <c r="AI182" s="6" t="s">
        <v>57</v>
      </c>
      <c r="AJ182" s="6" t="s">
        <v>57</v>
      </c>
      <c r="AK182" s="6" t="s">
        <v>57</v>
      </c>
      <c r="AL182" s="6" t="s">
        <v>57</v>
      </c>
      <c r="AM182" s="6" t="s">
        <v>57</v>
      </c>
      <c r="AN182" s="6" t="s">
        <v>57</v>
      </c>
      <c r="AO182" s="6" t="s">
        <v>57</v>
      </c>
      <c r="AP182" s="6" t="s">
        <v>57</v>
      </c>
      <c r="AQ182" s="9">
        <v>0</v>
      </c>
    </row>
    <row r="183" spans="1:43" ht="15">
      <c r="A183" s="2" t="s">
        <v>655</v>
      </c>
      <c r="B183" s="5">
        <v>5733633</v>
      </c>
      <c r="C183" s="2" t="s">
        <v>23</v>
      </c>
      <c r="D183" s="2" t="s">
        <v>656</v>
      </c>
      <c r="E183" s="2" t="s">
        <v>657</v>
      </c>
      <c r="F183" s="2" t="s">
        <v>26</v>
      </c>
      <c r="G183" s="2" t="s">
        <v>26</v>
      </c>
      <c r="H183" s="2" t="s">
        <v>27</v>
      </c>
      <c r="I183" s="2" t="s">
        <v>28</v>
      </c>
      <c r="J183" s="6"/>
      <c r="K183" s="2" t="s">
        <v>55</v>
      </c>
      <c r="L183" s="2" t="s">
        <v>56</v>
      </c>
      <c r="M183" s="2" t="s">
        <v>55</v>
      </c>
      <c r="N183" s="2"/>
      <c r="O183" s="2"/>
      <c r="P183" s="7">
        <v>5.0552006382990502</v>
      </c>
      <c r="Q183" s="6" t="s">
        <v>57</v>
      </c>
      <c r="R183" s="9">
        <v>0</v>
      </c>
      <c r="S183" s="2"/>
      <c r="T183" s="9">
        <v>0</v>
      </c>
      <c r="U183" s="9">
        <v>0</v>
      </c>
      <c r="V183" s="9">
        <v>0</v>
      </c>
      <c r="W183" s="9">
        <v>0</v>
      </c>
      <c r="X183" s="9">
        <v>0</v>
      </c>
      <c r="Y183" s="9">
        <v>0</v>
      </c>
      <c r="Z183" s="9">
        <v>0</v>
      </c>
      <c r="AA183" s="9">
        <v>0</v>
      </c>
      <c r="AB183" s="9">
        <v>0</v>
      </c>
      <c r="AC183" s="9">
        <v>0</v>
      </c>
      <c r="AD183" s="9">
        <v>0</v>
      </c>
      <c r="AE183" s="6" t="s">
        <v>57</v>
      </c>
      <c r="AF183" s="6" t="s">
        <v>57</v>
      </c>
      <c r="AG183" s="6" t="s">
        <v>57</v>
      </c>
      <c r="AH183" s="6" t="s">
        <v>57</v>
      </c>
      <c r="AI183" s="6" t="s">
        <v>57</v>
      </c>
      <c r="AJ183" s="6" t="s">
        <v>57</v>
      </c>
      <c r="AK183" s="6" t="s">
        <v>57</v>
      </c>
      <c r="AL183" s="6" t="s">
        <v>57</v>
      </c>
      <c r="AM183" s="6" t="s">
        <v>57</v>
      </c>
      <c r="AN183" s="6" t="s">
        <v>57</v>
      </c>
      <c r="AO183" s="6" t="s">
        <v>57</v>
      </c>
      <c r="AP183" s="6" t="s">
        <v>57</v>
      </c>
      <c r="AQ183" s="9">
        <v>0</v>
      </c>
    </row>
    <row r="184" spans="1:43" ht="15">
      <c r="A184" s="2" t="s">
        <v>658</v>
      </c>
      <c r="B184" s="5">
        <v>28746268</v>
      </c>
      <c r="C184" s="2" t="s">
        <v>23</v>
      </c>
      <c r="D184" s="2" t="s">
        <v>659</v>
      </c>
      <c r="E184" s="2" t="s">
        <v>660</v>
      </c>
      <c r="F184" s="2" t="s">
        <v>26</v>
      </c>
      <c r="G184" s="2" t="s">
        <v>26</v>
      </c>
      <c r="H184" s="2" t="s">
        <v>27</v>
      </c>
      <c r="I184" s="2" t="s">
        <v>28</v>
      </c>
      <c r="J184" s="6"/>
      <c r="K184" s="2" t="s">
        <v>55</v>
      </c>
      <c r="L184" s="2" t="s">
        <v>56</v>
      </c>
      <c r="M184" s="2" t="s">
        <v>55</v>
      </c>
      <c r="N184" s="2"/>
      <c r="O184" s="2"/>
      <c r="P184" s="6" t="s">
        <v>57</v>
      </c>
      <c r="Q184" s="6" t="s">
        <v>57</v>
      </c>
      <c r="R184" s="9">
        <v>0</v>
      </c>
      <c r="S184" s="2"/>
      <c r="T184" s="9">
        <v>0</v>
      </c>
      <c r="U184" s="9">
        <v>0</v>
      </c>
      <c r="V184" s="9">
        <v>0</v>
      </c>
      <c r="W184" s="9">
        <v>251</v>
      </c>
      <c r="X184" s="9">
        <v>250</v>
      </c>
      <c r="Y184" s="9">
        <v>233</v>
      </c>
      <c r="Z184" s="9">
        <v>233</v>
      </c>
      <c r="AA184" s="9">
        <v>233</v>
      </c>
      <c r="AB184" s="9">
        <v>0</v>
      </c>
      <c r="AC184" s="9">
        <v>0</v>
      </c>
      <c r="AD184" s="9">
        <v>0</v>
      </c>
      <c r="AE184" s="6" t="s">
        <v>57</v>
      </c>
      <c r="AF184" s="6" t="s">
        <v>57</v>
      </c>
      <c r="AG184" s="6" t="s">
        <v>57</v>
      </c>
      <c r="AH184" s="6" t="s">
        <v>57</v>
      </c>
      <c r="AI184" s="6" t="s">
        <v>57</v>
      </c>
      <c r="AJ184" s="6" t="s">
        <v>57</v>
      </c>
      <c r="AK184" s="6" t="s">
        <v>57</v>
      </c>
      <c r="AL184" s="6" t="s">
        <v>57</v>
      </c>
      <c r="AM184" s="6" t="s">
        <v>57</v>
      </c>
      <c r="AN184" s="6" t="s">
        <v>57</v>
      </c>
      <c r="AO184" s="6" t="s">
        <v>57</v>
      </c>
      <c r="AP184" s="6" t="s">
        <v>57</v>
      </c>
      <c r="AQ184" s="9">
        <v>0</v>
      </c>
    </row>
    <row r="185" spans="1:43" ht="15">
      <c r="A185" s="2" t="s">
        <v>661</v>
      </c>
      <c r="B185" s="5">
        <v>106153638</v>
      </c>
      <c r="C185" s="2" t="s">
        <v>23</v>
      </c>
      <c r="D185" s="2" t="s">
        <v>662</v>
      </c>
      <c r="E185" s="2" t="s">
        <v>663</v>
      </c>
      <c r="F185" s="2" t="s">
        <v>26</v>
      </c>
      <c r="G185" s="2" t="s">
        <v>26</v>
      </c>
      <c r="H185" s="2" t="s">
        <v>27</v>
      </c>
      <c r="I185" s="2" t="s">
        <v>28</v>
      </c>
      <c r="J185" s="6"/>
      <c r="K185" s="2" t="s">
        <v>55</v>
      </c>
      <c r="L185" s="2" t="s">
        <v>56</v>
      </c>
      <c r="M185" s="2" t="s">
        <v>55</v>
      </c>
      <c r="N185" s="2"/>
      <c r="O185" s="2"/>
      <c r="P185" s="6" t="s">
        <v>57</v>
      </c>
      <c r="Q185" s="6" t="s">
        <v>57</v>
      </c>
      <c r="R185" s="9">
        <v>0</v>
      </c>
      <c r="S185" s="2"/>
      <c r="T185" s="9">
        <v>0</v>
      </c>
      <c r="U185" s="9">
        <v>0</v>
      </c>
      <c r="V185" s="9">
        <v>0</v>
      </c>
      <c r="W185" s="9">
        <v>0</v>
      </c>
      <c r="X185" s="9">
        <v>0</v>
      </c>
      <c r="Y185" s="9">
        <v>518</v>
      </c>
      <c r="Z185" s="9">
        <v>518</v>
      </c>
      <c r="AA185" s="9">
        <v>518</v>
      </c>
      <c r="AB185" s="9">
        <v>0</v>
      </c>
      <c r="AC185" s="9">
        <v>0</v>
      </c>
      <c r="AD185" s="9">
        <v>0</v>
      </c>
      <c r="AE185" s="6" t="s">
        <v>57</v>
      </c>
      <c r="AF185" s="6" t="s">
        <v>57</v>
      </c>
      <c r="AG185" s="6" t="s">
        <v>57</v>
      </c>
      <c r="AH185" s="6" t="s">
        <v>57</v>
      </c>
      <c r="AI185" s="6" t="s">
        <v>57</v>
      </c>
      <c r="AJ185" s="6" t="s">
        <v>57</v>
      </c>
      <c r="AK185" s="6" t="s">
        <v>57</v>
      </c>
      <c r="AL185" s="6" t="s">
        <v>57</v>
      </c>
      <c r="AM185" s="6" t="s">
        <v>57</v>
      </c>
      <c r="AN185" s="6" t="s">
        <v>57</v>
      </c>
      <c r="AO185" s="6" t="s">
        <v>57</v>
      </c>
      <c r="AP185" s="6" t="s">
        <v>57</v>
      </c>
      <c r="AQ185" s="9">
        <v>0</v>
      </c>
    </row>
    <row r="186" spans="1:43" ht="15">
      <c r="A186" s="2" t="s">
        <v>664</v>
      </c>
      <c r="B186" s="5">
        <v>142463343</v>
      </c>
      <c r="C186" s="2" t="s">
        <v>23</v>
      </c>
      <c r="D186" s="2" t="s">
        <v>665</v>
      </c>
      <c r="E186" s="2" t="s">
        <v>666</v>
      </c>
      <c r="F186" s="2" t="s">
        <v>26</v>
      </c>
      <c r="G186" s="2"/>
      <c r="H186" s="2"/>
      <c r="I186" s="2" t="s">
        <v>28</v>
      </c>
      <c r="J186" s="6"/>
      <c r="K186" s="2" t="s">
        <v>55</v>
      </c>
      <c r="L186" s="2" t="s">
        <v>56</v>
      </c>
      <c r="M186" s="2" t="s">
        <v>55</v>
      </c>
      <c r="N186" s="2"/>
      <c r="O186" s="2"/>
      <c r="P186" s="6" t="s">
        <v>57</v>
      </c>
      <c r="Q186" s="6" t="s">
        <v>57</v>
      </c>
      <c r="R186" s="6" t="s">
        <v>57</v>
      </c>
      <c r="S186" s="2"/>
      <c r="T186" s="6" t="s">
        <v>57</v>
      </c>
      <c r="U186" s="6" t="s">
        <v>57</v>
      </c>
      <c r="V186" s="6" t="s">
        <v>57</v>
      </c>
      <c r="W186" s="6" t="s">
        <v>57</v>
      </c>
      <c r="X186" s="6" t="s">
        <v>57</v>
      </c>
      <c r="Y186" s="6" t="s">
        <v>57</v>
      </c>
      <c r="Z186" s="6" t="s">
        <v>57</v>
      </c>
      <c r="AA186" s="6" t="s">
        <v>57</v>
      </c>
      <c r="AB186" s="6" t="s">
        <v>57</v>
      </c>
      <c r="AC186" s="6" t="s">
        <v>57</v>
      </c>
      <c r="AD186" s="6" t="s">
        <v>57</v>
      </c>
      <c r="AE186" s="6" t="s">
        <v>57</v>
      </c>
      <c r="AF186" s="6" t="s">
        <v>57</v>
      </c>
      <c r="AG186" s="6" t="s">
        <v>57</v>
      </c>
      <c r="AH186" s="6" t="s">
        <v>57</v>
      </c>
      <c r="AI186" s="6" t="s">
        <v>57</v>
      </c>
      <c r="AJ186" s="6" t="s">
        <v>57</v>
      </c>
      <c r="AK186" s="6" t="s">
        <v>57</v>
      </c>
      <c r="AL186" s="6" t="s">
        <v>57</v>
      </c>
      <c r="AM186" s="6" t="s">
        <v>57</v>
      </c>
      <c r="AN186" s="6" t="s">
        <v>57</v>
      </c>
      <c r="AO186" s="6" t="s">
        <v>57</v>
      </c>
      <c r="AP186" s="6" t="s">
        <v>57</v>
      </c>
      <c r="AQ186" s="6" t="s">
        <v>57</v>
      </c>
    </row>
    <row r="187" spans="1:43" ht="15">
      <c r="A187" s="2" t="s">
        <v>667</v>
      </c>
      <c r="B187" s="5">
        <v>118908050</v>
      </c>
      <c r="C187" s="2" t="s">
        <v>23</v>
      </c>
      <c r="D187" s="2" t="s">
        <v>668</v>
      </c>
      <c r="E187" s="2" t="s">
        <v>669</v>
      </c>
      <c r="F187" s="2" t="s">
        <v>113</v>
      </c>
      <c r="G187" s="2"/>
      <c r="H187" s="2"/>
      <c r="I187" s="2" t="s">
        <v>28</v>
      </c>
      <c r="J187" s="6"/>
      <c r="K187" s="2" t="s">
        <v>55</v>
      </c>
      <c r="L187" s="2" t="s">
        <v>56</v>
      </c>
      <c r="M187" s="2" t="s">
        <v>55</v>
      </c>
      <c r="N187" s="2"/>
      <c r="O187" s="2"/>
      <c r="P187" s="6" t="s">
        <v>57</v>
      </c>
      <c r="Q187" s="6" t="s">
        <v>57</v>
      </c>
      <c r="R187" s="9">
        <v>0</v>
      </c>
      <c r="S187" s="2"/>
      <c r="T187" s="9">
        <v>0</v>
      </c>
      <c r="U187" s="9">
        <v>0</v>
      </c>
      <c r="V187" s="9">
        <v>0</v>
      </c>
      <c r="W187" s="9">
        <v>0</v>
      </c>
      <c r="X187" s="9">
        <v>0</v>
      </c>
      <c r="Y187" s="9">
        <v>0</v>
      </c>
      <c r="Z187" s="9">
        <v>0</v>
      </c>
      <c r="AA187" s="9">
        <v>0</v>
      </c>
      <c r="AB187" s="9">
        <v>0</v>
      </c>
      <c r="AC187" s="9">
        <v>0</v>
      </c>
      <c r="AD187" s="9">
        <v>0</v>
      </c>
      <c r="AE187" s="6" t="s">
        <v>57</v>
      </c>
      <c r="AF187" s="6" t="s">
        <v>57</v>
      </c>
      <c r="AG187" s="6" t="s">
        <v>57</v>
      </c>
      <c r="AH187" s="6" t="s">
        <v>57</v>
      </c>
      <c r="AI187" s="6" t="s">
        <v>57</v>
      </c>
      <c r="AJ187" s="6" t="s">
        <v>57</v>
      </c>
      <c r="AK187" s="6" t="s">
        <v>57</v>
      </c>
      <c r="AL187" s="6" t="s">
        <v>57</v>
      </c>
      <c r="AM187" s="6" t="s">
        <v>57</v>
      </c>
      <c r="AN187" s="6" t="s">
        <v>57</v>
      </c>
      <c r="AO187" s="6" t="s">
        <v>57</v>
      </c>
      <c r="AP187" s="6" t="s">
        <v>57</v>
      </c>
      <c r="AQ187" s="9">
        <v>0</v>
      </c>
    </row>
    <row r="188" spans="1:43" ht="15">
      <c r="A188" s="2" t="s">
        <v>670</v>
      </c>
      <c r="B188" s="5">
        <v>112160437</v>
      </c>
      <c r="C188" s="2" t="s">
        <v>23</v>
      </c>
      <c r="D188" s="2" t="s">
        <v>671</v>
      </c>
      <c r="E188" s="2" t="s">
        <v>672</v>
      </c>
      <c r="F188" s="2" t="s">
        <v>26</v>
      </c>
      <c r="G188" s="2" t="s">
        <v>26</v>
      </c>
      <c r="H188" s="2" t="s">
        <v>27</v>
      </c>
      <c r="I188" s="2" t="s">
        <v>28</v>
      </c>
      <c r="J188" s="6"/>
      <c r="K188" s="2" t="s">
        <v>55</v>
      </c>
      <c r="L188" s="2" t="s">
        <v>56</v>
      </c>
      <c r="M188" s="2" t="s">
        <v>55</v>
      </c>
      <c r="N188" s="2"/>
      <c r="O188" s="2"/>
      <c r="P188" s="6" t="s">
        <v>57</v>
      </c>
      <c r="Q188" s="6" t="s">
        <v>57</v>
      </c>
      <c r="R188" s="9">
        <v>0</v>
      </c>
      <c r="S188" s="2"/>
      <c r="T188" s="9">
        <v>0</v>
      </c>
      <c r="U188" s="9">
        <v>0</v>
      </c>
      <c r="V188" s="9">
        <v>0</v>
      </c>
      <c r="W188" s="9">
        <v>5544</v>
      </c>
      <c r="X188" s="9">
        <v>5522</v>
      </c>
      <c r="Y188" s="9">
        <v>39080</v>
      </c>
      <c r="Z188" s="9">
        <v>30319</v>
      </c>
      <c r="AA188" s="9">
        <v>30319</v>
      </c>
      <c r="AB188" s="9">
        <v>0</v>
      </c>
      <c r="AC188" s="9">
        <v>0</v>
      </c>
      <c r="AD188" s="9">
        <v>321</v>
      </c>
      <c r="AE188" s="6" t="s">
        <v>57</v>
      </c>
      <c r="AF188" s="6" t="s">
        <v>57</v>
      </c>
      <c r="AG188" s="6" t="s">
        <v>57</v>
      </c>
      <c r="AH188" s="6" t="s">
        <v>57</v>
      </c>
      <c r="AI188" s="6" t="s">
        <v>57</v>
      </c>
      <c r="AJ188" s="6" t="s">
        <v>57</v>
      </c>
      <c r="AK188" s="6" t="s">
        <v>57</v>
      </c>
      <c r="AL188" s="6" t="s">
        <v>57</v>
      </c>
      <c r="AM188" s="6" t="s">
        <v>57</v>
      </c>
      <c r="AN188" s="6" t="s">
        <v>57</v>
      </c>
      <c r="AO188" s="6" t="s">
        <v>57</v>
      </c>
      <c r="AP188" s="6" t="s">
        <v>57</v>
      </c>
      <c r="AQ188" s="9">
        <v>0</v>
      </c>
    </row>
    <row r="189" spans="1:43" ht="15">
      <c r="A189" s="2" t="s">
        <v>673</v>
      </c>
      <c r="B189" s="5">
        <v>5738632</v>
      </c>
      <c r="C189" s="2" t="s">
        <v>23</v>
      </c>
      <c r="D189" s="2" t="s">
        <v>674</v>
      </c>
      <c r="E189" s="2" t="s">
        <v>675</v>
      </c>
      <c r="F189" s="2" t="s">
        <v>26</v>
      </c>
      <c r="G189" s="2" t="s">
        <v>26</v>
      </c>
      <c r="H189" s="2" t="s">
        <v>27</v>
      </c>
      <c r="I189" s="2" t="s">
        <v>28</v>
      </c>
      <c r="J189" s="6"/>
      <c r="K189" s="2" t="s">
        <v>55</v>
      </c>
      <c r="L189" s="2" t="s">
        <v>56</v>
      </c>
      <c r="M189" s="2" t="s">
        <v>55</v>
      </c>
      <c r="N189" s="2"/>
      <c r="O189" s="2"/>
      <c r="P189" s="7">
        <v>222.457497848825</v>
      </c>
      <c r="Q189" s="6" t="s">
        <v>57</v>
      </c>
      <c r="R189" s="9">
        <v>0</v>
      </c>
      <c r="S189" s="2"/>
      <c r="T189" s="9">
        <v>0</v>
      </c>
      <c r="U189" s="9">
        <v>0</v>
      </c>
      <c r="V189" s="9">
        <v>0</v>
      </c>
      <c r="W189" s="9">
        <v>0</v>
      </c>
      <c r="X189" s="9">
        <v>0</v>
      </c>
      <c r="Y189" s="9">
        <v>0</v>
      </c>
      <c r="Z189" s="9">
        <v>4655</v>
      </c>
      <c r="AA189" s="9">
        <v>7403</v>
      </c>
      <c r="AB189" s="9">
        <v>0</v>
      </c>
      <c r="AC189" s="9">
        <v>0</v>
      </c>
      <c r="AD189" s="9">
        <v>0</v>
      </c>
      <c r="AE189" s="6" t="s">
        <v>57</v>
      </c>
      <c r="AF189" s="6" t="s">
        <v>57</v>
      </c>
      <c r="AG189" s="6" t="s">
        <v>57</v>
      </c>
      <c r="AH189" s="6" t="s">
        <v>57</v>
      </c>
      <c r="AI189" s="6" t="s">
        <v>57</v>
      </c>
      <c r="AJ189" s="6" t="s">
        <v>57</v>
      </c>
      <c r="AK189" s="6" t="s">
        <v>57</v>
      </c>
      <c r="AL189" s="6" t="s">
        <v>57</v>
      </c>
      <c r="AM189" s="6" t="s">
        <v>57</v>
      </c>
      <c r="AN189" s="6" t="s">
        <v>57</v>
      </c>
      <c r="AO189" s="6" t="s">
        <v>57</v>
      </c>
      <c r="AP189" s="6" t="s">
        <v>57</v>
      </c>
      <c r="AQ189" s="9">
        <v>0</v>
      </c>
    </row>
    <row r="190" spans="1:43" ht="15">
      <c r="A190" s="2" t="s">
        <v>676</v>
      </c>
      <c r="B190" s="5">
        <v>5736505</v>
      </c>
      <c r="C190" s="2" t="s">
        <v>23</v>
      </c>
      <c r="D190" s="2" t="s">
        <v>677</v>
      </c>
      <c r="E190" s="2" t="s">
        <v>678</v>
      </c>
      <c r="F190" s="2" t="s">
        <v>26</v>
      </c>
      <c r="G190" s="2" t="s">
        <v>26</v>
      </c>
      <c r="H190" s="2" t="s">
        <v>27</v>
      </c>
      <c r="I190" s="2" t="s">
        <v>28</v>
      </c>
      <c r="J190" s="6"/>
      <c r="K190" s="2" t="s">
        <v>55</v>
      </c>
      <c r="L190" s="2" t="s">
        <v>56</v>
      </c>
      <c r="M190" s="2" t="s">
        <v>55</v>
      </c>
      <c r="N190" s="2"/>
      <c r="O190" s="2"/>
      <c r="P190" s="7">
        <v>0.253994439642099</v>
      </c>
      <c r="Q190" s="6" t="s">
        <v>57</v>
      </c>
      <c r="R190" s="9">
        <v>0</v>
      </c>
      <c r="S190" s="2"/>
      <c r="T190" s="9">
        <v>0</v>
      </c>
      <c r="U190" s="9">
        <v>0</v>
      </c>
      <c r="V190" s="9">
        <v>0</v>
      </c>
      <c r="W190" s="9">
        <v>0</v>
      </c>
      <c r="X190" s="9">
        <v>0</v>
      </c>
      <c r="Y190" s="9">
        <v>247</v>
      </c>
      <c r="Z190" s="9">
        <v>165</v>
      </c>
      <c r="AA190" s="9">
        <v>1927</v>
      </c>
      <c r="AB190" s="9">
        <v>0</v>
      </c>
      <c r="AC190" s="9">
        <v>0</v>
      </c>
      <c r="AD190" s="9">
        <v>0</v>
      </c>
      <c r="AE190" s="6" t="s">
        <v>57</v>
      </c>
      <c r="AF190" s="6" t="s">
        <v>57</v>
      </c>
      <c r="AG190" s="6" t="s">
        <v>57</v>
      </c>
      <c r="AH190" s="6" t="s">
        <v>57</v>
      </c>
      <c r="AI190" s="6" t="s">
        <v>57</v>
      </c>
      <c r="AJ190" s="6" t="s">
        <v>57</v>
      </c>
      <c r="AK190" s="6" t="s">
        <v>57</v>
      </c>
      <c r="AL190" s="6" t="s">
        <v>57</v>
      </c>
      <c r="AM190" s="6" t="s">
        <v>57</v>
      </c>
      <c r="AN190" s="6" t="s">
        <v>57</v>
      </c>
      <c r="AO190" s="6" t="s">
        <v>57</v>
      </c>
      <c r="AP190" s="6" t="s">
        <v>57</v>
      </c>
      <c r="AQ190" s="9">
        <v>0</v>
      </c>
    </row>
    <row r="191" spans="1:43" ht="15">
      <c r="A191" s="2" t="s">
        <v>679</v>
      </c>
      <c r="B191" s="5">
        <v>109777397</v>
      </c>
      <c r="C191" s="2" t="s">
        <v>23</v>
      </c>
      <c r="D191" s="2" t="s">
        <v>680</v>
      </c>
      <c r="E191" s="2" t="s">
        <v>681</v>
      </c>
      <c r="F191" s="2" t="s">
        <v>26</v>
      </c>
      <c r="G191" s="2" t="s">
        <v>26</v>
      </c>
      <c r="H191" s="2" t="s">
        <v>27</v>
      </c>
      <c r="I191" s="2" t="s">
        <v>28</v>
      </c>
      <c r="J191" s="6"/>
      <c r="K191" s="2" t="s">
        <v>682</v>
      </c>
      <c r="L191" s="2" t="s">
        <v>682</v>
      </c>
      <c r="M191" s="2"/>
      <c r="N191" s="2"/>
      <c r="O191" s="2"/>
      <c r="P191" s="6" t="s">
        <v>57</v>
      </c>
      <c r="Q191" s="6" t="s">
        <v>57</v>
      </c>
      <c r="R191" s="9">
        <v>8200</v>
      </c>
      <c r="S191" s="2"/>
      <c r="T191" s="9">
        <v>2733</v>
      </c>
      <c r="U191" s="9">
        <v>5623</v>
      </c>
      <c r="V191" s="9">
        <v>14482</v>
      </c>
      <c r="W191" s="9">
        <v>10798</v>
      </c>
      <c r="X191" s="9">
        <v>10760</v>
      </c>
      <c r="Y191" s="9">
        <v>6717</v>
      </c>
      <c r="Z191" s="9">
        <v>4967</v>
      </c>
      <c r="AA191" s="9">
        <v>4923</v>
      </c>
      <c r="AB191" s="9">
        <v>6416</v>
      </c>
      <c r="AC191" s="9">
        <v>14932</v>
      </c>
      <c r="AD191" s="9">
        <v>15099</v>
      </c>
      <c r="AE191" s="6" t="s">
        <v>57</v>
      </c>
      <c r="AF191" s="6" t="s">
        <v>57</v>
      </c>
      <c r="AG191" s="6" t="s">
        <v>57</v>
      </c>
      <c r="AH191" s="6" t="s">
        <v>57</v>
      </c>
      <c r="AI191" s="6" t="s">
        <v>57</v>
      </c>
      <c r="AJ191" s="6" t="s">
        <v>57</v>
      </c>
      <c r="AK191" s="6" t="s">
        <v>57</v>
      </c>
      <c r="AL191" s="6" t="s">
        <v>57</v>
      </c>
      <c r="AM191" s="6" t="s">
        <v>57</v>
      </c>
      <c r="AN191" s="6" t="s">
        <v>57</v>
      </c>
      <c r="AO191" s="6" t="s">
        <v>57</v>
      </c>
      <c r="AP191" s="6" t="s">
        <v>57</v>
      </c>
      <c r="AQ191" s="9">
        <v>10678</v>
      </c>
    </row>
    <row r="192" spans="1:43" ht="15">
      <c r="A192" s="2" t="s">
        <v>683</v>
      </c>
      <c r="B192" s="5">
        <v>107031247</v>
      </c>
      <c r="C192" s="2" t="s">
        <v>23</v>
      </c>
      <c r="D192" s="2" t="s">
        <v>684</v>
      </c>
      <c r="E192" s="2" t="s">
        <v>685</v>
      </c>
      <c r="F192" s="2" t="s">
        <v>26</v>
      </c>
      <c r="G192" s="2" t="s">
        <v>26</v>
      </c>
      <c r="H192" s="2" t="s">
        <v>27</v>
      </c>
      <c r="I192" s="2" t="s">
        <v>28</v>
      </c>
      <c r="J192" s="6"/>
      <c r="K192" s="2" t="s">
        <v>55</v>
      </c>
      <c r="L192" s="2" t="s">
        <v>56</v>
      </c>
      <c r="M192" s="2" t="s">
        <v>55</v>
      </c>
      <c r="N192" s="2"/>
      <c r="O192" s="2"/>
      <c r="P192" s="6" t="s">
        <v>57</v>
      </c>
      <c r="Q192" s="6" t="s">
        <v>57</v>
      </c>
      <c r="R192" s="9">
        <v>0</v>
      </c>
      <c r="S192" s="2"/>
      <c r="T192" s="9">
        <v>0</v>
      </c>
      <c r="U192" s="9">
        <v>0</v>
      </c>
      <c r="V192" s="9">
        <v>0</v>
      </c>
      <c r="W192" s="9">
        <v>0</v>
      </c>
      <c r="X192" s="9">
        <v>0</v>
      </c>
      <c r="Y192" s="9">
        <v>0</v>
      </c>
      <c r="Z192" s="9">
        <v>0</v>
      </c>
      <c r="AA192" s="9">
        <v>373</v>
      </c>
      <c r="AB192" s="9">
        <v>0</v>
      </c>
      <c r="AC192" s="9">
        <v>0</v>
      </c>
      <c r="AD192" s="9">
        <v>0</v>
      </c>
      <c r="AE192" s="6" t="s">
        <v>57</v>
      </c>
      <c r="AF192" s="6" t="s">
        <v>57</v>
      </c>
      <c r="AG192" s="6" t="s">
        <v>57</v>
      </c>
      <c r="AH192" s="6" t="s">
        <v>57</v>
      </c>
      <c r="AI192" s="6" t="s">
        <v>57</v>
      </c>
      <c r="AJ192" s="6" t="s">
        <v>57</v>
      </c>
      <c r="AK192" s="6" t="s">
        <v>57</v>
      </c>
      <c r="AL192" s="6" t="s">
        <v>57</v>
      </c>
      <c r="AM192" s="6" t="s">
        <v>57</v>
      </c>
      <c r="AN192" s="6" t="s">
        <v>57</v>
      </c>
      <c r="AO192" s="6" t="s">
        <v>57</v>
      </c>
      <c r="AP192" s="6" t="s">
        <v>57</v>
      </c>
      <c r="AQ192" s="9">
        <v>0</v>
      </c>
    </row>
    <row r="193" spans="1:43" ht="15">
      <c r="A193" s="2" t="s">
        <v>686</v>
      </c>
      <c r="B193" s="5">
        <v>116736017</v>
      </c>
      <c r="C193" s="2" t="s">
        <v>23</v>
      </c>
      <c r="D193" s="2" t="s">
        <v>687</v>
      </c>
      <c r="E193" s="2" t="s">
        <v>688</v>
      </c>
      <c r="F193" s="2" t="s">
        <v>26</v>
      </c>
      <c r="G193" s="2" t="s">
        <v>26</v>
      </c>
      <c r="H193" s="2" t="s">
        <v>27</v>
      </c>
      <c r="I193" s="2" t="s">
        <v>28</v>
      </c>
      <c r="J193" s="6"/>
      <c r="K193" s="2" t="s">
        <v>55</v>
      </c>
      <c r="L193" s="2" t="s">
        <v>56</v>
      </c>
      <c r="M193" s="2" t="s">
        <v>55</v>
      </c>
      <c r="N193" s="2"/>
      <c r="O193" s="2"/>
      <c r="P193" s="6" t="s">
        <v>57</v>
      </c>
      <c r="Q193" s="6" t="s">
        <v>57</v>
      </c>
      <c r="R193" s="6" t="s">
        <v>57</v>
      </c>
      <c r="S193" s="2"/>
      <c r="T193" s="6" t="s">
        <v>57</v>
      </c>
      <c r="U193" s="6" t="s">
        <v>57</v>
      </c>
      <c r="V193" s="6" t="s">
        <v>57</v>
      </c>
      <c r="W193" s="6" t="s">
        <v>57</v>
      </c>
      <c r="X193" s="6" t="s">
        <v>57</v>
      </c>
      <c r="Y193" s="6" t="s">
        <v>57</v>
      </c>
      <c r="Z193" s="6" t="s">
        <v>57</v>
      </c>
      <c r="AA193" s="6" t="s">
        <v>57</v>
      </c>
      <c r="AB193" s="6" t="s">
        <v>57</v>
      </c>
      <c r="AC193" s="6" t="s">
        <v>57</v>
      </c>
      <c r="AD193" s="6" t="s">
        <v>57</v>
      </c>
      <c r="AE193" s="6" t="s">
        <v>57</v>
      </c>
      <c r="AF193" s="6" t="s">
        <v>57</v>
      </c>
      <c r="AG193" s="6" t="s">
        <v>57</v>
      </c>
      <c r="AH193" s="6" t="s">
        <v>57</v>
      </c>
      <c r="AI193" s="6" t="s">
        <v>57</v>
      </c>
      <c r="AJ193" s="6" t="s">
        <v>57</v>
      </c>
      <c r="AK193" s="6" t="s">
        <v>57</v>
      </c>
      <c r="AL193" s="6" t="s">
        <v>57</v>
      </c>
      <c r="AM193" s="6" t="s">
        <v>57</v>
      </c>
      <c r="AN193" s="6" t="s">
        <v>57</v>
      </c>
      <c r="AO193" s="6" t="s">
        <v>57</v>
      </c>
      <c r="AP193" s="6" t="s">
        <v>57</v>
      </c>
      <c r="AQ193" s="6" t="s">
        <v>57</v>
      </c>
    </row>
    <row r="194" spans="1:43" ht="15">
      <c r="A194" s="2" t="s">
        <v>689</v>
      </c>
      <c r="B194" s="5">
        <v>106571241</v>
      </c>
      <c r="C194" s="2" t="s">
        <v>23</v>
      </c>
      <c r="D194" s="2" t="s">
        <v>690</v>
      </c>
      <c r="E194" s="2" t="s">
        <v>691</v>
      </c>
      <c r="F194" s="2" t="s">
        <v>26</v>
      </c>
      <c r="G194" s="2"/>
      <c r="H194" s="2"/>
      <c r="I194" s="2" t="s">
        <v>28</v>
      </c>
      <c r="J194" s="6"/>
      <c r="K194" s="2" t="s">
        <v>55</v>
      </c>
      <c r="L194" s="2" t="s">
        <v>56</v>
      </c>
      <c r="M194" s="2" t="s">
        <v>55</v>
      </c>
      <c r="N194" s="2"/>
      <c r="O194" s="2"/>
      <c r="P194" s="6" t="s">
        <v>57</v>
      </c>
      <c r="Q194" s="6" t="s">
        <v>57</v>
      </c>
      <c r="R194" s="9">
        <v>0</v>
      </c>
      <c r="S194" s="2"/>
      <c r="T194" s="9">
        <v>0</v>
      </c>
      <c r="U194" s="9">
        <v>2</v>
      </c>
      <c r="V194" s="9">
        <v>132</v>
      </c>
      <c r="W194" s="9">
        <v>5558</v>
      </c>
      <c r="X194" s="9">
        <v>5543</v>
      </c>
      <c r="Y194" s="9">
        <v>19096</v>
      </c>
      <c r="Z194" s="9">
        <v>12971</v>
      </c>
      <c r="AA194" s="9">
        <v>10664</v>
      </c>
      <c r="AB194" s="9">
        <v>2</v>
      </c>
      <c r="AC194" s="9">
        <v>139</v>
      </c>
      <c r="AD194" s="9">
        <v>597</v>
      </c>
      <c r="AE194" s="6" t="s">
        <v>57</v>
      </c>
      <c r="AF194" s="6" t="s">
        <v>57</v>
      </c>
      <c r="AG194" s="6" t="s">
        <v>57</v>
      </c>
      <c r="AH194" s="6" t="s">
        <v>57</v>
      </c>
      <c r="AI194" s="6" t="s">
        <v>57</v>
      </c>
      <c r="AJ194" s="6" t="s">
        <v>57</v>
      </c>
      <c r="AK194" s="6" t="s">
        <v>57</v>
      </c>
      <c r="AL194" s="6" t="s">
        <v>57</v>
      </c>
      <c r="AM194" s="6" t="s">
        <v>57</v>
      </c>
      <c r="AN194" s="6" t="s">
        <v>57</v>
      </c>
      <c r="AO194" s="6" t="s">
        <v>57</v>
      </c>
      <c r="AP194" s="6" t="s">
        <v>57</v>
      </c>
      <c r="AQ194" s="9">
        <v>0</v>
      </c>
    </row>
    <row r="195" spans="1:43" ht="15">
      <c r="A195" s="2" t="s">
        <v>692</v>
      </c>
      <c r="B195" s="5">
        <v>9001888</v>
      </c>
      <c r="C195" s="2" t="s">
        <v>23</v>
      </c>
      <c r="D195" s="2" t="s">
        <v>693</v>
      </c>
      <c r="E195" s="2" t="s">
        <v>694</v>
      </c>
      <c r="F195" s="2" t="s">
        <v>26</v>
      </c>
      <c r="G195" s="2" t="s">
        <v>26</v>
      </c>
      <c r="H195" s="2" t="s">
        <v>27</v>
      </c>
      <c r="I195" s="2" t="s">
        <v>28</v>
      </c>
      <c r="J195" s="6"/>
      <c r="K195" s="2" t="s">
        <v>55</v>
      </c>
      <c r="L195" s="2" t="s">
        <v>56</v>
      </c>
      <c r="M195" s="2" t="s">
        <v>55</v>
      </c>
      <c r="N195" s="2"/>
      <c r="O195" s="2"/>
      <c r="P195" s="7">
        <v>1.8315190431644399</v>
      </c>
      <c r="Q195" s="6" t="s">
        <v>57</v>
      </c>
      <c r="R195" s="9">
        <v>0</v>
      </c>
      <c r="S195" s="2"/>
      <c r="T195" s="9">
        <v>0</v>
      </c>
      <c r="U195" s="9">
        <v>0</v>
      </c>
      <c r="V195" s="9">
        <v>0</v>
      </c>
      <c r="W195" s="9">
        <v>0</v>
      </c>
      <c r="X195" s="9">
        <v>0</v>
      </c>
      <c r="Y195" s="9">
        <v>0</v>
      </c>
      <c r="Z195" s="9">
        <v>0</v>
      </c>
      <c r="AA195" s="9">
        <v>73</v>
      </c>
      <c r="AB195" s="9">
        <v>0</v>
      </c>
      <c r="AC195" s="9">
        <v>0</v>
      </c>
      <c r="AD195" s="9">
        <v>0</v>
      </c>
      <c r="AE195" s="6" t="s">
        <v>57</v>
      </c>
      <c r="AF195" s="6" t="s">
        <v>57</v>
      </c>
      <c r="AG195" s="6" t="s">
        <v>57</v>
      </c>
      <c r="AH195" s="6" t="s">
        <v>57</v>
      </c>
      <c r="AI195" s="6" t="s">
        <v>57</v>
      </c>
      <c r="AJ195" s="6" t="s">
        <v>57</v>
      </c>
      <c r="AK195" s="6" t="s">
        <v>57</v>
      </c>
      <c r="AL195" s="6" t="s">
        <v>57</v>
      </c>
      <c r="AM195" s="6" t="s">
        <v>57</v>
      </c>
      <c r="AN195" s="6" t="s">
        <v>57</v>
      </c>
      <c r="AO195" s="6" t="s">
        <v>57</v>
      </c>
      <c r="AP195" s="6" t="s">
        <v>57</v>
      </c>
      <c r="AQ195" s="9">
        <v>0</v>
      </c>
    </row>
    <row r="196" spans="1:43" ht="15">
      <c r="A196" s="2" t="s">
        <v>695</v>
      </c>
      <c r="B196" s="5">
        <v>27584888</v>
      </c>
      <c r="C196" s="2" t="s">
        <v>23</v>
      </c>
      <c r="D196" s="2" t="s">
        <v>696</v>
      </c>
      <c r="E196" s="2" t="s">
        <v>697</v>
      </c>
      <c r="F196" s="2" t="s">
        <v>26</v>
      </c>
      <c r="G196" s="2" t="s">
        <v>26</v>
      </c>
      <c r="H196" s="2" t="s">
        <v>27</v>
      </c>
      <c r="I196" s="2" t="s">
        <v>28</v>
      </c>
      <c r="J196" s="6"/>
      <c r="K196" s="2" t="s">
        <v>55</v>
      </c>
      <c r="L196" s="2" t="s">
        <v>56</v>
      </c>
      <c r="M196" s="2" t="s">
        <v>55</v>
      </c>
      <c r="N196" s="2"/>
      <c r="O196" s="2"/>
      <c r="P196" s="6" t="s">
        <v>57</v>
      </c>
      <c r="Q196" s="6" t="s">
        <v>57</v>
      </c>
      <c r="R196" s="9">
        <v>0</v>
      </c>
      <c r="S196" s="2"/>
      <c r="T196" s="9">
        <v>0</v>
      </c>
      <c r="U196" s="9">
        <v>0</v>
      </c>
      <c r="V196" s="9">
        <v>0</v>
      </c>
      <c r="W196" s="9">
        <v>0</v>
      </c>
      <c r="X196" s="9">
        <v>0</v>
      </c>
      <c r="Y196" s="9">
        <v>0</v>
      </c>
      <c r="Z196" s="9">
        <v>0</v>
      </c>
      <c r="AA196" s="9">
        <v>456</v>
      </c>
      <c r="AB196" s="9">
        <v>0</v>
      </c>
      <c r="AC196" s="9">
        <v>0</v>
      </c>
      <c r="AD196" s="9">
        <v>0</v>
      </c>
      <c r="AE196" s="6" t="s">
        <v>57</v>
      </c>
      <c r="AF196" s="6" t="s">
        <v>57</v>
      </c>
      <c r="AG196" s="6" t="s">
        <v>57</v>
      </c>
      <c r="AH196" s="6" t="s">
        <v>57</v>
      </c>
      <c r="AI196" s="6" t="s">
        <v>57</v>
      </c>
      <c r="AJ196" s="6" t="s">
        <v>57</v>
      </c>
      <c r="AK196" s="6" t="s">
        <v>57</v>
      </c>
      <c r="AL196" s="6" t="s">
        <v>57</v>
      </c>
      <c r="AM196" s="6" t="s">
        <v>57</v>
      </c>
      <c r="AN196" s="6" t="s">
        <v>57</v>
      </c>
      <c r="AO196" s="6" t="s">
        <v>57</v>
      </c>
      <c r="AP196" s="6" t="s">
        <v>57</v>
      </c>
      <c r="AQ196" s="9">
        <v>0</v>
      </c>
    </row>
    <row r="197" spans="1:43" ht="15">
      <c r="A197" s="2" t="s">
        <v>698</v>
      </c>
      <c r="B197" s="5">
        <v>119899023</v>
      </c>
      <c r="C197" s="2" t="s">
        <v>23</v>
      </c>
      <c r="D197" s="2" t="s">
        <v>699</v>
      </c>
      <c r="E197" s="2" t="s">
        <v>700</v>
      </c>
      <c r="F197" s="2" t="s">
        <v>26</v>
      </c>
      <c r="G197" s="2" t="s">
        <v>26</v>
      </c>
      <c r="H197" s="2" t="s">
        <v>27</v>
      </c>
      <c r="I197" s="2" t="s">
        <v>28</v>
      </c>
      <c r="J197" s="6"/>
      <c r="K197" s="2" t="s">
        <v>55</v>
      </c>
      <c r="L197" s="2" t="s">
        <v>56</v>
      </c>
      <c r="M197" s="2" t="s">
        <v>55</v>
      </c>
      <c r="N197" s="2"/>
      <c r="O197" s="2"/>
      <c r="P197" s="6" t="s">
        <v>57</v>
      </c>
      <c r="Q197" s="6" t="s">
        <v>57</v>
      </c>
      <c r="R197" s="6" t="s">
        <v>57</v>
      </c>
      <c r="S197" s="2"/>
      <c r="T197" s="6" t="s">
        <v>57</v>
      </c>
      <c r="U197" s="6" t="s">
        <v>57</v>
      </c>
      <c r="V197" s="6" t="s">
        <v>57</v>
      </c>
      <c r="W197" s="6" t="s">
        <v>57</v>
      </c>
      <c r="X197" s="6" t="s">
        <v>57</v>
      </c>
      <c r="Y197" s="6" t="s">
        <v>57</v>
      </c>
      <c r="Z197" s="6" t="s">
        <v>57</v>
      </c>
      <c r="AA197" s="6" t="s">
        <v>57</v>
      </c>
      <c r="AB197" s="6" t="s">
        <v>57</v>
      </c>
      <c r="AC197" s="6" t="s">
        <v>57</v>
      </c>
      <c r="AD197" s="6" t="s">
        <v>57</v>
      </c>
      <c r="AE197" s="6" t="s">
        <v>57</v>
      </c>
      <c r="AF197" s="6" t="s">
        <v>57</v>
      </c>
      <c r="AG197" s="6" t="s">
        <v>57</v>
      </c>
      <c r="AH197" s="6" t="s">
        <v>57</v>
      </c>
      <c r="AI197" s="6" t="s">
        <v>57</v>
      </c>
      <c r="AJ197" s="6" t="s">
        <v>57</v>
      </c>
      <c r="AK197" s="6" t="s">
        <v>57</v>
      </c>
      <c r="AL197" s="6" t="s">
        <v>57</v>
      </c>
      <c r="AM197" s="6" t="s">
        <v>57</v>
      </c>
      <c r="AN197" s="6" t="s">
        <v>57</v>
      </c>
      <c r="AO197" s="6" t="s">
        <v>57</v>
      </c>
      <c r="AP197" s="6" t="s">
        <v>57</v>
      </c>
      <c r="AQ197" s="6" t="s">
        <v>57</v>
      </c>
    </row>
    <row r="198" spans="1:43" ht="15">
      <c r="A198" s="2" t="s">
        <v>701</v>
      </c>
      <c r="B198" s="5">
        <v>14878472</v>
      </c>
      <c r="C198" s="2" t="s">
        <v>23</v>
      </c>
      <c r="D198" s="2" t="s">
        <v>702</v>
      </c>
      <c r="E198" s="2" t="s">
        <v>703</v>
      </c>
      <c r="F198" s="2" t="s">
        <v>26</v>
      </c>
      <c r="G198" s="2"/>
      <c r="H198" s="2"/>
      <c r="I198" s="2" t="s">
        <v>28</v>
      </c>
      <c r="J198" s="6"/>
      <c r="K198" s="2" t="s">
        <v>55</v>
      </c>
      <c r="L198" s="2" t="s">
        <v>56</v>
      </c>
      <c r="M198" s="2" t="s">
        <v>55</v>
      </c>
      <c r="N198" s="2"/>
      <c r="O198" s="2"/>
      <c r="P198" s="7">
        <v>15.4461281324543</v>
      </c>
      <c r="Q198" s="6" t="s">
        <v>57</v>
      </c>
      <c r="R198" s="9">
        <v>0</v>
      </c>
      <c r="S198" s="2"/>
      <c r="T198" s="9">
        <v>0</v>
      </c>
      <c r="U198" s="9">
        <v>0</v>
      </c>
      <c r="V198" s="9">
        <v>0</v>
      </c>
      <c r="W198" s="9">
        <v>0</v>
      </c>
      <c r="X198" s="9">
        <v>0</v>
      </c>
      <c r="Y198" s="9">
        <v>0</v>
      </c>
      <c r="Z198" s="9">
        <v>27</v>
      </c>
      <c r="AA198" s="9">
        <v>16</v>
      </c>
      <c r="AB198" s="9">
        <v>0</v>
      </c>
      <c r="AC198" s="9">
        <v>0</v>
      </c>
      <c r="AD198" s="9">
        <v>0</v>
      </c>
      <c r="AE198" s="6" t="s">
        <v>57</v>
      </c>
      <c r="AF198" s="6" t="s">
        <v>57</v>
      </c>
      <c r="AG198" s="6" t="s">
        <v>57</v>
      </c>
      <c r="AH198" s="6" t="s">
        <v>57</v>
      </c>
      <c r="AI198" s="6" t="s">
        <v>57</v>
      </c>
      <c r="AJ198" s="6" t="s">
        <v>57</v>
      </c>
      <c r="AK198" s="6" t="s">
        <v>57</v>
      </c>
      <c r="AL198" s="6" t="s">
        <v>57</v>
      </c>
      <c r="AM198" s="6" t="s">
        <v>57</v>
      </c>
      <c r="AN198" s="6" t="s">
        <v>57</v>
      </c>
      <c r="AO198" s="6" t="s">
        <v>57</v>
      </c>
      <c r="AP198" s="6" t="s">
        <v>57</v>
      </c>
      <c r="AQ198" s="9">
        <v>0</v>
      </c>
    </row>
    <row r="199" spans="1:43" ht="15">
      <c r="A199" s="2" t="s">
        <v>704</v>
      </c>
      <c r="B199" s="5">
        <v>14742605</v>
      </c>
      <c r="C199" s="2" t="s">
        <v>23</v>
      </c>
      <c r="D199" s="2" t="s">
        <v>705</v>
      </c>
      <c r="E199" s="2" t="s">
        <v>706</v>
      </c>
      <c r="F199" s="2" t="s">
        <v>26</v>
      </c>
      <c r="G199" s="2" t="s">
        <v>26</v>
      </c>
      <c r="H199" s="2" t="s">
        <v>27</v>
      </c>
      <c r="I199" s="2" t="s">
        <v>28</v>
      </c>
      <c r="J199" s="6"/>
      <c r="K199" s="2" t="s">
        <v>55</v>
      </c>
      <c r="L199" s="2" t="s">
        <v>56</v>
      </c>
      <c r="M199" s="2" t="s">
        <v>55</v>
      </c>
      <c r="N199" s="2"/>
      <c r="O199" s="2"/>
      <c r="P199" s="7">
        <v>3.18275822790384</v>
      </c>
      <c r="Q199" s="6" t="s">
        <v>57</v>
      </c>
      <c r="R199" s="9">
        <v>0</v>
      </c>
      <c r="S199" s="2"/>
      <c r="T199" s="9">
        <v>0</v>
      </c>
      <c r="U199" s="9">
        <v>0</v>
      </c>
      <c r="V199" s="9">
        <v>0</v>
      </c>
      <c r="W199" s="9">
        <v>234</v>
      </c>
      <c r="X199" s="9">
        <v>233</v>
      </c>
      <c r="Y199" s="9">
        <v>117</v>
      </c>
      <c r="Z199" s="9">
        <v>78</v>
      </c>
      <c r="AA199" s="9">
        <v>224</v>
      </c>
      <c r="AB199" s="9">
        <v>0</v>
      </c>
      <c r="AC199" s="9">
        <v>0</v>
      </c>
      <c r="AD199" s="9">
        <v>0</v>
      </c>
      <c r="AE199" s="6" t="s">
        <v>57</v>
      </c>
      <c r="AF199" s="6" t="s">
        <v>57</v>
      </c>
      <c r="AG199" s="6" t="s">
        <v>57</v>
      </c>
      <c r="AH199" s="6" t="s">
        <v>57</v>
      </c>
      <c r="AI199" s="6" t="s">
        <v>57</v>
      </c>
      <c r="AJ199" s="6" t="s">
        <v>57</v>
      </c>
      <c r="AK199" s="6" t="s">
        <v>57</v>
      </c>
      <c r="AL199" s="6" t="s">
        <v>57</v>
      </c>
      <c r="AM199" s="6" t="s">
        <v>57</v>
      </c>
      <c r="AN199" s="6" t="s">
        <v>57</v>
      </c>
      <c r="AO199" s="6" t="s">
        <v>57</v>
      </c>
      <c r="AP199" s="6" t="s">
        <v>57</v>
      </c>
      <c r="AQ199" s="9">
        <v>0</v>
      </c>
    </row>
    <row r="200" spans="1:43" ht="15">
      <c r="A200" s="2" t="s">
        <v>707</v>
      </c>
      <c r="B200" s="5">
        <v>141708338</v>
      </c>
      <c r="C200" s="2" t="s">
        <v>23</v>
      </c>
      <c r="D200" s="2" t="s">
        <v>708</v>
      </c>
      <c r="E200" s="2" t="s">
        <v>709</v>
      </c>
      <c r="F200" s="2" t="s">
        <v>26</v>
      </c>
      <c r="G200" s="2"/>
      <c r="H200" s="2"/>
      <c r="I200" s="2" t="s">
        <v>28</v>
      </c>
      <c r="J200" s="6"/>
      <c r="K200" s="2" t="s">
        <v>55</v>
      </c>
      <c r="L200" s="2" t="s">
        <v>56</v>
      </c>
      <c r="M200" s="2" t="s">
        <v>55</v>
      </c>
      <c r="N200" s="2"/>
      <c r="O200" s="2"/>
      <c r="P200" s="6" t="s">
        <v>57</v>
      </c>
      <c r="Q200" s="6" t="s">
        <v>57</v>
      </c>
      <c r="R200" s="6" t="s">
        <v>57</v>
      </c>
      <c r="S200" s="2"/>
      <c r="T200" s="6" t="s">
        <v>57</v>
      </c>
      <c r="U200" s="6" t="s">
        <v>57</v>
      </c>
      <c r="V200" s="6" t="s">
        <v>57</v>
      </c>
      <c r="W200" s="6" t="s">
        <v>57</v>
      </c>
      <c r="X200" s="6" t="s">
        <v>57</v>
      </c>
      <c r="Y200" s="6" t="s">
        <v>57</v>
      </c>
      <c r="Z200" s="6" t="s">
        <v>57</v>
      </c>
      <c r="AA200" s="6" t="s">
        <v>57</v>
      </c>
      <c r="AB200" s="6" t="s">
        <v>57</v>
      </c>
      <c r="AC200" s="6" t="s">
        <v>57</v>
      </c>
      <c r="AD200" s="6" t="s">
        <v>57</v>
      </c>
      <c r="AE200" s="6" t="s">
        <v>57</v>
      </c>
      <c r="AF200" s="6" t="s">
        <v>57</v>
      </c>
      <c r="AG200" s="6" t="s">
        <v>57</v>
      </c>
      <c r="AH200" s="6" t="s">
        <v>57</v>
      </c>
      <c r="AI200" s="6" t="s">
        <v>57</v>
      </c>
      <c r="AJ200" s="6" t="s">
        <v>57</v>
      </c>
      <c r="AK200" s="6" t="s">
        <v>57</v>
      </c>
      <c r="AL200" s="6" t="s">
        <v>57</v>
      </c>
      <c r="AM200" s="6" t="s">
        <v>57</v>
      </c>
      <c r="AN200" s="6" t="s">
        <v>57</v>
      </c>
      <c r="AO200" s="6" t="s">
        <v>57</v>
      </c>
      <c r="AP200" s="6" t="s">
        <v>57</v>
      </c>
      <c r="AQ200" s="6" t="s">
        <v>57</v>
      </c>
    </row>
    <row r="201" spans="1:43" ht="15">
      <c r="A201" s="2" t="s">
        <v>710</v>
      </c>
      <c r="B201" s="5">
        <v>10675755</v>
      </c>
      <c r="C201" s="2" t="s">
        <v>23</v>
      </c>
      <c r="D201" s="2" t="s">
        <v>711</v>
      </c>
      <c r="E201" s="2" t="s">
        <v>712</v>
      </c>
      <c r="F201" s="2" t="s">
        <v>26</v>
      </c>
      <c r="G201" s="2" t="s">
        <v>26</v>
      </c>
      <c r="H201" s="2" t="s">
        <v>27</v>
      </c>
      <c r="I201" s="2" t="s">
        <v>28</v>
      </c>
      <c r="J201" s="6"/>
      <c r="K201" s="2" t="s">
        <v>55</v>
      </c>
      <c r="L201" s="2" t="s">
        <v>56</v>
      </c>
      <c r="M201" s="2" t="s">
        <v>55</v>
      </c>
      <c r="N201" s="2"/>
      <c r="O201" s="2"/>
      <c r="P201" s="7">
        <v>5.2923418609138704</v>
      </c>
      <c r="Q201" s="6" t="s">
        <v>57</v>
      </c>
      <c r="R201" s="9">
        <v>0</v>
      </c>
      <c r="S201" s="2"/>
      <c r="T201" s="9">
        <v>0</v>
      </c>
      <c r="U201" s="9">
        <v>0</v>
      </c>
      <c r="V201" s="9">
        <v>0</v>
      </c>
      <c r="W201" s="9">
        <v>0</v>
      </c>
      <c r="X201" s="9">
        <v>0</v>
      </c>
      <c r="Y201" s="9">
        <v>2</v>
      </c>
      <c r="Z201" s="9">
        <v>4</v>
      </c>
      <c r="AA201" s="9">
        <v>4</v>
      </c>
      <c r="AB201" s="9">
        <v>0</v>
      </c>
      <c r="AC201" s="9">
        <v>0</v>
      </c>
      <c r="AD201" s="9">
        <v>0</v>
      </c>
      <c r="AE201" s="6" t="s">
        <v>57</v>
      </c>
      <c r="AF201" s="6" t="s">
        <v>57</v>
      </c>
      <c r="AG201" s="6" t="s">
        <v>57</v>
      </c>
      <c r="AH201" s="6" t="s">
        <v>57</v>
      </c>
      <c r="AI201" s="6" t="s">
        <v>57</v>
      </c>
      <c r="AJ201" s="6" t="s">
        <v>57</v>
      </c>
      <c r="AK201" s="6" t="s">
        <v>57</v>
      </c>
      <c r="AL201" s="6" t="s">
        <v>57</v>
      </c>
      <c r="AM201" s="6" t="s">
        <v>57</v>
      </c>
      <c r="AN201" s="6" t="s">
        <v>57</v>
      </c>
      <c r="AO201" s="6" t="s">
        <v>57</v>
      </c>
      <c r="AP201" s="6" t="s">
        <v>57</v>
      </c>
      <c r="AQ201" s="9">
        <v>0</v>
      </c>
    </row>
    <row r="202" spans="1:43" ht="15">
      <c r="A202" s="2" t="s">
        <v>713</v>
      </c>
      <c r="B202" s="5">
        <v>19780343</v>
      </c>
      <c r="C202" s="2" t="s">
        <v>23</v>
      </c>
      <c r="D202" s="2" t="s">
        <v>714</v>
      </c>
      <c r="E202" s="2" t="s">
        <v>715</v>
      </c>
      <c r="F202" s="2" t="s">
        <v>26</v>
      </c>
      <c r="G202" s="2" t="s">
        <v>26</v>
      </c>
      <c r="H202" s="2" t="s">
        <v>27</v>
      </c>
      <c r="I202" s="2" t="s">
        <v>28</v>
      </c>
      <c r="J202" s="6"/>
      <c r="K202" s="2" t="s">
        <v>55</v>
      </c>
      <c r="L202" s="2" t="s">
        <v>56</v>
      </c>
      <c r="M202" s="2" t="s">
        <v>55</v>
      </c>
      <c r="N202" s="2"/>
      <c r="O202" s="2"/>
      <c r="P202" s="7">
        <v>0.783597663467968</v>
      </c>
      <c r="Q202" s="6" t="s">
        <v>57</v>
      </c>
      <c r="R202" s="9">
        <v>0</v>
      </c>
      <c r="S202" s="2"/>
      <c r="T202" s="9">
        <v>0</v>
      </c>
      <c r="U202" s="9">
        <v>0</v>
      </c>
      <c r="V202" s="9">
        <v>0</v>
      </c>
      <c r="W202" s="9">
        <v>0</v>
      </c>
      <c r="X202" s="9">
        <v>0</v>
      </c>
      <c r="Y202" s="9">
        <v>0</v>
      </c>
      <c r="Z202" s="9">
        <v>0</v>
      </c>
      <c r="AA202" s="9">
        <v>80</v>
      </c>
      <c r="AB202" s="9">
        <v>0</v>
      </c>
      <c r="AC202" s="9">
        <v>0</v>
      </c>
      <c r="AD202" s="9">
        <v>0</v>
      </c>
      <c r="AE202" s="6" t="s">
        <v>57</v>
      </c>
      <c r="AF202" s="6" t="s">
        <v>57</v>
      </c>
      <c r="AG202" s="6" t="s">
        <v>57</v>
      </c>
      <c r="AH202" s="6" t="s">
        <v>57</v>
      </c>
      <c r="AI202" s="6" t="s">
        <v>57</v>
      </c>
      <c r="AJ202" s="6" t="s">
        <v>57</v>
      </c>
      <c r="AK202" s="6" t="s">
        <v>57</v>
      </c>
      <c r="AL202" s="6" t="s">
        <v>57</v>
      </c>
      <c r="AM202" s="6" t="s">
        <v>57</v>
      </c>
      <c r="AN202" s="6" t="s">
        <v>57</v>
      </c>
      <c r="AO202" s="6" t="s">
        <v>57</v>
      </c>
      <c r="AP202" s="6" t="s">
        <v>57</v>
      </c>
      <c r="AQ202" s="9">
        <v>0</v>
      </c>
    </row>
    <row r="203" spans="1:43" ht="15">
      <c r="A203" s="2" t="s">
        <v>716</v>
      </c>
      <c r="B203" s="5">
        <v>124795055</v>
      </c>
      <c r="C203" s="2" t="s">
        <v>23</v>
      </c>
      <c r="D203" s="2" t="s">
        <v>717</v>
      </c>
      <c r="E203" s="2" t="s">
        <v>718</v>
      </c>
      <c r="F203" s="2" t="s">
        <v>26</v>
      </c>
      <c r="G203" s="2" t="s">
        <v>26</v>
      </c>
      <c r="H203" s="2" t="s">
        <v>27</v>
      </c>
      <c r="I203" s="2" t="s">
        <v>28</v>
      </c>
      <c r="J203" s="6"/>
      <c r="K203" s="2" t="s">
        <v>55</v>
      </c>
      <c r="L203" s="2" t="s">
        <v>56</v>
      </c>
      <c r="M203" s="2" t="s">
        <v>55</v>
      </c>
      <c r="N203" s="2"/>
      <c r="O203" s="2"/>
      <c r="P203" s="6" t="s">
        <v>57</v>
      </c>
      <c r="Q203" s="6" t="s">
        <v>57</v>
      </c>
      <c r="R203" s="9">
        <v>0</v>
      </c>
      <c r="S203" s="2"/>
      <c r="T203" s="9">
        <v>0</v>
      </c>
      <c r="U203" s="9">
        <v>0</v>
      </c>
      <c r="V203" s="9">
        <v>0</v>
      </c>
      <c r="W203" s="9">
        <v>0</v>
      </c>
      <c r="X203" s="9">
        <v>0</v>
      </c>
      <c r="Y203" s="9">
        <v>865</v>
      </c>
      <c r="Z203" s="9">
        <v>865</v>
      </c>
      <c r="AA203" s="9">
        <v>865</v>
      </c>
      <c r="AB203" s="9">
        <v>0</v>
      </c>
      <c r="AC203" s="9">
        <v>0</v>
      </c>
      <c r="AD203" s="9">
        <v>0</v>
      </c>
      <c r="AE203" s="6" t="s">
        <v>57</v>
      </c>
      <c r="AF203" s="6" t="s">
        <v>57</v>
      </c>
      <c r="AG203" s="6" t="s">
        <v>57</v>
      </c>
      <c r="AH203" s="6" t="s">
        <v>57</v>
      </c>
      <c r="AI203" s="6" t="s">
        <v>57</v>
      </c>
      <c r="AJ203" s="6" t="s">
        <v>57</v>
      </c>
      <c r="AK203" s="6" t="s">
        <v>57</v>
      </c>
      <c r="AL203" s="6" t="s">
        <v>57</v>
      </c>
      <c r="AM203" s="6" t="s">
        <v>57</v>
      </c>
      <c r="AN203" s="6" t="s">
        <v>57</v>
      </c>
      <c r="AO203" s="6" t="s">
        <v>57</v>
      </c>
      <c r="AP203" s="6" t="s">
        <v>57</v>
      </c>
      <c r="AQ203" s="9">
        <v>0</v>
      </c>
    </row>
    <row r="204" spans="1:43" ht="15">
      <c r="A204" s="2" t="s">
        <v>719</v>
      </c>
      <c r="B204" s="5">
        <v>119064400</v>
      </c>
      <c r="C204" s="2" t="s">
        <v>23</v>
      </c>
      <c r="D204" s="2" t="s">
        <v>720</v>
      </c>
      <c r="E204" s="2" t="s">
        <v>721</v>
      </c>
      <c r="F204" s="2" t="s">
        <v>26</v>
      </c>
      <c r="G204" s="2" t="s">
        <v>26</v>
      </c>
      <c r="H204" s="2" t="s">
        <v>27</v>
      </c>
      <c r="I204" s="2" t="s">
        <v>28</v>
      </c>
      <c r="J204" s="6"/>
      <c r="K204" s="2" t="s">
        <v>55</v>
      </c>
      <c r="L204" s="2" t="s">
        <v>56</v>
      </c>
      <c r="M204" s="2" t="s">
        <v>55</v>
      </c>
      <c r="N204" s="2"/>
      <c r="O204" s="2"/>
      <c r="P204" s="6" t="s">
        <v>57</v>
      </c>
      <c r="Q204" s="6" t="s">
        <v>57</v>
      </c>
      <c r="R204" s="9">
        <v>0</v>
      </c>
      <c r="S204" s="2"/>
      <c r="T204" s="9">
        <v>0</v>
      </c>
      <c r="U204" s="9">
        <v>8894</v>
      </c>
      <c r="V204" s="9">
        <v>3621</v>
      </c>
      <c r="W204" s="9">
        <v>3245</v>
      </c>
      <c r="X204" s="9">
        <v>3245</v>
      </c>
      <c r="Y204" s="9">
        <v>3245</v>
      </c>
      <c r="Z204" s="9">
        <v>3245</v>
      </c>
      <c r="AA204" s="9">
        <v>3245</v>
      </c>
      <c r="AB204" s="9">
        <v>4397</v>
      </c>
      <c r="AC204" s="9">
        <v>3800</v>
      </c>
      <c r="AD204" s="9">
        <v>5559</v>
      </c>
      <c r="AE204" s="6" t="s">
        <v>57</v>
      </c>
      <c r="AF204" s="6" t="s">
        <v>57</v>
      </c>
      <c r="AG204" s="6" t="s">
        <v>57</v>
      </c>
      <c r="AH204" s="6" t="s">
        <v>57</v>
      </c>
      <c r="AI204" s="6" t="s">
        <v>57</v>
      </c>
      <c r="AJ204" s="6" t="s">
        <v>57</v>
      </c>
      <c r="AK204" s="6" t="s">
        <v>57</v>
      </c>
      <c r="AL204" s="6" t="s">
        <v>57</v>
      </c>
      <c r="AM204" s="6" t="s">
        <v>57</v>
      </c>
      <c r="AN204" s="6" t="s">
        <v>57</v>
      </c>
      <c r="AO204" s="6" t="s">
        <v>57</v>
      </c>
      <c r="AP204" s="6" t="s">
        <v>57</v>
      </c>
      <c r="AQ204" s="9">
        <v>0</v>
      </c>
    </row>
    <row r="205" spans="1:43" ht="15">
      <c r="A205" s="2" t="s">
        <v>722</v>
      </c>
      <c r="B205" s="5">
        <v>14878474</v>
      </c>
      <c r="C205" s="2" t="s">
        <v>23</v>
      </c>
      <c r="D205" s="2" t="s">
        <v>723</v>
      </c>
      <c r="E205" s="2" t="s">
        <v>724</v>
      </c>
      <c r="F205" s="2" t="s">
        <v>26</v>
      </c>
      <c r="G205" s="2" t="s">
        <v>26</v>
      </c>
      <c r="H205" s="2" t="s">
        <v>27</v>
      </c>
      <c r="I205" s="2" t="s">
        <v>28</v>
      </c>
      <c r="J205" s="6"/>
      <c r="K205" s="2" t="s">
        <v>55</v>
      </c>
      <c r="L205" s="2" t="s">
        <v>56</v>
      </c>
      <c r="M205" s="2" t="s">
        <v>55</v>
      </c>
      <c r="N205" s="2"/>
      <c r="O205" s="2"/>
      <c r="P205" s="6" t="s">
        <v>57</v>
      </c>
      <c r="Q205" s="6" t="s">
        <v>57</v>
      </c>
      <c r="R205" s="9">
        <v>0</v>
      </c>
      <c r="S205" s="2"/>
      <c r="T205" s="9">
        <v>0</v>
      </c>
      <c r="U205" s="9">
        <v>0</v>
      </c>
      <c r="V205" s="9">
        <v>0</v>
      </c>
      <c r="W205" s="9">
        <v>0</v>
      </c>
      <c r="X205" s="9">
        <v>0</v>
      </c>
      <c r="Y205" s="9">
        <v>0</v>
      </c>
      <c r="Z205" s="9">
        <v>267</v>
      </c>
      <c r="AA205" s="9">
        <v>267</v>
      </c>
      <c r="AB205" s="9">
        <v>0</v>
      </c>
      <c r="AC205" s="9">
        <v>0</v>
      </c>
      <c r="AD205" s="9">
        <v>0</v>
      </c>
      <c r="AE205" s="6" t="s">
        <v>57</v>
      </c>
      <c r="AF205" s="6" t="s">
        <v>57</v>
      </c>
      <c r="AG205" s="6" t="s">
        <v>57</v>
      </c>
      <c r="AH205" s="6" t="s">
        <v>57</v>
      </c>
      <c r="AI205" s="6" t="s">
        <v>57</v>
      </c>
      <c r="AJ205" s="6" t="s">
        <v>57</v>
      </c>
      <c r="AK205" s="6" t="s">
        <v>57</v>
      </c>
      <c r="AL205" s="6" t="s">
        <v>57</v>
      </c>
      <c r="AM205" s="6" t="s">
        <v>57</v>
      </c>
      <c r="AN205" s="6" t="s">
        <v>57</v>
      </c>
      <c r="AO205" s="6" t="s">
        <v>57</v>
      </c>
      <c r="AP205" s="6" t="s">
        <v>57</v>
      </c>
      <c r="AQ205" s="9">
        <v>0</v>
      </c>
    </row>
    <row r="206" spans="1:43" ht="15">
      <c r="A206" s="2" t="s">
        <v>725</v>
      </c>
      <c r="B206" s="5">
        <v>6871421</v>
      </c>
      <c r="C206" s="2" t="s">
        <v>23</v>
      </c>
      <c r="D206" s="2" t="s">
        <v>726</v>
      </c>
      <c r="E206" s="2" t="s">
        <v>727</v>
      </c>
      <c r="F206" s="2" t="s">
        <v>26</v>
      </c>
      <c r="G206" s="2" t="s">
        <v>26</v>
      </c>
      <c r="H206" s="2" t="s">
        <v>27</v>
      </c>
      <c r="I206" s="2" t="s">
        <v>28</v>
      </c>
      <c r="J206" s="6"/>
      <c r="K206" s="2" t="s">
        <v>55</v>
      </c>
      <c r="L206" s="2" t="s">
        <v>56</v>
      </c>
      <c r="M206" s="2" t="s">
        <v>55</v>
      </c>
      <c r="N206" s="2"/>
      <c r="O206" s="2"/>
      <c r="P206" s="7">
        <v>29.176190237581</v>
      </c>
      <c r="Q206" s="6" t="s">
        <v>57</v>
      </c>
      <c r="R206" s="9">
        <v>0</v>
      </c>
      <c r="S206" s="2" t="s">
        <v>728</v>
      </c>
      <c r="T206" s="9">
        <v>0</v>
      </c>
      <c r="U206" s="9">
        <v>0</v>
      </c>
      <c r="V206" s="9">
        <v>0</v>
      </c>
      <c r="W206" s="9">
        <v>0</v>
      </c>
      <c r="X206" s="9">
        <v>0</v>
      </c>
      <c r="Y206" s="9">
        <v>0</v>
      </c>
      <c r="Z206" s="9">
        <v>0</v>
      </c>
      <c r="AA206" s="9">
        <v>3</v>
      </c>
      <c r="AB206" s="9">
        <v>0</v>
      </c>
      <c r="AC206" s="9">
        <v>0</v>
      </c>
      <c r="AD206" s="9">
        <v>0</v>
      </c>
      <c r="AE206" s="6" t="s">
        <v>57</v>
      </c>
      <c r="AF206" s="6" t="s">
        <v>57</v>
      </c>
      <c r="AG206" s="6" t="s">
        <v>57</v>
      </c>
      <c r="AH206" s="6" t="s">
        <v>57</v>
      </c>
      <c r="AI206" s="6" t="s">
        <v>57</v>
      </c>
      <c r="AJ206" s="6" t="s">
        <v>57</v>
      </c>
      <c r="AK206" s="6" t="s">
        <v>57</v>
      </c>
      <c r="AL206" s="6" t="s">
        <v>57</v>
      </c>
      <c r="AM206" s="6" t="s">
        <v>57</v>
      </c>
      <c r="AN206" s="6" t="s">
        <v>57</v>
      </c>
      <c r="AO206" s="6" t="s">
        <v>57</v>
      </c>
      <c r="AP206" s="6" t="s">
        <v>57</v>
      </c>
      <c r="AQ206" s="9">
        <v>0</v>
      </c>
    </row>
    <row r="207" spans="1:43" ht="15">
      <c r="A207" s="2" t="s">
        <v>729</v>
      </c>
      <c r="B207" s="5">
        <v>5724527</v>
      </c>
      <c r="C207" s="2" t="s">
        <v>23</v>
      </c>
      <c r="D207" s="2" t="s">
        <v>730</v>
      </c>
      <c r="E207" s="2" t="s">
        <v>731</v>
      </c>
      <c r="F207" s="2" t="s">
        <v>26</v>
      </c>
      <c r="G207" s="2" t="s">
        <v>26</v>
      </c>
      <c r="H207" s="2" t="s">
        <v>27</v>
      </c>
      <c r="I207" s="2" t="s">
        <v>28</v>
      </c>
      <c r="J207" s="6"/>
      <c r="K207" s="2" t="s">
        <v>55</v>
      </c>
      <c r="L207" s="2" t="s">
        <v>56</v>
      </c>
      <c r="M207" s="2" t="s">
        <v>55</v>
      </c>
      <c r="N207" s="2"/>
      <c r="O207" s="2"/>
      <c r="P207" s="7">
        <v>468.62936022554197</v>
      </c>
      <c r="Q207" s="6" t="s">
        <v>57</v>
      </c>
      <c r="R207" s="9">
        <v>0</v>
      </c>
      <c r="S207" s="2" t="s">
        <v>732</v>
      </c>
      <c r="T207" s="9">
        <v>0</v>
      </c>
      <c r="U207" s="9">
        <v>0</v>
      </c>
      <c r="V207" s="9">
        <v>455</v>
      </c>
      <c r="W207" s="9">
        <v>117</v>
      </c>
      <c r="X207" s="9">
        <v>117</v>
      </c>
      <c r="Y207" s="9">
        <v>59</v>
      </c>
      <c r="Z207" s="9">
        <v>118</v>
      </c>
      <c r="AA207" s="9">
        <v>98</v>
      </c>
      <c r="AB207" s="9">
        <v>0</v>
      </c>
      <c r="AC207" s="9">
        <v>478</v>
      </c>
      <c r="AD207" s="9">
        <v>235</v>
      </c>
      <c r="AE207" s="6" t="s">
        <v>57</v>
      </c>
      <c r="AF207" s="6" t="s">
        <v>57</v>
      </c>
      <c r="AG207" s="6" t="s">
        <v>57</v>
      </c>
      <c r="AH207" s="6" t="s">
        <v>57</v>
      </c>
      <c r="AI207" s="6" t="s">
        <v>57</v>
      </c>
      <c r="AJ207" s="6" t="s">
        <v>57</v>
      </c>
      <c r="AK207" s="6" t="s">
        <v>57</v>
      </c>
      <c r="AL207" s="6" t="s">
        <v>57</v>
      </c>
      <c r="AM207" s="6" t="s">
        <v>57</v>
      </c>
      <c r="AN207" s="6" t="s">
        <v>57</v>
      </c>
      <c r="AO207" s="6" t="s">
        <v>57</v>
      </c>
      <c r="AP207" s="6" t="s">
        <v>57</v>
      </c>
      <c r="AQ207" s="9">
        <v>0</v>
      </c>
    </row>
    <row r="208" spans="1:43" ht="15">
      <c r="A208" s="2" t="s">
        <v>733</v>
      </c>
      <c r="B208" s="5">
        <v>4258847</v>
      </c>
      <c r="C208" s="2" t="s">
        <v>23</v>
      </c>
      <c r="D208" s="2" t="s">
        <v>734</v>
      </c>
      <c r="E208" s="2" t="s">
        <v>735</v>
      </c>
      <c r="F208" s="2" t="s">
        <v>26</v>
      </c>
      <c r="G208" s="2" t="s">
        <v>26</v>
      </c>
      <c r="H208" s="2" t="s">
        <v>27</v>
      </c>
      <c r="I208" s="2" t="s">
        <v>40</v>
      </c>
      <c r="J208" s="6"/>
      <c r="K208" s="2" t="s">
        <v>226</v>
      </c>
      <c r="L208" s="2" t="s">
        <v>56</v>
      </c>
      <c r="M208" s="2" t="s">
        <v>227</v>
      </c>
      <c r="N208" s="2" t="s">
        <v>226</v>
      </c>
      <c r="O208" s="2"/>
      <c r="P208" s="7">
        <v>3700.7220217867298</v>
      </c>
      <c r="Q208" s="8">
        <v>775.27040275908803</v>
      </c>
      <c r="R208" s="9">
        <v>471240</v>
      </c>
      <c r="S208" s="2" t="s">
        <v>736</v>
      </c>
      <c r="T208" s="9">
        <v>289829</v>
      </c>
      <c r="U208" s="9">
        <v>798357</v>
      </c>
      <c r="V208" s="9">
        <v>1302440</v>
      </c>
      <c r="W208" s="9">
        <v>1227363</v>
      </c>
      <c r="X208" s="9">
        <v>1223878</v>
      </c>
      <c r="Y208" s="9">
        <v>883002</v>
      </c>
      <c r="Z208" s="9">
        <v>592484</v>
      </c>
      <c r="AA208" s="9">
        <v>416952</v>
      </c>
      <c r="AB208" s="9">
        <v>705313</v>
      </c>
      <c r="AC208" s="9">
        <v>1354254</v>
      </c>
      <c r="AD208" s="9">
        <v>1044411</v>
      </c>
      <c r="AE208" s="7">
        <v>0.025974711780383599</v>
      </c>
      <c r="AF208" s="7">
        <v>0.015975370084954699</v>
      </c>
      <c r="AG208" s="7">
        <v>0.0440053498594676</v>
      </c>
      <c r="AH208" s="7">
        <v>0.071790396511813404</v>
      </c>
      <c r="AI208" s="7">
        <v>0.067652160995567895</v>
      </c>
      <c r="AJ208" s="7">
        <v>0.067460077955509595</v>
      </c>
      <c r="AK208" s="7">
        <v>0.048671022056140399</v>
      </c>
      <c r="AL208" s="7">
        <v>0.032657683136016899</v>
      </c>
      <c r="AM208" s="7">
        <v>0.022982358695933101</v>
      </c>
      <c r="AN208" s="7">
        <v>0.038876818150169801</v>
      </c>
      <c r="AO208" s="7">
        <v>0.074646389453963499</v>
      </c>
      <c r="AP208" s="7">
        <v>0.057567864275202101</v>
      </c>
      <c r="AQ208" s="9">
        <v>323123</v>
      </c>
    </row>
    <row r="209" spans="1:43" ht="15">
      <c r="A209" s="2" t="s">
        <v>737</v>
      </c>
      <c r="B209" s="5">
        <v>5904956</v>
      </c>
      <c r="C209" s="2" t="s">
        <v>23</v>
      </c>
      <c r="D209" s="2" t="s">
        <v>738</v>
      </c>
      <c r="E209" s="2" t="s">
        <v>739</v>
      </c>
      <c r="F209" s="2" t="s">
        <v>740</v>
      </c>
      <c r="G209" s="2" t="s">
        <v>741</v>
      </c>
      <c r="H209" s="2" t="s">
        <v>742</v>
      </c>
      <c r="I209" s="2" t="s">
        <v>743</v>
      </c>
      <c r="J209" s="6"/>
      <c r="K209" s="2" t="s">
        <v>55</v>
      </c>
      <c r="L209" s="2" t="s">
        <v>56</v>
      </c>
      <c r="M209" s="2" t="s">
        <v>55</v>
      </c>
      <c r="N209" s="2"/>
      <c r="O209" s="2"/>
      <c r="P209" s="6" t="s">
        <v>57</v>
      </c>
      <c r="Q209" s="6" t="s">
        <v>57</v>
      </c>
      <c r="R209" s="6" t="s">
        <v>57</v>
      </c>
      <c r="S209" s="2" t="s">
        <v>744</v>
      </c>
      <c r="T209" s="6" t="s">
        <v>57</v>
      </c>
      <c r="U209" s="6" t="s">
        <v>57</v>
      </c>
      <c r="V209" s="6" t="s">
        <v>57</v>
      </c>
      <c r="W209" s="6" t="s">
        <v>57</v>
      </c>
      <c r="X209" s="6" t="s">
        <v>57</v>
      </c>
      <c r="Y209" s="6" t="s">
        <v>57</v>
      </c>
      <c r="Z209" s="6" t="s">
        <v>57</v>
      </c>
      <c r="AA209" s="6" t="s">
        <v>57</v>
      </c>
      <c r="AB209" s="6" t="s">
        <v>57</v>
      </c>
      <c r="AC209" s="6" t="s">
        <v>57</v>
      </c>
      <c r="AD209" s="6" t="s">
        <v>57</v>
      </c>
      <c r="AE209" s="6" t="s">
        <v>57</v>
      </c>
      <c r="AF209" s="6" t="s">
        <v>57</v>
      </c>
      <c r="AG209" s="6" t="s">
        <v>57</v>
      </c>
      <c r="AH209" s="6" t="s">
        <v>57</v>
      </c>
      <c r="AI209" s="6" t="s">
        <v>57</v>
      </c>
      <c r="AJ209" s="6" t="s">
        <v>57</v>
      </c>
      <c r="AK209" s="6" t="s">
        <v>57</v>
      </c>
      <c r="AL209" s="6" t="s">
        <v>57</v>
      </c>
      <c r="AM209" s="6" t="s">
        <v>57</v>
      </c>
      <c r="AN209" s="6" t="s">
        <v>57</v>
      </c>
      <c r="AO209" s="6" t="s">
        <v>57</v>
      </c>
      <c r="AP209" s="6" t="s">
        <v>57</v>
      </c>
      <c r="AQ209" s="6" t="s">
        <v>57</v>
      </c>
    </row>
    <row r="210" spans="1:43" ht="15">
      <c r="A210" s="2" t="s">
        <v>745</v>
      </c>
      <c r="B210" s="5">
        <v>4995873</v>
      </c>
      <c r="C210" s="2" t="s">
        <v>23</v>
      </c>
      <c r="D210" s="2" t="s">
        <v>746</v>
      </c>
      <c r="E210" s="2" t="s">
        <v>747</v>
      </c>
      <c r="F210" s="2" t="s">
        <v>26</v>
      </c>
      <c r="G210" s="2" t="s">
        <v>26</v>
      </c>
      <c r="H210" s="2" t="s">
        <v>27</v>
      </c>
      <c r="I210" s="2" t="s">
        <v>28</v>
      </c>
      <c r="J210" s="6"/>
      <c r="K210" s="2" t="s">
        <v>469</v>
      </c>
      <c r="L210" s="2" t="s">
        <v>247</v>
      </c>
      <c r="M210" s="2" t="s">
        <v>470</v>
      </c>
      <c r="N210" s="2" t="s">
        <v>469</v>
      </c>
      <c r="O210" s="2"/>
      <c r="P210" s="7">
        <v>17.343232</v>
      </c>
      <c r="Q210" s="8">
        <v>19.058588207903998</v>
      </c>
      <c r="R210" s="9">
        <v>4047</v>
      </c>
      <c r="S210" s="2" t="s">
        <v>748</v>
      </c>
      <c r="T210" s="9">
        <v>1523</v>
      </c>
      <c r="U210" s="9">
        <v>4331</v>
      </c>
      <c r="V210" s="9">
        <v>15954</v>
      </c>
      <c r="W210" s="9">
        <v>28887</v>
      </c>
      <c r="X210" s="9">
        <v>28775</v>
      </c>
      <c r="Y210" s="9">
        <v>15784</v>
      </c>
      <c r="Z210" s="9">
        <v>15054</v>
      </c>
      <c r="AA210" s="9">
        <v>24161</v>
      </c>
      <c r="AB210" s="9">
        <v>3014</v>
      </c>
      <c r="AC210" s="9">
        <v>15878</v>
      </c>
      <c r="AD210" s="9">
        <v>52246</v>
      </c>
      <c r="AE210" s="7">
        <v>0.020235000202350001</v>
      </c>
      <c r="AF210" s="7">
        <v>0.0076141667428083299</v>
      </c>
      <c r="AG210" s="7">
        <v>0.021652500216525001</v>
      </c>
      <c r="AH210" s="7">
        <v>0.079768828922688301</v>
      </c>
      <c r="AI210" s="7">
        <v>0.14443630666524701</v>
      </c>
      <c r="AJ210" s="7">
        <v>0.143873721438737</v>
      </c>
      <c r="AK210" s="7">
        <v>0.078920896161442405</v>
      </c>
      <c r="AL210" s="7">
        <v>0.075268740699068096</v>
      </c>
      <c r="AM210" s="7">
        <v>0.12080336666988099</v>
      </c>
      <c r="AN210" s="7">
        <v>0.015070952531661901</v>
      </c>
      <c r="AO210" s="7">
        <v>0.079392049974248396</v>
      </c>
      <c r="AP210" s="7">
        <v>0.26123048648327302</v>
      </c>
      <c r="AQ210" s="9">
        <v>666</v>
      </c>
    </row>
    <row r="211" spans="1:43" ht="15">
      <c r="A211" s="2" t="s">
        <v>749</v>
      </c>
      <c r="B211" s="5">
        <v>4912552</v>
      </c>
      <c r="C211" s="2" t="s">
        <v>23</v>
      </c>
      <c r="D211" s="2" t="s">
        <v>750</v>
      </c>
      <c r="E211" s="2" t="s">
        <v>751</v>
      </c>
      <c r="F211" s="2" t="s">
        <v>26</v>
      </c>
      <c r="G211" s="2" t="s">
        <v>26</v>
      </c>
      <c r="H211" s="2" t="s">
        <v>27</v>
      </c>
      <c r="I211" s="2" t="s">
        <v>28</v>
      </c>
      <c r="J211" s="6"/>
      <c r="K211" s="2" t="s">
        <v>211</v>
      </c>
      <c r="L211" s="2" t="s">
        <v>30</v>
      </c>
      <c r="M211" s="2" t="s">
        <v>189</v>
      </c>
      <c r="N211" s="2" t="s">
        <v>211</v>
      </c>
      <c r="O211" s="2"/>
      <c r="P211" s="7">
        <v>482.299557353522</v>
      </c>
      <c r="Q211" s="8">
        <v>762.606199152464</v>
      </c>
      <c r="R211" s="9">
        <v>434595</v>
      </c>
      <c r="S211" s="2" t="s">
        <v>752</v>
      </c>
      <c r="T211" s="9">
        <v>323802</v>
      </c>
      <c r="U211" s="9">
        <v>84108</v>
      </c>
      <c r="V211" s="9">
        <v>142105</v>
      </c>
      <c r="W211" s="9">
        <v>178183</v>
      </c>
      <c r="X211" s="9">
        <v>177471</v>
      </c>
      <c r="Y211" s="9">
        <v>211323</v>
      </c>
      <c r="Z211" s="9">
        <v>180485</v>
      </c>
      <c r="AA211" s="9">
        <v>281346</v>
      </c>
      <c r="AB211" s="9">
        <v>96123</v>
      </c>
      <c r="AC211" s="9">
        <v>71549</v>
      </c>
      <c r="AD211" s="9">
        <v>129383</v>
      </c>
      <c r="AE211" s="7">
        <v>0.134301422083872</v>
      </c>
      <c r="AF211" s="7">
        <v>0.100063333233151</v>
      </c>
      <c r="AG211" s="7">
        <v>0.025991649228150501</v>
      </c>
      <c r="AH211" s="7">
        <v>0.043914154806964797</v>
      </c>
      <c r="AI211" s="7">
        <v>0.055063362702276603</v>
      </c>
      <c r="AJ211" s="7">
        <v>0.054843109251467501</v>
      </c>
      <c r="AK211" s="7">
        <v>0.065304555882759699</v>
      </c>
      <c r="AL211" s="7">
        <v>0.055774774381044903</v>
      </c>
      <c r="AM211" s="7">
        <v>0.086943287567631602</v>
      </c>
      <c r="AN211" s="7">
        <v>0.029704697828369798</v>
      </c>
      <c r="AO211" s="7">
        <v>0.022110646652474399</v>
      </c>
      <c r="AP211" s="7">
        <v>0.039982937666012498</v>
      </c>
      <c r="AQ211" s="9">
        <v>0</v>
      </c>
    </row>
    <row r="212" spans="1:43" ht="15">
      <c r="A212" s="2" t="s">
        <v>753</v>
      </c>
      <c r="B212" s="5">
        <v>4772325</v>
      </c>
      <c r="C212" s="2" t="s">
        <v>35</v>
      </c>
      <c r="D212" s="2" t="s">
        <v>754</v>
      </c>
      <c r="E212" s="2" t="s">
        <v>755</v>
      </c>
      <c r="F212" s="2" t="s">
        <v>38</v>
      </c>
      <c r="G212" s="2" t="s">
        <v>38</v>
      </c>
      <c r="H212" s="2" t="s">
        <v>39</v>
      </c>
      <c r="I212" s="2" t="s">
        <v>28</v>
      </c>
      <c r="J212" s="6"/>
      <c r="K212" s="2" t="s">
        <v>756</v>
      </c>
      <c r="L212" s="2" t="s">
        <v>56</v>
      </c>
      <c r="M212" s="2" t="s">
        <v>756</v>
      </c>
      <c r="N212" s="2"/>
      <c r="O212" s="2"/>
      <c r="P212" s="7">
        <v>115.225509140407</v>
      </c>
      <c r="Q212" s="8">
        <v>94.154210225567994</v>
      </c>
      <c r="R212" s="9">
        <v>0</v>
      </c>
      <c r="S212" s="2" t="s">
        <v>757</v>
      </c>
      <c r="T212" s="9">
        <v>0</v>
      </c>
      <c r="U212" s="9">
        <v>223</v>
      </c>
      <c r="V212" s="9">
        <v>80</v>
      </c>
      <c r="W212" s="9">
        <v>4117</v>
      </c>
      <c r="X212" s="9">
        <v>4100</v>
      </c>
      <c r="Y212" s="9">
        <v>3083</v>
      </c>
      <c r="Z212" s="9">
        <v>2141</v>
      </c>
      <c r="AA212" s="9">
        <v>1617</v>
      </c>
      <c r="AB212" s="9">
        <v>258</v>
      </c>
      <c r="AC212" s="9">
        <v>84</v>
      </c>
      <c r="AD212" s="9">
        <v>2754</v>
      </c>
      <c r="AE212" s="7">
        <v>0</v>
      </c>
      <c r="AF212" s="7">
        <v>0</v>
      </c>
      <c r="AG212" s="7">
        <v>0.0018811732658675299</v>
      </c>
      <c r="AH212" s="7">
        <v>0.00067845593195222395</v>
      </c>
      <c r="AI212" s="7">
        <v>0.034773536006161301</v>
      </c>
      <c r="AJ212" s="7">
        <v>0.034631021514332699</v>
      </c>
      <c r="AK212" s="7">
        <v>0.026035805425460499</v>
      </c>
      <c r="AL212" s="7">
        <v>0.018086919767142499</v>
      </c>
      <c r="AM212" s="7">
        <v>0.0136549886709797</v>
      </c>
      <c r="AN212" s="7">
        <v>0.0021782006236360902</v>
      </c>
      <c r="AO212" s="7">
        <v>0.00071354848015664897</v>
      </c>
      <c r="AP212" s="7">
        <v>0.023258812064086899</v>
      </c>
      <c r="AQ212" s="9">
        <v>0</v>
      </c>
    </row>
    <row r="213" spans="1:43" ht="15">
      <c r="A213" s="2" t="s">
        <v>758</v>
      </c>
      <c r="B213" s="5">
        <v>4870742</v>
      </c>
      <c r="C213" s="2" t="s">
        <v>23</v>
      </c>
      <c r="D213" s="2" t="s">
        <v>759</v>
      </c>
      <c r="E213" s="2" t="s">
        <v>760</v>
      </c>
      <c r="F213" s="2" t="s">
        <v>26</v>
      </c>
      <c r="G213" s="2" t="s">
        <v>26</v>
      </c>
      <c r="H213" s="2" t="s">
        <v>27</v>
      </c>
      <c r="I213" s="2" t="s">
        <v>40</v>
      </c>
      <c r="J213" s="6"/>
      <c r="K213" s="2" t="s">
        <v>756</v>
      </c>
      <c r="L213" s="2" t="s">
        <v>56</v>
      </c>
      <c r="M213" s="2" t="s">
        <v>756</v>
      </c>
      <c r="N213" s="2"/>
      <c r="O213" s="2"/>
      <c r="P213" s="7">
        <v>19.146928127999999</v>
      </c>
      <c r="Q213" s="8">
        <v>15.722976320816</v>
      </c>
      <c r="R213" s="9">
        <v>0</v>
      </c>
      <c r="S213" s="2" t="s">
        <v>761</v>
      </c>
      <c r="T213" s="9">
        <v>0</v>
      </c>
      <c r="U213" s="9">
        <v>4</v>
      </c>
      <c r="V213" s="9">
        <v>2</v>
      </c>
      <c r="W213" s="9">
        <v>3</v>
      </c>
      <c r="X213" s="9">
        <v>3</v>
      </c>
      <c r="Y213" s="9">
        <v>12</v>
      </c>
      <c r="Z213" s="9">
        <v>20</v>
      </c>
      <c r="AA213" s="9">
        <v>805</v>
      </c>
      <c r="AB213" s="9">
        <v>5</v>
      </c>
      <c r="AC213" s="9">
        <v>2</v>
      </c>
      <c r="AD213" s="9">
        <v>1</v>
      </c>
      <c r="AE213" s="7">
        <v>0</v>
      </c>
      <c r="AF213" s="7">
        <v>0</v>
      </c>
      <c r="AG213" s="7">
        <v>4.1232638888888897E-05</v>
      </c>
      <c r="AH213" s="7">
        <v>1.92057291666667E-05</v>
      </c>
      <c r="AI213" s="7">
        <v>3.44293842034806E-05</v>
      </c>
      <c r="AJ213" s="7">
        <v>3.4291666666666703E-05</v>
      </c>
      <c r="AK213" s="7">
        <v>0.00012122736418511101</v>
      </c>
      <c r="AL213" s="7">
        <v>0.00021285746201966</v>
      </c>
      <c r="AM213" s="7">
        <v>0.0083862700803212908</v>
      </c>
      <c r="AN213" s="7">
        <v>4.7123015873015897E-05</v>
      </c>
      <c r="AO213" s="7">
        <v>2.01502732240437E-05</v>
      </c>
      <c r="AP213" s="7">
        <v>9.9126344086021499E-06</v>
      </c>
      <c r="AQ213" s="9">
        <v>0</v>
      </c>
    </row>
    <row r="214" spans="1:43" ht="15">
      <c r="A214" s="2" t="s">
        <v>762</v>
      </c>
      <c r="B214" s="5">
        <v>4590964</v>
      </c>
      <c r="C214" s="2" t="s">
        <v>35</v>
      </c>
      <c r="D214" s="2" t="s">
        <v>763</v>
      </c>
      <c r="E214" s="2" t="s">
        <v>35</v>
      </c>
      <c r="F214" s="2" t="s">
        <v>38</v>
      </c>
      <c r="G214" s="2" t="s">
        <v>38</v>
      </c>
      <c r="H214" s="2" t="s">
        <v>39</v>
      </c>
      <c r="I214" s="2" t="s">
        <v>40</v>
      </c>
      <c r="J214" s="6"/>
      <c r="K214" s="2" t="s">
        <v>756</v>
      </c>
      <c r="L214" s="2" t="s">
        <v>56</v>
      </c>
      <c r="M214" s="2" t="s">
        <v>756</v>
      </c>
      <c r="N214" s="2"/>
      <c r="O214" s="2"/>
      <c r="P214" s="7">
        <v>280.94202902859399</v>
      </c>
      <c r="Q214" s="8">
        <v>226.776918400536</v>
      </c>
      <c r="R214" s="9">
        <v>2782</v>
      </c>
      <c r="S214" s="2" t="s">
        <v>764</v>
      </c>
      <c r="T214" s="9">
        <v>4663</v>
      </c>
      <c r="U214" s="9">
        <v>4676</v>
      </c>
      <c r="V214" s="9">
        <v>8061</v>
      </c>
      <c r="W214" s="9">
        <v>5693</v>
      </c>
      <c r="X214" s="9">
        <v>5686</v>
      </c>
      <c r="Y214" s="9">
        <v>6737</v>
      </c>
      <c r="Z214" s="9">
        <v>5505</v>
      </c>
      <c r="AA214" s="9">
        <v>12975</v>
      </c>
      <c r="AB214" s="9">
        <v>4501</v>
      </c>
      <c r="AC214" s="9">
        <v>7908</v>
      </c>
      <c r="AD214" s="9">
        <v>7295</v>
      </c>
      <c r="AE214" s="7">
        <v>0.022982486758443801</v>
      </c>
      <c r="AF214" s="7">
        <v>0.038531366738645698</v>
      </c>
      <c r="AG214" s="7">
        <v>0.038634148765068502</v>
      </c>
      <c r="AH214" s="7">
        <v>0.066601891149387499</v>
      </c>
      <c r="AI214" s="7">
        <v>0.047035000237824497</v>
      </c>
      <c r="AJ214" s="7">
        <v>0.046979413708408697</v>
      </c>
      <c r="AK214" s="7">
        <v>0.055661896998957502</v>
      </c>
      <c r="AL214" s="7">
        <v>0.045488789053384299</v>
      </c>
      <c r="AM214" s="7">
        <v>0.10720862615914099</v>
      </c>
      <c r="AN214" s="7">
        <v>0.0371900675533905</v>
      </c>
      <c r="AO214" s="7">
        <v>0.065340112902000799</v>
      </c>
      <c r="AP214" s="7">
        <v>0.060279794830442102</v>
      </c>
      <c r="AQ214" s="9">
        <v>379</v>
      </c>
    </row>
    <row r="215" spans="1:43" ht="15">
      <c r="A215" s="2" t="s">
        <v>765</v>
      </c>
      <c r="B215" s="5">
        <v>7327853</v>
      </c>
      <c r="C215" s="2" t="s">
        <v>46</v>
      </c>
      <c r="D215" s="2" t="s">
        <v>766</v>
      </c>
      <c r="E215" s="2" t="s">
        <v>767</v>
      </c>
      <c r="F215" s="2" t="s">
        <v>49</v>
      </c>
      <c r="G215" s="2" t="s">
        <v>49</v>
      </c>
      <c r="H215" s="2" t="s">
        <v>50</v>
      </c>
      <c r="I215" s="2" t="s">
        <v>40</v>
      </c>
      <c r="J215" s="6"/>
      <c r="K215" s="2" t="s">
        <v>768</v>
      </c>
      <c r="L215" s="2" t="s">
        <v>42</v>
      </c>
      <c r="M215" s="2" t="s">
        <v>768</v>
      </c>
      <c r="N215" s="2"/>
      <c r="O215" s="2"/>
      <c r="P215" s="7">
        <v>60.186543047999997</v>
      </c>
      <c r="Q215" s="8">
        <v>104.276890294786</v>
      </c>
      <c r="R215" s="9">
        <v>0</v>
      </c>
      <c r="S215" s="2" t="s">
        <v>769</v>
      </c>
      <c r="T215" s="9">
        <v>0</v>
      </c>
      <c r="U215" s="9">
        <v>1643</v>
      </c>
      <c r="V215" s="9">
        <v>1854</v>
      </c>
      <c r="W215" s="9">
        <v>5869</v>
      </c>
      <c r="X215" s="9">
        <v>5869</v>
      </c>
      <c r="Y215" s="9">
        <v>5869</v>
      </c>
      <c r="Z215" s="9">
        <v>5869</v>
      </c>
      <c r="AA215" s="9">
        <v>5869</v>
      </c>
      <c r="AB215" s="9">
        <v>1877</v>
      </c>
      <c r="AC215" s="9">
        <v>1946</v>
      </c>
      <c r="AD215" s="9">
        <v>4766</v>
      </c>
      <c r="AE215" s="7">
        <v>0</v>
      </c>
      <c r="AF215" s="7">
        <v>0</v>
      </c>
      <c r="AG215" s="7">
        <v>0.0091254629629629602</v>
      </c>
      <c r="AH215" s="7">
        <v>0.01030234375</v>
      </c>
      <c r="AI215" s="7">
        <v>0.032605374887082199</v>
      </c>
      <c r="AJ215" s="7">
        <v>0.032605374887082199</v>
      </c>
      <c r="AK215" s="7">
        <v>0.032605374887082199</v>
      </c>
      <c r="AL215" s="7">
        <v>0.032605374887082199</v>
      </c>
      <c r="AM215" s="7">
        <v>0.032605374887082199</v>
      </c>
      <c r="AN215" s="7">
        <v>0.0104291005291005</v>
      </c>
      <c r="AO215" s="7">
        <v>0.010809016393442601</v>
      </c>
      <c r="AP215" s="7">
        <v>0.026476030465949801</v>
      </c>
      <c r="AQ215" s="9">
        <v>0</v>
      </c>
    </row>
    <row r="216" spans="1:43" ht="15">
      <c r="A216" s="2" t="s">
        <v>770</v>
      </c>
      <c r="B216" s="5">
        <v>5738610</v>
      </c>
      <c r="C216" s="2" t="s">
        <v>23</v>
      </c>
      <c r="D216" s="2" t="s">
        <v>771</v>
      </c>
      <c r="E216" s="2" t="s">
        <v>772</v>
      </c>
      <c r="F216" s="2" t="s">
        <v>26</v>
      </c>
      <c r="G216" s="2" t="s">
        <v>26</v>
      </c>
      <c r="H216" s="2" t="s">
        <v>27</v>
      </c>
      <c r="I216" s="2" t="s">
        <v>28</v>
      </c>
      <c r="J216" s="6"/>
      <c r="K216" s="2" t="s">
        <v>55</v>
      </c>
      <c r="L216" s="2" t="s">
        <v>56</v>
      </c>
      <c r="M216" s="2" t="s">
        <v>55</v>
      </c>
      <c r="N216" s="2"/>
      <c r="O216" s="2"/>
      <c r="P216" s="6" t="s">
        <v>57</v>
      </c>
      <c r="Q216" s="6" t="s">
        <v>57</v>
      </c>
      <c r="R216" s="9">
        <v>0</v>
      </c>
      <c r="S216" s="2" t="s">
        <v>773</v>
      </c>
      <c r="T216" s="9">
        <v>0</v>
      </c>
      <c r="U216" s="9">
        <v>0</v>
      </c>
      <c r="V216" s="9">
        <v>760</v>
      </c>
      <c r="W216" s="9">
        <v>484</v>
      </c>
      <c r="X216" s="9">
        <v>482</v>
      </c>
      <c r="Y216" s="9">
        <v>242</v>
      </c>
      <c r="Z216" s="9">
        <v>207</v>
      </c>
      <c r="AA216" s="9">
        <v>154</v>
      </c>
      <c r="AB216" s="9">
        <v>0</v>
      </c>
      <c r="AC216" s="9">
        <v>797</v>
      </c>
      <c r="AD216" s="9">
        <v>723</v>
      </c>
      <c r="AE216" s="6" t="s">
        <v>57</v>
      </c>
      <c r="AF216" s="6" t="s">
        <v>57</v>
      </c>
      <c r="AG216" s="6" t="s">
        <v>57</v>
      </c>
      <c r="AH216" s="6" t="s">
        <v>57</v>
      </c>
      <c r="AI216" s="6" t="s">
        <v>57</v>
      </c>
      <c r="AJ216" s="6" t="s">
        <v>57</v>
      </c>
      <c r="AK216" s="6" t="s">
        <v>57</v>
      </c>
      <c r="AL216" s="6" t="s">
        <v>57</v>
      </c>
      <c r="AM216" s="6" t="s">
        <v>57</v>
      </c>
      <c r="AN216" s="6" t="s">
        <v>57</v>
      </c>
      <c r="AO216" s="6" t="s">
        <v>57</v>
      </c>
      <c r="AP216" s="6" t="s">
        <v>57</v>
      </c>
      <c r="AQ216" s="9">
        <v>0</v>
      </c>
    </row>
    <row r="217" spans="1:43" ht="15">
      <c r="A217" s="2" t="s">
        <v>774</v>
      </c>
      <c r="B217" s="5">
        <v>116701070</v>
      </c>
      <c r="C217" s="2" t="s">
        <v>23</v>
      </c>
      <c r="D217" s="2" t="s">
        <v>775</v>
      </c>
      <c r="E217" s="2" t="s">
        <v>776</v>
      </c>
      <c r="F217" s="2" t="s">
        <v>26</v>
      </c>
      <c r="G217" s="2"/>
      <c r="H217" s="2"/>
      <c r="I217" s="2" t="s">
        <v>28</v>
      </c>
      <c r="J217" s="6"/>
      <c r="K217" s="2" t="s">
        <v>55</v>
      </c>
      <c r="L217" s="2" t="s">
        <v>56</v>
      </c>
      <c r="M217" s="2" t="s">
        <v>55</v>
      </c>
      <c r="N217" s="2"/>
      <c r="O217" s="2"/>
      <c r="P217" s="6" t="s">
        <v>57</v>
      </c>
      <c r="Q217" s="6" t="s">
        <v>57</v>
      </c>
      <c r="R217" s="9">
        <v>0</v>
      </c>
      <c r="S217" s="2"/>
      <c r="T217" s="9">
        <v>0</v>
      </c>
      <c r="U217" s="9">
        <v>0</v>
      </c>
      <c r="V217" s="9">
        <v>0</v>
      </c>
      <c r="W217" s="9">
        <v>130</v>
      </c>
      <c r="X217" s="9">
        <v>129</v>
      </c>
      <c r="Y217" s="9">
        <v>811</v>
      </c>
      <c r="Z217" s="9">
        <v>1097</v>
      </c>
      <c r="AA217" s="9">
        <v>1097</v>
      </c>
      <c r="AB217" s="9">
        <v>0</v>
      </c>
      <c r="AC217" s="9">
        <v>0</v>
      </c>
      <c r="AD217" s="9">
        <v>0</v>
      </c>
      <c r="AE217" s="6" t="s">
        <v>57</v>
      </c>
      <c r="AF217" s="6" t="s">
        <v>57</v>
      </c>
      <c r="AG217" s="6" t="s">
        <v>57</v>
      </c>
      <c r="AH217" s="6" t="s">
        <v>57</v>
      </c>
      <c r="AI217" s="6" t="s">
        <v>57</v>
      </c>
      <c r="AJ217" s="6" t="s">
        <v>57</v>
      </c>
      <c r="AK217" s="6" t="s">
        <v>57</v>
      </c>
      <c r="AL217" s="6" t="s">
        <v>57</v>
      </c>
      <c r="AM217" s="6" t="s">
        <v>57</v>
      </c>
      <c r="AN217" s="6" t="s">
        <v>57</v>
      </c>
      <c r="AO217" s="6" t="s">
        <v>57</v>
      </c>
      <c r="AP217" s="6" t="s">
        <v>57</v>
      </c>
      <c r="AQ217" s="9">
        <v>0</v>
      </c>
    </row>
    <row r="218" spans="1:43" ht="15">
      <c r="A218" s="2" t="s">
        <v>777</v>
      </c>
      <c r="B218" s="5">
        <v>133649638</v>
      </c>
      <c r="C218" s="2" t="s">
        <v>23</v>
      </c>
      <c r="D218" s="2" t="s">
        <v>778</v>
      </c>
      <c r="E218" s="2" t="s">
        <v>779</v>
      </c>
      <c r="F218" s="2" t="s">
        <v>26</v>
      </c>
      <c r="G218" s="2" t="s">
        <v>26</v>
      </c>
      <c r="H218" s="2" t="s">
        <v>27</v>
      </c>
      <c r="I218" s="2" t="s">
        <v>28</v>
      </c>
      <c r="J218" s="6"/>
      <c r="K218" s="2" t="s">
        <v>55</v>
      </c>
      <c r="L218" s="2" t="s">
        <v>56</v>
      </c>
      <c r="M218" s="2" t="s">
        <v>55</v>
      </c>
      <c r="N218" s="2"/>
      <c r="O218" s="2"/>
      <c r="P218" s="6" t="s">
        <v>57</v>
      </c>
      <c r="Q218" s="6" t="s">
        <v>57</v>
      </c>
      <c r="R218" s="6" t="s">
        <v>57</v>
      </c>
      <c r="S218" s="2"/>
      <c r="T218" s="6" t="s">
        <v>57</v>
      </c>
      <c r="U218" s="6" t="s">
        <v>57</v>
      </c>
      <c r="V218" s="6" t="s">
        <v>57</v>
      </c>
      <c r="W218" s="6" t="s">
        <v>57</v>
      </c>
      <c r="X218" s="6" t="s">
        <v>57</v>
      </c>
      <c r="Y218" s="6" t="s">
        <v>57</v>
      </c>
      <c r="Z218" s="6" t="s">
        <v>57</v>
      </c>
      <c r="AA218" s="6" t="s">
        <v>57</v>
      </c>
      <c r="AB218" s="6" t="s">
        <v>57</v>
      </c>
      <c r="AC218" s="6" t="s">
        <v>57</v>
      </c>
      <c r="AD218" s="6" t="s">
        <v>57</v>
      </c>
      <c r="AE218" s="6" t="s">
        <v>57</v>
      </c>
      <c r="AF218" s="6" t="s">
        <v>57</v>
      </c>
      <c r="AG218" s="6" t="s">
        <v>57</v>
      </c>
      <c r="AH218" s="6" t="s">
        <v>57</v>
      </c>
      <c r="AI218" s="6" t="s">
        <v>57</v>
      </c>
      <c r="AJ218" s="6" t="s">
        <v>57</v>
      </c>
      <c r="AK218" s="6" t="s">
        <v>57</v>
      </c>
      <c r="AL218" s="6" t="s">
        <v>57</v>
      </c>
      <c r="AM218" s="6" t="s">
        <v>57</v>
      </c>
      <c r="AN218" s="6" t="s">
        <v>57</v>
      </c>
      <c r="AO218" s="6" t="s">
        <v>57</v>
      </c>
      <c r="AP218" s="6" t="s">
        <v>57</v>
      </c>
      <c r="AQ218" s="6" t="s">
        <v>57</v>
      </c>
    </row>
    <row r="219" spans="1:43" ht="15">
      <c r="A219" s="2" t="s">
        <v>780</v>
      </c>
      <c r="B219" s="5">
        <v>108638477</v>
      </c>
      <c r="C219" s="2" t="s">
        <v>23</v>
      </c>
      <c r="D219" s="2" t="s">
        <v>781</v>
      </c>
      <c r="E219" s="2" t="s">
        <v>782</v>
      </c>
      <c r="F219" s="2" t="s">
        <v>26</v>
      </c>
      <c r="G219" s="2" t="s">
        <v>26</v>
      </c>
      <c r="H219" s="2" t="s">
        <v>27</v>
      </c>
      <c r="I219" s="2" t="s">
        <v>28</v>
      </c>
      <c r="J219" s="6"/>
      <c r="K219" s="2" t="s">
        <v>55</v>
      </c>
      <c r="L219" s="2" t="s">
        <v>56</v>
      </c>
      <c r="M219" s="2" t="s">
        <v>55</v>
      </c>
      <c r="N219" s="2"/>
      <c r="O219" s="2"/>
      <c r="P219" s="6" t="s">
        <v>57</v>
      </c>
      <c r="Q219" s="6" t="s">
        <v>57</v>
      </c>
      <c r="R219" s="9">
        <v>0</v>
      </c>
      <c r="S219" s="2"/>
      <c r="T219" s="9">
        <v>4</v>
      </c>
      <c r="U219" s="9">
        <v>1</v>
      </c>
      <c r="V219" s="9">
        <v>7</v>
      </c>
      <c r="W219" s="9">
        <v>10</v>
      </c>
      <c r="X219" s="9">
        <v>10</v>
      </c>
      <c r="Y219" s="9">
        <v>22</v>
      </c>
      <c r="Z219" s="9">
        <v>67</v>
      </c>
      <c r="AA219" s="9">
        <v>67</v>
      </c>
      <c r="AB219" s="9">
        <v>1</v>
      </c>
      <c r="AC219" s="9">
        <v>7</v>
      </c>
      <c r="AD219" s="9">
        <v>5</v>
      </c>
      <c r="AE219" s="6" t="s">
        <v>57</v>
      </c>
      <c r="AF219" s="6" t="s">
        <v>57</v>
      </c>
      <c r="AG219" s="6" t="s">
        <v>57</v>
      </c>
      <c r="AH219" s="6" t="s">
        <v>57</v>
      </c>
      <c r="AI219" s="6" t="s">
        <v>57</v>
      </c>
      <c r="AJ219" s="6" t="s">
        <v>57</v>
      </c>
      <c r="AK219" s="6" t="s">
        <v>57</v>
      </c>
      <c r="AL219" s="6" t="s">
        <v>57</v>
      </c>
      <c r="AM219" s="6" t="s">
        <v>57</v>
      </c>
      <c r="AN219" s="6" t="s">
        <v>57</v>
      </c>
      <c r="AO219" s="6" t="s">
        <v>57</v>
      </c>
      <c r="AP219" s="6" t="s">
        <v>57</v>
      </c>
      <c r="AQ219" s="9">
        <v>0</v>
      </c>
    </row>
    <row r="220" spans="1:43" ht="15">
      <c r="A220" s="2" t="s">
        <v>783</v>
      </c>
      <c r="B220" s="5">
        <v>7862778</v>
      </c>
      <c r="C220" s="2" t="s">
        <v>23</v>
      </c>
      <c r="D220" s="2" t="s">
        <v>784</v>
      </c>
      <c r="E220" s="2" t="s">
        <v>785</v>
      </c>
      <c r="F220" s="2" t="s">
        <v>26</v>
      </c>
      <c r="G220" s="2" t="s">
        <v>26</v>
      </c>
      <c r="H220" s="2" t="s">
        <v>27</v>
      </c>
      <c r="I220" s="2" t="s">
        <v>28</v>
      </c>
      <c r="J220" s="6"/>
      <c r="K220" s="2" t="s">
        <v>55</v>
      </c>
      <c r="L220" s="2" t="s">
        <v>56</v>
      </c>
      <c r="M220" s="2" t="s">
        <v>55</v>
      </c>
      <c r="N220" s="2"/>
      <c r="O220" s="2"/>
      <c r="P220" s="7">
        <v>101.247450801912</v>
      </c>
      <c r="Q220" s="6" t="s">
        <v>57</v>
      </c>
      <c r="R220" s="9">
        <v>0</v>
      </c>
      <c r="S220" s="2"/>
      <c r="T220" s="9">
        <v>0</v>
      </c>
      <c r="U220" s="9">
        <v>0</v>
      </c>
      <c r="V220" s="9">
        <v>0</v>
      </c>
      <c r="W220" s="9">
        <v>139</v>
      </c>
      <c r="X220" s="9">
        <v>139</v>
      </c>
      <c r="Y220" s="9">
        <v>390</v>
      </c>
      <c r="Z220" s="9">
        <v>503</v>
      </c>
      <c r="AA220" s="9">
        <v>860</v>
      </c>
      <c r="AB220" s="9">
        <v>0</v>
      </c>
      <c r="AC220" s="9">
        <v>0</v>
      </c>
      <c r="AD220" s="9">
        <v>117</v>
      </c>
      <c r="AE220" s="6" t="s">
        <v>57</v>
      </c>
      <c r="AF220" s="6" t="s">
        <v>57</v>
      </c>
      <c r="AG220" s="6" t="s">
        <v>57</v>
      </c>
      <c r="AH220" s="6" t="s">
        <v>57</v>
      </c>
      <c r="AI220" s="6" t="s">
        <v>57</v>
      </c>
      <c r="AJ220" s="6" t="s">
        <v>57</v>
      </c>
      <c r="AK220" s="6" t="s">
        <v>57</v>
      </c>
      <c r="AL220" s="6" t="s">
        <v>57</v>
      </c>
      <c r="AM220" s="6" t="s">
        <v>57</v>
      </c>
      <c r="AN220" s="6" t="s">
        <v>57</v>
      </c>
      <c r="AO220" s="6" t="s">
        <v>57</v>
      </c>
      <c r="AP220" s="6" t="s">
        <v>57</v>
      </c>
      <c r="AQ220" s="9">
        <v>0</v>
      </c>
    </row>
    <row r="221" spans="1:43" ht="15">
      <c r="A221" s="2" t="s">
        <v>786</v>
      </c>
      <c r="B221" s="5">
        <v>23434421</v>
      </c>
      <c r="C221" s="2" t="s">
        <v>23</v>
      </c>
      <c r="D221" s="2" t="s">
        <v>787</v>
      </c>
      <c r="E221" s="2" t="s">
        <v>788</v>
      </c>
      <c r="F221" s="2" t="s">
        <v>26</v>
      </c>
      <c r="G221" s="2"/>
      <c r="H221" s="2"/>
      <c r="I221" s="2" t="s">
        <v>28</v>
      </c>
      <c r="J221" s="6"/>
      <c r="K221" s="2" t="s">
        <v>55</v>
      </c>
      <c r="L221" s="2" t="s">
        <v>56</v>
      </c>
      <c r="M221" s="2" t="s">
        <v>55</v>
      </c>
      <c r="N221" s="2"/>
      <c r="O221" s="2"/>
      <c r="P221" s="7">
        <v>9.8616158946441796</v>
      </c>
      <c r="Q221" s="6" t="s">
        <v>57</v>
      </c>
      <c r="R221" s="9">
        <v>0</v>
      </c>
      <c r="S221" s="2"/>
      <c r="T221" s="9">
        <v>0</v>
      </c>
      <c r="U221" s="9">
        <v>0</v>
      </c>
      <c r="V221" s="9">
        <v>0</v>
      </c>
      <c r="W221" s="9">
        <v>0</v>
      </c>
      <c r="X221" s="9">
        <v>0</v>
      </c>
      <c r="Y221" s="9">
        <v>1</v>
      </c>
      <c r="Z221" s="9">
        <v>1</v>
      </c>
      <c r="AA221" s="9">
        <v>18</v>
      </c>
      <c r="AB221" s="9">
        <v>0</v>
      </c>
      <c r="AC221" s="9">
        <v>0</v>
      </c>
      <c r="AD221" s="9">
        <v>0</v>
      </c>
      <c r="AE221" s="6" t="s">
        <v>57</v>
      </c>
      <c r="AF221" s="6" t="s">
        <v>57</v>
      </c>
      <c r="AG221" s="6" t="s">
        <v>57</v>
      </c>
      <c r="AH221" s="6" t="s">
        <v>57</v>
      </c>
      <c r="AI221" s="6" t="s">
        <v>57</v>
      </c>
      <c r="AJ221" s="6" t="s">
        <v>57</v>
      </c>
      <c r="AK221" s="6" t="s">
        <v>57</v>
      </c>
      <c r="AL221" s="6" t="s">
        <v>57</v>
      </c>
      <c r="AM221" s="6" t="s">
        <v>57</v>
      </c>
      <c r="AN221" s="6" t="s">
        <v>57</v>
      </c>
      <c r="AO221" s="6" t="s">
        <v>57</v>
      </c>
      <c r="AP221" s="6" t="s">
        <v>57</v>
      </c>
      <c r="AQ221" s="9">
        <v>0</v>
      </c>
    </row>
    <row r="222" spans="1:43" ht="15">
      <c r="A222" s="2" t="s">
        <v>789</v>
      </c>
      <c r="B222" s="5">
        <v>15066244</v>
      </c>
      <c r="C222" s="2" t="s">
        <v>23</v>
      </c>
      <c r="D222" s="2" t="s">
        <v>790</v>
      </c>
      <c r="E222" s="2" t="s">
        <v>791</v>
      </c>
      <c r="F222" s="2" t="s">
        <v>26</v>
      </c>
      <c r="G222" s="2"/>
      <c r="H222" s="2"/>
      <c r="I222" s="2" t="s">
        <v>28</v>
      </c>
      <c r="J222" s="6"/>
      <c r="K222" s="2" t="s">
        <v>55</v>
      </c>
      <c r="L222" s="2" t="s">
        <v>56</v>
      </c>
      <c r="M222" s="2" t="s">
        <v>55</v>
      </c>
      <c r="N222" s="2"/>
      <c r="O222" s="2"/>
      <c r="P222" s="7">
        <v>3.9289239188451202</v>
      </c>
      <c r="Q222" s="6" t="s">
        <v>57</v>
      </c>
      <c r="R222" s="9">
        <v>0</v>
      </c>
      <c r="S222" s="2"/>
      <c r="T222" s="9">
        <v>0</v>
      </c>
      <c r="U222" s="9">
        <v>0</v>
      </c>
      <c r="V222" s="9">
        <v>0</v>
      </c>
      <c r="W222" s="9">
        <v>0</v>
      </c>
      <c r="X222" s="9">
        <v>0</v>
      </c>
      <c r="Y222" s="9">
        <v>13</v>
      </c>
      <c r="Z222" s="9">
        <v>12</v>
      </c>
      <c r="AA222" s="9">
        <v>21</v>
      </c>
      <c r="AB222" s="9">
        <v>0</v>
      </c>
      <c r="AC222" s="9">
        <v>0</v>
      </c>
      <c r="AD222" s="9">
        <v>0</v>
      </c>
      <c r="AE222" s="6" t="s">
        <v>57</v>
      </c>
      <c r="AF222" s="6" t="s">
        <v>57</v>
      </c>
      <c r="AG222" s="6" t="s">
        <v>57</v>
      </c>
      <c r="AH222" s="6" t="s">
        <v>57</v>
      </c>
      <c r="AI222" s="6" t="s">
        <v>57</v>
      </c>
      <c r="AJ222" s="6" t="s">
        <v>57</v>
      </c>
      <c r="AK222" s="6" t="s">
        <v>57</v>
      </c>
      <c r="AL222" s="6" t="s">
        <v>57</v>
      </c>
      <c r="AM222" s="6" t="s">
        <v>57</v>
      </c>
      <c r="AN222" s="6" t="s">
        <v>57</v>
      </c>
      <c r="AO222" s="6" t="s">
        <v>57</v>
      </c>
      <c r="AP222" s="6" t="s">
        <v>57</v>
      </c>
      <c r="AQ222" s="9">
        <v>0</v>
      </c>
    </row>
    <row r="223" spans="1:43" ht="15">
      <c r="A223" s="2" t="s">
        <v>792</v>
      </c>
      <c r="B223" s="5">
        <v>117232501</v>
      </c>
      <c r="C223" s="2" t="s">
        <v>23</v>
      </c>
      <c r="D223" s="2" t="s">
        <v>793</v>
      </c>
      <c r="E223" s="2" t="s">
        <v>794</v>
      </c>
      <c r="F223" s="2" t="s">
        <v>26</v>
      </c>
      <c r="G223" s="2"/>
      <c r="H223" s="2"/>
      <c r="I223" s="2" t="s">
        <v>28</v>
      </c>
      <c r="J223" s="6"/>
      <c r="K223" s="2" t="s">
        <v>55</v>
      </c>
      <c r="L223" s="2" t="s">
        <v>56</v>
      </c>
      <c r="M223" s="2" t="s">
        <v>55</v>
      </c>
      <c r="N223" s="2"/>
      <c r="O223" s="2"/>
      <c r="P223" s="6" t="s">
        <v>57</v>
      </c>
      <c r="Q223" s="6" t="s">
        <v>57</v>
      </c>
      <c r="R223" s="9">
        <v>0</v>
      </c>
      <c r="S223" s="2"/>
      <c r="T223" s="9">
        <v>36500</v>
      </c>
      <c r="U223" s="9">
        <v>13569</v>
      </c>
      <c r="V223" s="9">
        <v>11084</v>
      </c>
      <c r="W223" s="9">
        <v>19474</v>
      </c>
      <c r="X223" s="9">
        <v>19396</v>
      </c>
      <c r="Y223" s="9">
        <v>31244</v>
      </c>
      <c r="Z223" s="9">
        <v>36917</v>
      </c>
      <c r="AA223" s="9">
        <v>36917</v>
      </c>
      <c r="AB223" s="9">
        <v>15507</v>
      </c>
      <c r="AC223" s="9">
        <v>5339</v>
      </c>
      <c r="AD223" s="9">
        <v>12871</v>
      </c>
      <c r="AE223" s="6" t="s">
        <v>57</v>
      </c>
      <c r="AF223" s="6" t="s">
        <v>57</v>
      </c>
      <c r="AG223" s="6" t="s">
        <v>57</v>
      </c>
      <c r="AH223" s="6" t="s">
        <v>57</v>
      </c>
      <c r="AI223" s="6" t="s">
        <v>57</v>
      </c>
      <c r="AJ223" s="6" t="s">
        <v>57</v>
      </c>
      <c r="AK223" s="6" t="s">
        <v>57</v>
      </c>
      <c r="AL223" s="6" t="s">
        <v>57</v>
      </c>
      <c r="AM223" s="6" t="s">
        <v>57</v>
      </c>
      <c r="AN223" s="6" t="s">
        <v>57</v>
      </c>
      <c r="AO223" s="6" t="s">
        <v>57</v>
      </c>
      <c r="AP223" s="6" t="s">
        <v>57</v>
      </c>
      <c r="AQ223" s="9">
        <v>0</v>
      </c>
    </row>
    <row r="224" spans="1:43" ht="15">
      <c r="A224" s="2" t="s">
        <v>795</v>
      </c>
      <c r="B224" s="5">
        <v>10989141</v>
      </c>
      <c r="C224" s="2" t="s">
        <v>23</v>
      </c>
      <c r="D224" s="2" t="s">
        <v>796</v>
      </c>
      <c r="E224" s="2" t="s">
        <v>797</v>
      </c>
      <c r="F224" s="2" t="s">
        <v>26</v>
      </c>
      <c r="G224" s="2" t="s">
        <v>26</v>
      </c>
      <c r="H224" s="2" t="s">
        <v>27</v>
      </c>
      <c r="I224" s="2" t="s">
        <v>28</v>
      </c>
      <c r="J224" s="6"/>
      <c r="K224" s="2" t="s">
        <v>55</v>
      </c>
      <c r="L224" s="2" t="s">
        <v>56</v>
      </c>
      <c r="M224" s="2" t="s">
        <v>55</v>
      </c>
      <c r="N224" s="2"/>
      <c r="O224" s="2"/>
      <c r="P224" s="7">
        <v>7.1043030079065597</v>
      </c>
      <c r="Q224" s="6" t="s">
        <v>57</v>
      </c>
      <c r="R224" s="9">
        <v>0</v>
      </c>
      <c r="S224" s="2"/>
      <c r="T224" s="9">
        <v>0</v>
      </c>
      <c r="U224" s="9">
        <v>0</v>
      </c>
      <c r="V224" s="9">
        <v>0</v>
      </c>
      <c r="W224" s="9">
        <v>0</v>
      </c>
      <c r="X224" s="9">
        <v>0</v>
      </c>
      <c r="Y224" s="9">
        <v>14</v>
      </c>
      <c r="Z224" s="9">
        <v>18</v>
      </c>
      <c r="AA224" s="9">
        <v>13</v>
      </c>
      <c r="AB224" s="9">
        <v>0</v>
      </c>
      <c r="AC224" s="9">
        <v>0</v>
      </c>
      <c r="AD224" s="9">
        <v>0</v>
      </c>
      <c r="AE224" s="6" t="s">
        <v>57</v>
      </c>
      <c r="AF224" s="6" t="s">
        <v>57</v>
      </c>
      <c r="AG224" s="6" t="s">
        <v>57</v>
      </c>
      <c r="AH224" s="6" t="s">
        <v>57</v>
      </c>
      <c r="AI224" s="6" t="s">
        <v>57</v>
      </c>
      <c r="AJ224" s="6" t="s">
        <v>57</v>
      </c>
      <c r="AK224" s="6" t="s">
        <v>57</v>
      </c>
      <c r="AL224" s="6" t="s">
        <v>57</v>
      </c>
      <c r="AM224" s="6" t="s">
        <v>57</v>
      </c>
      <c r="AN224" s="6" t="s">
        <v>57</v>
      </c>
      <c r="AO224" s="6" t="s">
        <v>57</v>
      </c>
      <c r="AP224" s="6" t="s">
        <v>57</v>
      </c>
      <c r="AQ224" s="9">
        <v>0</v>
      </c>
    </row>
    <row r="225" spans="1:43" ht="15">
      <c r="A225" s="2" t="s">
        <v>798</v>
      </c>
      <c r="B225" s="5">
        <v>5738548</v>
      </c>
      <c r="C225" s="2" t="s">
        <v>23</v>
      </c>
      <c r="D225" s="2" t="s">
        <v>799</v>
      </c>
      <c r="E225" s="2" t="s">
        <v>800</v>
      </c>
      <c r="F225" s="2" t="s">
        <v>26</v>
      </c>
      <c r="G225" s="2" t="s">
        <v>26</v>
      </c>
      <c r="H225" s="2" t="s">
        <v>27</v>
      </c>
      <c r="I225" s="2" t="s">
        <v>28</v>
      </c>
      <c r="J225" s="6"/>
      <c r="K225" s="2" t="s">
        <v>55</v>
      </c>
      <c r="L225" s="2" t="s">
        <v>56</v>
      </c>
      <c r="M225" s="2" t="s">
        <v>55</v>
      </c>
      <c r="N225" s="2"/>
      <c r="O225" s="2"/>
      <c r="P225" s="7">
        <v>78.197005534887197</v>
      </c>
      <c r="Q225" s="6" t="s">
        <v>57</v>
      </c>
      <c r="R225" s="9">
        <v>31979</v>
      </c>
      <c r="S225" s="2"/>
      <c r="T225" s="9">
        <v>70102</v>
      </c>
      <c r="U225" s="9">
        <v>75117</v>
      </c>
      <c r="V225" s="9">
        <v>91344</v>
      </c>
      <c r="W225" s="9">
        <v>81672</v>
      </c>
      <c r="X225" s="9">
        <v>81427</v>
      </c>
      <c r="Y225" s="9">
        <v>72461</v>
      </c>
      <c r="Z225" s="9">
        <v>51495</v>
      </c>
      <c r="AA225" s="9">
        <v>36353</v>
      </c>
      <c r="AB225" s="9">
        <v>83375</v>
      </c>
      <c r="AC225" s="9">
        <v>93385</v>
      </c>
      <c r="AD225" s="9">
        <v>84949</v>
      </c>
      <c r="AE225" s="6" t="s">
        <v>57</v>
      </c>
      <c r="AF225" s="6" t="s">
        <v>57</v>
      </c>
      <c r="AG225" s="6" t="s">
        <v>57</v>
      </c>
      <c r="AH225" s="6" t="s">
        <v>57</v>
      </c>
      <c r="AI225" s="6" t="s">
        <v>57</v>
      </c>
      <c r="AJ225" s="6" t="s">
        <v>57</v>
      </c>
      <c r="AK225" s="6" t="s">
        <v>57</v>
      </c>
      <c r="AL225" s="6" t="s">
        <v>57</v>
      </c>
      <c r="AM225" s="6" t="s">
        <v>57</v>
      </c>
      <c r="AN225" s="6" t="s">
        <v>57</v>
      </c>
      <c r="AO225" s="6" t="s">
        <v>57</v>
      </c>
      <c r="AP225" s="6" t="s">
        <v>57</v>
      </c>
      <c r="AQ225" s="9">
        <v>18871</v>
      </c>
    </row>
    <row r="226" spans="1:43" ht="15">
      <c r="A226" s="2" t="s">
        <v>801</v>
      </c>
      <c r="B226" s="5">
        <v>15066247</v>
      </c>
      <c r="C226" s="2" t="s">
        <v>23</v>
      </c>
      <c r="D226" s="2" t="s">
        <v>802</v>
      </c>
      <c r="E226" s="2" t="s">
        <v>803</v>
      </c>
      <c r="F226" s="2" t="s">
        <v>26</v>
      </c>
      <c r="G226" s="2" t="s">
        <v>26</v>
      </c>
      <c r="H226" s="2" t="s">
        <v>27</v>
      </c>
      <c r="I226" s="2" t="s">
        <v>28</v>
      </c>
      <c r="J226" s="6"/>
      <c r="K226" s="2" t="s">
        <v>55</v>
      </c>
      <c r="L226" s="2" t="s">
        <v>56</v>
      </c>
      <c r="M226" s="2" t="s">
        <v>55</v>
      </c>
      <c r="N226" s="2"/>
      <c r="O226" s="2"/>
      <c r="P226" s="6" t="s">
        <v>57</v>
      </c>
      <c r="Q226" s="6" t="s">
        <v>57</v>
      </c>
      <c r="R226" s="6" t="s">
        <v>57</v>
      </c>
      <c r="S226" s="2"/>
      <c r="T226" s="6" t="s">
        <v>57</v>
      </c>
      <c r="U226" s="6" t="s">
        <v>57</v>
      </c>
      <c r="V226" s="6" t="s">
        <v>57</v>
      </c>
      <c r="W226" s="6" t="s">
        <v>57</v>
      </c>
      <c r="X226" s="6" t="s">
        <v>57</v>
      </c>
      <c r="Y226" s="6" t="s">
        <v>57</v>
      </c>
      <c r="Z226" s="6" t="s">
        <v>57</v>
      </c>
      <c r="AA226" s="6" t="s">
        <v>57</v>
      </c>
      <c r="AB226" s="6" t="s">
        <v>57</v>
      </c>
      <c r="AC226" s="6" t="s">
        <v>57</v>
      </c>
      <c r="AD226" s="6" t="s">
        <v>57</v>
      </c>
      <c r="AE226" s="6" t="s">
        <v>57</v>
      </c>
      <c r="AF226" s="6" t="s">
        <v>57</v>
      </c>
      <c r="AG226" s="6" t="s">
        <v>57</v>
      </c>
      <c r="AH226" s="6" t="s">
        <v>57</v>
      </c>
      <c r="AI226" s="6" t="s">
        <v>57</v>
      </c>
      <c r="AJ226" s="6" t="s">
        <v>57</v>
      </c>
      <c r="AK226" s="6" t="s">
        <v>57</v>
      </c>
      <c r="AL226" s="6" t="s">
        <v>57</v>
      </c>
      <c r="AM226" s="6" t="s">
        <v>57</v>
      </c>
      <c r="AN226" s="6" t="s">
        <v>57</v>
      </c>
      <c r="AO226" s="6" t="s">
        <v>57</v>
      </c>
      <c r="AP226" s="6" t="s">
        <v>57</v>
      </c>
      <c r="AQ226" s="6" t="s">
        <v>57</v>
      </c>
    </row>
    <row r="227" spans="1:43" ht="15">
      <c r="A227" s="2" t="s">
        <v>804</v>
      </c>
      <c r="B227" s="5">
        <v>9008745</v>
      </c>
      <c r="C227" s="2" t="s">
        <v>23</v>
      </c>
      <c r="D227" s="2" t="s">
        <v>805</v>
      </c>
      <c r="E227" s="2" t="s">
        <v>806</v>
      </c>
      <c r="F227" s="2" t="s">
        <v>26</v>
      </c>
      <c r="G227" s="2" t="s">
        <v>26</v>
      </c>
      <c r="H227" s="2" t="s">
        <v>27</v>
      </c>
      <c r="I227" s="2" t="s">
        <v>28</v>
      </c>
      <c r="J227" s="6"/>
      <c r="K227" s="2" t="s">
        <v>55</v>
      </c>
      <c r="L227" s="2" t="s">
        <v>56</v>
      </c>
      <c r="M227" s="2" t="s">
        <v>55</v>
      </c>
      <c r="N227" s="2"/>
      <c r="O227" s="2"/>
      <c r="P227" s="7">
        <v>21.630318525503998</v>
      </c>
      <c r="Q227" s="6" t="s">
        <v>57</v>
      </c>
      <c r="R227" s="9">
        <v>7218</v>
      </c>
      <c r="S227" s="2" t="s">
        <v>807</v>
      </c>
      <c r="T227" s="9">
        <v>3462</v>
      </c>
      <c r="U227" s="9">
        <v>4006</v>
      </c>
      <c r="V227" s="9">
        <v>3971</v>
      </c>
      <c r="W227" s="9">
        <v>4158</v>
      </c>
      <c r="X227" s="9">
        <v>4141</v>
      </c>
      <c r="Y227" s="9">
        <v>5511</v>
      </c>
      <c r="Z227" s="9">
        <v>4207</v>
      </c>
      <c r="AA227" s="9">
        <v>3084</v>
      </c>
      <c r="AB227" s="9">
        <v>4224</v>
      </c>
      <c r="AC227" s="9">
        <v>4166</v>
      </c>
      <c r="AD227" s="9">
        <v>2463</v>
      </c>
      <c r="AE227" s="6" t="s">
        <v>57</v>
      </c>
      <c r="AF227" s="6" t="s">
        <v>57</v>
      </c>
      <c r="AG227" s="6" t="s">
        <v>57</v>
      </c>
      <c r="AH227" s="6" t="s">
        <v>57</v>
      </c>
      <c r="AI227" s="6" t="s">
        <v>57</v>
      </c>
      <c r="AJ227" s="6" t="s">
        <v>57</v>
      </c>
      <c r="AK227" s="6" t="s">
        <v>57</v>
      </c>
      <c r="AL227" s="6" t="s">
        <v>57</v>
      </c>
      <c r="AM227" s="6" t="s">
        <v>57</v>
      </c>
      <c r="AN227" s="6" t="s">
        <v>57</v>
      </c>
      <c r="AO227" s="6" t="s">
        <v>57</v>
      </c>
      <c r="AP227" s="6" t="s">
        <v>57</v>
      </c>
      <c r="AQ227" s="9">
        <v>10997</v>
      </c>
    </row>
    <row r="228" spans="1:43" ht="15">
      <c r="A228" s="2" t="s">
        <v>808</v>
      </c>
      <c r="B228" s="5">
        <v>19351116</v>
      </c>
      <c r="C228" s="2" t="s">
        <v>23</v>
      </c>
      <c r="D228" s="2" t="s">
        <v>809</v>
      </c>
      <c r="E228" s="2" t="s">
        <v>810</v>
      </c>
      <c r="F228" s="2" t="s">
        <v>26</v>
      </c>
      <c r="G228" s="2"/>
      <c r="H228" s="2"/>
      <c r="I228" s="2" t="s">
        <v>28</v>
      </c>
      <c r="J228" s="6"/>
      <c r="K228" s="2" t="s">
        <v>55</v>
      </c>
      <c r="L228" s="2" t="s">
        <v>56</v>
      </c>
      <c r="M228" s="2" t="s">
        <v>55</v>
      </c>
      <c r="N228" s="2"/>
      <c r="O228" s="2"/>
      <c r="P228" s="7">
        <v>0.952676414589262</v>
      </c>
      <c r="Q228" s="6" t="s">
        <v>57</v>
      </c>
      <c r="R228" s="9">
        <v>0</v>
      </c>
      <c r="S228" s="2"/>
      <c r="T228" s="9">
        <v>0</v>
      </c>
      <c r="U228" s="9">
        <v>0</v>
      </c>
      <c r="V228" s="9">
        <v>1547</v>
      </c>
      <c r="W228" s="9">
        <v>397</v>
      </c>
      <c r="X228" s="9">
        <v>396</v>
      </c>
      <c r="Y228" s="9">
        <v>199</v>
      </c>
      <c r="Z228" s="9">
        <v>133</v>
      </c>
      <c r="AA228" s="9">
        <v>82</v>
      </c>
      <c r="AB228" s="9">
        <v>0</v>
      </c>
      <c r="AC228" s="9">
        <v>1623</v>
      </c>
      <c r="AD228" s="9">
        <v>798</v>
      </c>
      <c r="AE228" s="6" t="s">
        <v>57</v>
      </c>
      <c r="AF228" s="6" t="s">
        <v>57</v>
      </c>
      <c r="AG228" s="6" t="s">
        <v>57</v>
      </c>
      <c r="AH228" s="6" t="s">
        <v>57</v>
      </c>
      <c r="AI228" s="6" t="s">
        <v>57</v>
      </c>
      <c r="AJ228" s="6" t="s">
        <v>57</v>
      </c>
      <c r="AK228" s="6" t="s">
        <v>57</v>
      </c>
      <c r="AL228" s="6" t="s">
        <v>57</v>
      </c>
      <c r="AM228" s="6" t="s">
        <v>57</v>
      </c>
      <c r="AN228" s="6" t="s">
        <v>57</v>
      </c>
      <c r="AO228" s="6" t="s">
        <v>57</v>
      </c>
      <c r="AP228" s="6" t="s">
        <v>57</v>
      </c>
      <c r="AQ228" s="9">
        <v>0</v>
      </c>
    </row>
    <row r="229" spans="1:43" ht="15">
      <c r="A229" s="2" t="s">
        <v>811</v>
      </c>
      <c r="B229" s="5">
        <v>10894620</v>
      </c>
      <c r="C229" s="2" t="s">
        <v>23</v>
      </c>
      <c r="D229" s="2" t="s">
        <v>812</v>
      </c>
      <c r="E229" s="2" t="s">
        <v>813</v>
      </c>
      <c r="F229" s="2" t="s">
        <v>26</v>
      </c>
      <c r="G229" s="2" t="s">
        <v>26</v>
      </c>
      <c r="H229" s="2" t="s">
        <v>27</v>
      </c>
      <c r="I229" s="2" t="s">
        <v>28</v>
      </c>
      <c r="J229" s="6"/>
      <c r="K229" s="2" t="s">
        <v>55</v>
      </c>
      <c r="L229" s="2" t="s">
        <v>56</v>
      </c>
      <c r="M229" s="2" t="s">
        <v>55</v>
      </c>
      <c r="N229" s="2"/>
      <c r="O229" s="2"/>
      <c r="P229" s="7">
        <v>35.450367484612698</v>
      </c>
      <c r="Q229" s="6" t="s">
        <v>57</v>
      </c>
      <c r="R229" s="9">
        <v>7</v>
      </c>
      <c r="S229" s="2"/>
      <c r="T229" s="9">
        <v>533</v>
      </c>
      <c r="U229" s="9">
        <v>204</v>
      </c>
      <c r="V229" s="9">
        <v>217</v>
      </c>
      <c r="W229" s="9">
        <v>285</v>
      </c>
      <c r="X229" s="9">
        <v>284</v>
      </c>
      <c r="Y229" s="9">
        <v>401</v>
      </c>
      <c r="Z229" s="9">
        <v>453</v>
      </c>
      <c r="AA229" s="9">
        <v>2150</v>
      </c>
      <c r="AB229" s="9">
        <v>184</v>
      </c>
      <c r="AC229" s="9">
        <v>226</v>
      </c>
      <c r="AD229" s="9">
        <v>148</v>
      </c>
      <c r="AE229" s="6" t="s">
        <v>57</v>
      </c>
      <c r="AF229" s="6" t="s">
        <v>57</v>
      </c>
      <c r="AG229" s="6" t="s">
        <v>57</v>
      </c>
      <c r="AH229" s="6" t="s">
        <v>57</v>
      </c>
      <c r="AI229" s="6" t="s">
        <v>57</v>
      </c>
      <c r="AJ229" s="6" t="s">
        <v>57</v>
      </c>
      <c r="AK229" s="6" t="s">
        <v>57</v>
      </c>
      <c r="AL229" s="6" t="s">
        <v>57</v>
      </c>
      <c r="AM229" s="6" t="s">
        <v>57</v>
      </c>
      <c r="AN229" s="6" t="s">
        <v>57</v>
      </c>
      <c r="AO229" s="6" t="s">
        <v>57</v>
      </c>
      <c r="AP229" s="6" t="s">
        <v>57</v>
      </c>
      <c r="AQ229" s="9">
        <v>5</v>
      </c>
    </row>
    <row r="230" spans="1:43" ht="15">
      <c r="A230" s="2" t="s">
        <v>814</v>
      </c>
      <c r="B230" s="5">
        <v>112125015</v>
      </c>
      <c r="C230" s="2" t="s">
        <v>23</v>
      </c>
      <c r="D230" s="2" t="s">
        <v>815</v>
      </c>
      <c r="E230" s="2" t="s">
        <v>816</v>
      </c>
      <c r="F230" s="2" t="s">
        <v>26</v>
      </c>
      <c r="G230" s="2" t="s">
        <v>26</v>
      </c>
      <c r="H230" s="2" t="s">
        <v>27</v>
      </c>
      <c r="I230" s="2" t="s">
        <v>28</v>
      </c>
      <c r="J230" s="6"/>
      <c r="K230" s="2" t="s">
        <v>55</v>
      </c>
      <c r="L230" s="2" t="s">
        <v>56</v>
      </c>
      <c r="M230" s="2" t="s">
        <v>55</v>
      </c>
      <c r="N230" s="2"/>
      <c r="O230" s="2"/>
      <c r="P230" s="6" t="s">
        <v>57</v>
      </c>
      <c r="Q230" s="6" t="s">
        <v>57</v>
      </c>
      <c r="R230" s="9">
        <v>0</v>
      </c>
      <c r="S230" s="2"/>
      <c r="T230" s="9">
        <v>0</v>
      </c>
      <c r="U230" s="9">
        <v>0</v>
      </c>
      <c r="V230" s="9">
        <v>0</v>
      </c>
      <c r="W230" s="9">
        <v>17</v>
      </c>
      <c r="X230" s="9">
        <v>17</v>
      </c>
      <c r="Y230" s="9">
        <v>1272</v>
      </c>
      <c r="Z230" s="9">
        <v>1720</v>
      </c>
      <c r="AA230" s="9">
        <v>1720</v>
      </c>
      <c r="AB230" s="9">
        <v>0</v>
      </c>
      <c r="AC230" s="9">
        <v>0</v>
      </c>
      <c r="AD230" s="9">
        <v>0</v>
      </c>
      <c r="AE230" s="6" t="s">
        <v>57</v>
      </c>
      <c r="AF230" s="6" t="s">
        <v>57</v>
      </c>
      <c r="AG230" s="6" t="s">
        <v>57</v>
      </c>
      <c r="AH230" s="6" t="s">
        <v>57</v>
      </c>
      <c r="AI230" s="6" t="s">
        <v>57</v>
      </c>
      <c r="AJ230" s="6" t="s">
        <v>57</v>
      </c>
      <c r="AK230" s="6" t="s">
        <v>57</v>
      </c>
      <c r="AL230" s="6" t="s">
        <v>57</v>
      </c>
      <c r="AM230" s="6" t="s">
        <v>57</v>
      </c>
      <c r="AN230" s="6" t="s">
        <v>57</v>
      </c>
      <c r="AO230" s="6" t="s">
        <v>57</v>
      </c>
      <c r="AP230" s="6" t="s">
        <v>57</v>
      </c>
      <c r="AQ230" s="9">
        <v>0</v>
      </c>
    </row>
    <row r="231" spans="1:43" ht="15">
      <c r="A231" s="2" t="s">
        <v>817</v>
      </c>
      <c r="B231" s="5">
        <v>109770931</v>
      </c>
      <c r="C231" s="2" t="s">
        <v>23</v>
      </c>
      <c r="D231" s="2" t="s">
        <v>818</v>
      </c>
      <c r="E231" s="2" t="s">
        <v>819</v>
      </c>
      <c r="F231" s="2" t="s">
        <v>26</v>
      </c>
      <c r="G231" s="2" t="s">
        <v>26</v>
      </c>
      <c r="H231" s="2" t="s">
        <v>27</v>
      </c>
      <c r="I231" s="2" t="s">
        <v>28</v>
      </c>
      <c r="J231" s="6"/>
      <c r="K231" s="2" t="s">
        <v>55</v>
      </c>
      <c r="L231" s="2" t="s">
        <v>56</v>
      </c>
      <c r="M231" s="2" t="s">
        <v>55</v>
      </c>
      <c r="N231" s="2"/>
      <c r="O231" s="2"/>
      <c r="P231" s="6" t="s">
        <v>57</v>
      </c>
      <c r="Q231" s="6" t="s">
        <v>57</v>
      </c>
      <c r="R231" s="9">
        <v>63207</v>
      </c>
      <c r="S231" s="2"/>
      <c r="T231" s="9">
        <v>36535</v>
      </c>
      <c r="U231" s="9">
        <v>36432</v>
      </c>
      <c r="V231" s="9">
        <v>29541</v>
      </c>
      <c r="W231" s="9">
        <v>32858</v>
      </c>
      <c r="X231" s="9">
        <v>32868</v>
      </c>
      <c r="Y231" s="9">
        <v>29770</v>
      </c>
      <c r="Z231" s="9">
        <v>30467</v>
      </c>
      <c r="AA231" s="9">
        <v>19899</v>
      </c>
      <c r="AB231" s="9">
        <v>36652</v>
      </c>
      <c r="AC231" s="9">
        <v>30282</v>
      </c>
      <c r="AD231" s="9">
        <v>33626</v>
      </c>
      <c r="AE231" s="6" t="s">
        <v>57</v>
      </c>
      <c r="AF231" s="6" t="s">
        <v>57</v>
      </c>
      <c r="AG231" s="6" t="s">
        <v>57</v>
      </c>
      <c r="AH231" s="6" t="s">
        <v>57</v>
      </c>
      <c r="AI231" s="6" t="s">
        <v>57</v>
      </c>
      <c r="AJ231" s="6" t="s">
        <v>57</v>
      </c>
      <c r="AK231" s="6" t="s">
        <v>57</v>
      </c>
      <c r="AL231" s="6" t="s">
        <v>57</v>
      </c>
      <c r="AM231" s="6" t="s">
        <v>57</v>
      </c>
      <c r="AN231" s="6" t="s">
        <v>57</v>
      </c>
      <c r="AO231" s="6" t="s">
        <v>57</v>
      </c>
      <c r="AP231" s="6" t="s">
        <v>57</v>
      </c>
      <c r="AQ231" s="9">
        <v>41858</v>
      </c>
    </row>
    <row r="232" spans="1:43" ht="15">
      <c r="A232" s="2" t="s">
        <v>820</v>
      </c>
      <c r="B232" s="5">
        <v>19739578</v>
      </c>
      <c r="C232" s="2" t="s">
        <v>23</v>
      </c>
      <c r="D232" s="2" t="s">
        <v>821</v>
      </c>
      <c r="E232" s="2" t="s">
        <v>822</v>
      </c>
      <c r="F232" s="2" t="s">
        <v>26</v>
      </c>
      <c r="G232" s="2" t="s">
        <v>26</v>
      </c>
      <c r="H232" s="2" t="s">
        <v>27</v>
      </c>
      <c r="I232" s="2" t="s">
        <v>28</v>
      </c>
      <c r="J232" s="6"/>
      <c r="K232" s="2" t="s">
        <v>55</v>
      </c>
      <c r="L232" s="2" t="s">
        <v>56</v>
      </c>
      <c r="M232" s="2" t="s">
        <v>55</v>
      </c>
      <c r="N232" s="2"/>
      <c r="O232" s="2"/>
      <c r="P232" s="6" t="s">
        <v>57</v>
      </c>
      <c r="Q232" s="6" t="s">
        <v>57</v>
      </c>
      <c r="R232" s="9">
        <v>0</v>
      </c>
      <c r="S232" s="2"/>
      <c r="T232" s="9">
        <v>0</v>
      </c>
      <c r="U232" s="9">
        <v>0</v>
      </c>
      <c r="V232" s="9">
        <v>0</v>
      </c>
      <c r="W232" s="9">
        <v>0</v>
      </c>
      <c r="X232" s="9">
        <v>0</v>
      </c>
      <c r="Y232" s="9">
        <v>0</v>
      </c>
      <c r="Z232" s="9">
        <v>0</v>
      </c>
      <c r="AA232" s="9">
        <v>0</v>
      </c>
      <c r="AB232" s="9">
        <v>0</v>
      </c>
      <c r="AC232" s="9">
        <v>0</v>
      </c>
      <c r="AD232" s="9">
        <v>0</v>
      </c>
      <c r="AE232" s="6" t="s">
        <v>57</v>
      </c>
      <c r="AF232" s="6" t="s">
        <v>57</v>
      </c>
      <c r="AG232" s="6" t="s">
        <v>57</v>
      </c>
      <c r="AH232" s="6" t="s">
        <v>57</v>
      </c>
      <c r="AI232" s="6" t="s">
        <v>57</v>
      </c>
      <c r="AJ232" s="6" t="s">
        <v>57</v>
      </c>
      <c r="AK232" s="6" t="s">
        <v>57</v>
      </c>
      <c r="AL232" s="6" t="s">
        <v>57</v>
      </c>
      <c r="AM232" s="6" t="s">
        <v>57</v>
      </c>
      <c r="AN232" s="6" t="s">
        <v>57</v>
      </c>
      <c r="AO232" s="6" t="s">
        <v>57</v>
      </c>
      <c r="AP232" s="6" t="s">
        <v>57</v>
      </c>
      <c r="AQ232" s="9">
        <v>0</v>
      </c>
    </row>
    <row r="233" spans="1:43" ht="15">
      <c r="A233" s="2" t="s">
        <v>823</v>
      </c>
      <c r="B233" s="5">
        <v>138697996</v>
      </c>
      <c r="C233" s="2" t="s">
        <v>23</v>
      </c>
      <c r="D233" s="2" t="s">
        <v>824</v>
      </c>
      <c r="E233" s="2" t="s">
        <v>825</v>
      </c>
      <c r="F233" s="2" t="s">
        <v>26</v>
      </c>
      <c r="G233" s="2"/>
      <c r="H233" s="2"/>
      <c r="I233" s="2" t="s">
        <v>28</v>
      </c>
      <c r="J233" s="6"/>
      <c r="K233" s="2" t="s">
        <v>55</v>
      </c>
      <c r="L233" s="2" t="s">
        <v>56</v>
      </c>
      <c r="M233" s="2" t="s">
        <v>55</v>
      </c>
      <c r="N233" s="2"/>
      <c r="O233" s="2"/>
      <c r="P233" s="6" t="s">
        <v>57</v>
      </c>
      <c r="Q233" s="6" t="s">
        <v>57</v>
      </c>
      <c r="R233" s="9">
        <v>0</v>
      </c>
      <c r="S233" s="2"/>
      <c r="T233" s="9">
        <v>377</v>
      </c>
      <c r="U233" s="9">
        <v>387</v>
      </c>
      <c r="V233" s="9">
        <v>765</v>
      </c>
      <c r="W233" s="9">
        <v>540</v>
      </c>
      <c r="X233" s="9">
        <v>540</v>
      </c>
      <c r="Y233" s="9">
        <v>540</v>
      </c>
      <c r="Z233" s="9">
        <v>540</v>
      </c>
      <c r="AA233" s="9">
        <v>540</v>
      </c>
      <c r="AB233" s="9">
        <v>255</v>
      </c>
      <c r="AC233" s="9">
        <v>781</v>
      </c>
      <c r="AD233" s="9">
        <v>644</v>
      </c>
      <c r="AE233" s="6" t="s">
        <v>57</v>
      </c>
      <c r="AF233" s="6" t="s">
        <v>57</v>
      </c>
      <c r="AG233" s="6" t="s">
        <v>57</v>
      </c>
      <c r="AH233" s="6" t="s">
        <v>57</v>
      </c>
      <c r="AI233" s="6" t="s">
        <v>57</v>
      </c>
      <c r="AJ233" s="6" t="s">
        <v>57</v>
      </c>
      <c r="AK233" s="6" t="s">
        <v>57</v>
      </c>
      <c r="AL233" s="6" t="s">
        <v>57</v>
      </c>
      <c r="AM233" s="6" t="s">
        <v>57</v>
      </c>
      <c r="AN233" s="6" t="s">
        <v>57</v>
      </c>
      <c r="AO233" s="6" t="s">
        <v>57</v>
      </c>
      <c r="AP233" s="6" t="s">
        <v>57</v>
      </c>
      <c r="AQ233" s="9">
        <v>0</v>
      </c>
    </row>
    <row r="234" spans="1:43" ht="15">
      <c r="A234" s="2" t="s">
        <v>826</v>
      </c>
      <c r="B234" s="5">
        <v>139017707</v>
      </c>
      <c r="C234" s="2" t="s">
        <v>23</v>
      </c>
      <c r="D234" s="2" t="s">
        <v>827</v>
      </c>
      <c r="E234" s="2" t="s">
        <v>828</v>
      </c>
      <c r="F234" s="2" t="s">
        <v>26</v>
      </c>
      <c r="G234" s="2"/>
      <c r="H234" s="2"/>
      <c r="I234" s="2" t="s">
        <v>28</v>
      </c>
      <c r="J234" s="6"/>
      <c r="K234" s="2" t="s">
        <v>55</v>
      </c>
      <c r="L234" s="2" t="s">
        <v>56</v>
      </c>
      <c r="M234" s="2" t="s">
        <v>55</v>
      </c>
      <c r="N234" s="2"/>
      <c r="O234" s="2"/>
      <c r="P234" s="6" t="s">
        <v>57</v>
      </c>
      <c r="Q234" s="6" t="s">
        <v>57</v>
      </c>
      <c r="R234" s="9">
        <v>0</v>
      </c>
      <c r="S234" s="2"/>
      <c r="T234" s="9">
        <v>0</v>
      </c>
      <c r="U234" s="9">
        <v>1541</v>
      </c>
      <c r="V234" s="9">
        <v>6259</v>
      </c>
      <c r="W234" s="9">
        <v>5644</v>
      </c>
      <c r="X234" s="9">
        <v>5644</v>
      </c>
      <c r="Y234" s="9">
        <v>5644</v>
      </c>
      <c r="Z234" s="9">
        <v>5644</v>
      </c>
      <c r="AA234" s="9">
        <v>5644</v>
      </c>
      <c r="AB234" s="9">
        <v>1762</v>
      </c>
      <c r="AC234" s="9">
        <v>6567</v>
      </c>
      <c r="AD234" s="9">
        <v>6947</v>
      </c>
      <c r="AE234" s="6" t="s">
        <v>57</v>
      </c>
      <c r="AF234" s="6" t="s">
        <v>57</v>
      </c>
      <c r="AG234" s="6" t="s">
        <v>57</v>
      </c>
      <c r="AH234" s="6" t="s">
        <v>57</v>
      </c>
      <c r="AI234" s="6" t="s">
        <v>57</v>
      </c>
      <c r="AJ234" s="6" t="s">
        <v>57</v>
      </c>
      <c r="AK234" s="6" t="s">
        <v>57</v>
      </c>
      <c r="AL234" s="6" t="s">
        <v>57</v>
      </c>
      <c r="AM234" s="6" t="s">
        <v>57</v>
      </c>
      <c r="AN234" s="6" t="s">
        <v>57</v>
      </c>
      <c r="AO234" s="6" t="s">
        <v>57</v>
      </c>
      <c r="AP234" s="6" t="s">
        <v>57</v>
      </c>
      <c r="AQ234" s="9">
        <v>0</v>
      </c>
    </row>
    <row r="235" spans="1:43" ht="15">
      <c r="A235" s="2" t="s">
        <v>829</v>
      </c>
      <c r="B235" s="5">
        <v>138808411</v>
      </c>
      <c r="C235" s="2" t="s">
        <v>23</v>
      </c>
      <c r="D235" s="2" t="s">
        <v>830</v>
      </c>
      <c r="E235" s="2" t="s">
        <v>831</v>
      </c>
      <c r="F235" s="2" t="s">
        <v>26</v>
      </c>
      <c r="G235" s="2"/>
      <c r="H235" s="2"/>
      <c r="I235" s="2" t="s">
        <v>28</v>
      </c>
      <c r="J235" s="6"/>
      <c r="K235" s="2" t="s">
        <v>55</v>
      </c>
      <c r="L235" s="2" t="s">
        <v>56</v>
      </c>
      <c r="M235" s="2" t="s">
        <v>55</v>
      </c>
      <c r="N235" s="2"/>
      <c r="O235" s="2"/>
      <c r="P235" s="6" t="s">
        <v>57</v>
      </c>
      <c r="Q235" s="6" t="s">
        <v>57</v>
      </c>
      <c r="R235" s="9">
        <v>429229</v>
      </c>
      <c r="S235" s="2"/>
      <c r="T235" s="9">
        <v>204089</v>
      </c>
      <c r="U235" s="9">
        <v>259214</v>
      </c>
      <c r="V235" s="9">
        <v>389445</v>
      </c>
      <c r="W235" s="9">
        <v>352950</v>
      </c>
      <c r="X235" s="9">
        <v>352950</v>
      </c>
      <c r="Y235" s="9">
        <v>352950</v>
      </c>
      <c r="Z235" s="9">
        <v>352950</v>
      </c>
      <c r="AA235" s="9">
        <v>352950</v>
      </c>
      <c r="AB235" s="9">
        <v>237503</v>
      </c>
      <c r="AC235" s="9">
        <v>398242</v>
      </c>
      <c r="AD235" s="9">
        <v>446124</v>
      </c>
      <c r="AE235" s="6" t="s">
        <v>57</v>
      </c>
      <c r="AF235" s="6" t="s">
        <v>57</v>
      </c>
      <c r="AG235" s="6" t="s">
        <v>57</v>
      </c>
      <c r="AH235" s="6" t="s">
        <v>57</v>
      </c>
      <c r="AI235" s="6" t="s">
        <v>57</v>
      </c>
      <c r="AJ235" s="6" t="s">
        <v>57</v>
      </c>
      <c r="AK235" s="6" t="s">
        <v>57</v>
      </c>
      <c r="AL235" s="6" t="s">
        <v>57</v>
      </c>
      <c r="AM235" s="6" t="s">
        <v>57</v>
      </c>
      <c r="AN235" s="6" t="s">
        <v>57</v>
      </c>
      <c r="AO235" s="6" t="s">
        <v>57</v>
      </c>
      <c r="AP235" s="6" t="s">
        <v>57</v>
      </c>
      <c r="AQ235" s="9">
        <v>465672</v>
      </c>
    </row>
    <row r="236" spans="1:43" ht="15">
      <c r="A236" s="2" t="s">
        <v>832</v>
      </c>
      <c r="B236" s="5">
        <v>142463049</v>
      </c>
      <c r="C236" s="2" t="s">
        <v>23</v>
      </c>
      <c r="D236" s="2" t="s">
        <v>833</v>
      </c>
      <c r="E236" s="2" t="s">
        <v>834</v>
      </c>
      <c r="F236" s="2" t="s">
        <v>26</v>
      </c>
      <c r="G236" s="2"/>
      <c r="H236" s="2"/>
      <c r="I236" s="2" t="s">
        <v>28</v>
      </c>
      <c r="J236" s="6"/>
      <c r="K236" s="2" t="s">
        <v>55</v>
      </c>
      <c r="L236" s="2" t="s">
        <v>56</v>
      </c>
      <c r="M236" s="2" t="s">
        <v>55</v>
      </c>
      <c r="N236" s="2"/>
      <c r="O236" s="2"/>
      <c r="P236" s="6" t="s">
        <v>57</v>
      </c>
      <c r="Q236" s="6" t="s">
        <v>57</v>
      </c>
      <c r="R236" s="9">
        <v>47730</v>
      </c>
      <c r="S236" s="2"/>
      <c r="T236" s="9">
        <v>36148</v>
      </c>
      <c r="U236" s="9">
        <v>70195</v>
      </c>
      <c r="V236" s="9">
        <v>72834</v>
      </c>
      <c r="W236" s="9">
        <v>62633</v>
      </c>
      <c r="X236" s="9">
        <v>62633</v>
      </c>
      <c r="Y236" s="9">
        <v>62633</v>
      </c>
      <c r="Z236" s="9">
        <v>62633</v>
      </c>
      <c r="AA236" s="9">
        <v>62633</v>
      </c>
      <c r="AB236" s="9">
        <v>67126</v>
      </c>
      <c r="AC236" s="9">
        <v>75769</v>
      </c>
      <c r="AD236" s="9">
        <v>62633</v>
      </c>
      <c r="AE236" s="6" t="s">
        <v>57</v>
      </c>
      <c r="AF236" s="6" t="s">
        <v>57</v>
      </c>
      <c r="AG236" s="6" t="s">
        <v>57</v>
      </c>
      <c r="AH236" s="6" t="s">
        <v>57</v>
      </c>
      <c r="AI236" s="6" t="s">
        <v>57</v>
      </c>
      <c r="AJ236" s="6" t="s">
        <v>57</v>
      </c>
      <c r="AK236" s="6" t="s">
        <v>57</v>
      </c>
      <c r="AL236" s="6" t="s">
        <v>57</v>
      </c>
      <c r="AM236" s="6" t="s">
        <v>57</v>
      </c>
      <c r="AN236" s="6" t="s">
        <v>57</v>
      </c>
      <c r="AO236" s="6" t="s">
        <v>57</v>
      </c>
      <c r="AP236" s="6" t="s">
        <v>57</v>
      </c>
      <c r="AQ236" s="9">
        <v>57067</v>
      </c>
    </row>
    <row r="237" spans="1:43" ht="15">
      <c r="A237" s="2" t="s">
        <v>835</v>
      </c>
      <c r="B237" s="5">
        <v>109859582</v>
      </c>
      <c r="C237" s="2" t="s">
        <v>23</v>
      </c>
      <c r="D237" s="2" t="s">
        <v>836</v>
      </c>
      <c r="E237" s="2" t="s">
        <v>837</v>
      </c>
      <c r="F237" s="2" t="s">
        <v>26</v>
      </c>
      <c r="G237" s="2" t="s">
        <v>26</v>
      </c>
      <c r="H237" s="2" t="s">
        <v>27</v>
      </c>
      <c r="I237" s="2" t="s">
        <v>28</v>
      </c>
      <c r="J237" s="6"/>
      <c r="K237" s="2" t="s">
        <v>55</v>
      </c>
      <c r="L237" s="2" t="s">
        <v>56</v>
      </c>
      <c r="M237" s="2" t="s">
        <v>55</v>
      </c>
      <c r="N237" s="2"/>
      <c r="O237" s="2"/>
      <c r="P237" s="6" t="s">
        <v>57</v>
      </c>
      <c r="Q237" s="6" t="s">
        <v>57</v>
      </c>
      <c r="R237" s="9">
        <v>0</v>
      </c>
      <c r="S237" s="2"/>
      <c r="T237" s="9">
        <v>0</v>
      </c>
      <c r="U237" s="9">
        <v>0</v>
      </c>
      <c r="V237" s="9">
        <v>0</v>
      </c>
      <c r="W237" s="9">
        <v>0</v>
      </c>
      <c r="X237" s="9">
        <v>0</v>
      </c>
      <c r="Y237" s="9">
        <v>28</v>
      </c>
      <c r="Z237" s="9">
        <v>147</v>
      </c>
      <c r="AA237" s="9">
        <v>147</v>
      </c>
      <c r="AB237" s="9">
        <v>0</v>
      </c>
      <c r="AC237" s="9">
        <v>0</v>
      </c>
      <c r="AD237" s="9">
        <v>0</v>
      </c>
      <c r="AE237" s="6" t="s">
        <v>57</v>
      </c>
      <c r="AF237" s="6" t="s">
        <v>57</v>
      </c>
      <c r="AG237" s="6" t="s">
        <v>57</v>
      </c>
      <c r="AH237" s="6" t="s">
        <v>57</v>
      </c>
      <c r="AI237" s="6" t="s">
        <v>57</v>
      </c>
      <c r="AJ237" s="6" t="s">
        <v>57</v>
      </c>
      <c r="AK237" s="6" t="s">
        <v>57</v>
      </c>
      <c r="AL237" s="6" t="s">
        <v>57</v>
      </c>
      <c r="AM237" s="6" t="s">
        <v>57</v>
      </c>
      <c r="AN237" s="6" t="s">
        <v>57</v>
      </c>
      <c r="AO237" s="6" t="s">
        <v>57</v>
      </c>
      <c r="AP237" s="6" t="s">
        <v>57</v>
      </c>
      <c r="AQ237" s="9">
        <v>0</v>
      </c>
    </row>
    <row r="238" spans="1:43" ht="15">
      <c r="A238" s="2" t="s">
        <v>838</v>
      </c>
      <c r="B238" s="5">
        <v>101365181</v>
      </c>
      <c r="C238" s="2" t="s">
        <v>23</v>
      </c>
      <c r="D238" s="2" t="s">
        <v>839</v>
      </c>
      <c r="E238" s="2" t="s">
        <v>840</v>
      </c>
      <c r="F238" s="2" t="s">
        <v>26</v>
      </c>
      <c r="G238" s="2" t="s">
        <v>26</v>
      </c>
      <c r="H238" s="2" t="s">
        <v>27</v>
      </c>
      <c r="I238" s="2" t="s">
        <v>28</v>
      </c>
      <c r="J238" s="6"/>
      <c r="K238" s="2" t="s">
        <v>55</v>
      </c>
      <c r="L238" s="2" t="s">
        <v>56</v>
      </c>
      <c r="M238" s="2" t="s">
        <v>55</v>
      </c>
      <c r="N238" s="2"/>
      <c r="O238" s="2"/>
      <c r="P238" s="6" t="s">
        <v>57</v>
      </c>
      <c r="Q238" s="6" t="s">
        <v>57</v>
      </c>
      <c r="R238" s="9">
        <v>0</v>
      </c>
      <c r="S238" s="2"/>
      <c r="T238" s="9">
        <v>0</v>
      </c>
      <c r="U238" s="9">
        <v>0</v>
      </c>
      <c r="V238" s="9">
        <v>0</v>
      </c>
      <c r="W238" s="9">
        <v>0</v>
      </c>
      <c r="X238" s="9">
        <v>0</v>
      </c>
      <c r="Y238" s="9">
        <v>2</v>
      </c>
      <c r="Z238" s="9">
        <v>143</v>
      </c>
      <c r="AA238" s="9">
        <v>591</v>
      </c>
      <c r="AB238" s="9">
        <v>0</v>
      </c>
      <c r="AC238" s="9">
        <v>0</v>
      </c>
      <c r="AD238" s="9">
        <v>0</v>
      </c>
      <c r="AE238" s="6" t="s">
        <v>57</v>
      </c>
      <c r="AF238" s="6" t="s">
        <v>57</v>
      </c>
      <c r="AG238" s="6" t="s">
        <v>57</v>
      </c>
      <c r="AH238" s="6" t="s">
        <v>57</v>
      </c>
      <c r="AI238" s="6" t="s">
        <v>57</v>
      </c>
      <c r="AJ238" s="6" t="s">
        <v>57</v>
      </c>
      <c r="AK238" s="6" t="s">
        <v>57</v>
      </c>
      <c r="AL238" s="6" t="s">
        <v>57</v>
      </c>
      <c r="AM238" s="6" t="s">
        <v>57</v>
      </c>
      <c r="AN238" s="6" t="s">
        <v>57</v>
      </c>
      <c r="AO238" s="6" t="s">
        <v>57</v>
      </c>
      <c r="AP238" s="6" t="s">
        <v>57</v>
      </c>
      <c r="AQ238" s="9">
        <v>0</v>
      </c>
    </row>
    <row r="239" spans="1:43" ht="15">
      <c r="A239" s="2" t="s">
        <v>841</v>
      </c>
      <c r="B239" s="5">
        <v>110990120</v>
      </c>
      <c r="C239" s="2" t="s">
        <v>23</v>
      </c>
      <c r="D239" s="2" t="s">
        <v>842</v>
      </c>
      <c r="E239" s="2" t="s">
        <v>843</v>
      </c>
      <c r="F239" s="2" t="s">
        <v>26</v>
      </c>
      <c r="G239" s="2"/>
      <c r="H239" s="2"/>
      <c r="I239" s="2" t="s">
        <v>28</v>
      </c>
      <c r="J239" s="6"/>
      <c r="K239" s="2" t="s">
        <v>55</v>
      </c>
      <c r="L239" s="2" t="s">
        <v>56</v>
      </c>
      <c r="M239" s="2" t="s">
        <v>55</v>
      </c>
      <c r="N239" s="2"/>
      <c r="O239" s="2"/>
      <c r="P239" s="6" t="s">
        <v>57</v>
      </c>
      <c r="Q239" s="6" t="s">
        <v>57</v>
      </c>
      <c r="R239" s="6" t="s">
        <v>57</v>
      </c>
      <c r="S239" s="2"/>
      <c r="T239" s="6" t="s">
        <v>57</v>
      </c>
      <c r="U239" s="6" t="s">
        <v>57</v>
      </c>
      <c r="V239" s="6" t="s">
        <v>57</v>
      </c>
      <c r="W239" s="6" t="s">
        <v>57</v>
      </c>
      <c r="X239" s="6" t="s">
        <v>57</v>
      </c>
      <c r="Y239" s="6" t="s">
        <v>57</v>
      </c>
      <c r="Z239" s="6" t="s">
        <v>57</v>
      </c>
      <c r="AA239" s="6" t="s">
        <v>57</v>
      </c>
      <c r="AB239" s="6" t="s">
        <v>57</v>
      </c>
      <c r="AC239" s="6" t="s">
        <v>57</v>
      </c>
      <c r="AD239" s="6" t="s">
        <v>57</v>
      </c>
      <c r="AE239" s="6" t="s">
        <v>57</v>
      </c>
      <c r="AF239" s="6" t="s">
        <v>57</v>
      </c>
      <c r="AG239" s="6" t="s">
        <v>57</v>
      </c>
      <c r="AH239" s="6" t="s">
        <v>57</v>
      </c>
      <c r="AI239" s="6" t="s">
        <v>57</v>
      </c>
      <c r="AJ239" s="6" t="s">
        <v>57</v>
      </c>
      <c r="AK239" s="6" t="s">
        <v>57</v>
      </c>
      <c r="AL239" s="6" t="s">
        <v>57</v>
      </c>
      <c r="AM239" s="6" t="s">
        <v>57</v>
      </c>
      <c r="AN239" s="6" t="s">
        <v>57</v>
      </c>
      <c r="AO239" s="6" t="s">
        <v>57</v>
      </c>
      <c r="AP239" s="6" t="s">
        <v>57</v>
      </c>
      <c r="AQ239" s="6" t="s">
        <v>57</v>
      </c>
    </row>
    <row r="240" spans="1:43" ht="15">
      <c r="A240" s="2" t="s">
        <v>844</v>
      </c>
      <c r="B240" s="5">
        <v>105924510</v>
      </c>
      <c r="C240" s="2" t="s">
        <v>23</v>
      </c>
      <c r="D240" s="2" t="s">
        <v>845</v>
      </c>
      <c r="E240" s="2" t="s">
        <v>846</v>
      </c>
      <c r="F240" s="2" t="s">
        <v>26</v>
      </c>
      <c r="G240" s="2"/>
      <c r="H240" s="2"/>
      <c r="I240" s="2" t="s">
        <v>28</v>
      </c>
      <c r="J240" s="6"/>
      <c r="K240" s="2" t="s">
        <v>55</v>
      </c>
      <c r="L240" s="2" t="s">
        <v>56</v>
      </c>
      <c r="M240" s="2" t="s">
        <v>55</v>
      </c>
      <c r="N240" s="2"/>
      <c r="O240" s="2"/>
      <c r="P240" s="6" t="s">
        <v>57</v>
      </c>
      <c r="Q240" s="6" t="s">
        <v>57</v>
      </c>
      <c r="R240" s="9">
        <v>12878</v>
      </c>
      <c r="S240" s="2"/>
      <c r="T240" s="9">
        <v>7906</v>
      </c>
      <c r="U240" s="9">
        <v>103643</v>
      </c>
      <c r="V240" s="9">
        <v>70459</v>
      </c>
      <c r="W240" s="9">
        <v>24546</v>
      </c>
      <c r="X240" s="9">
        <v>24447</v>
      </c>
      <c r="Y240" s="9">
        <v>12297</v>
      </c>
      <c r="Z240" s="9">
        <v>13069</v>
      </c>
      <c r="AA240" s="9">
        <v>9820</v>
      </c>
      <c r="AB240" s="9">
        <v>116631</v>
      </c>
      <c r="AC240" s="9">
        <v>72775</v>
      </c>
      <c r="AD240" s="9">
        <v>49133</v>
      </c>
      <c r="AE240" s="6" t="s">
        <v>57</v>
      </c>
      <c r="AF240" s="6" t="s">
        <v>57</v>
      </c>
      <c r="AG240" s="6" t="s">
        <v>57</v>
      </c>
      <c r="AH240" s="6" t="s">
        <v>57</v>
      </c>
      <c r="AI240" s="6" t="s">
        <v>57</v>
      </c>
      <c r="AJ240" s="6" t="s">
        <v>57</v>
      </c>
      <c r="AK240" s="6" t="s">
        <v>57</v>
      </c>
      <c r="AL240" s="6" t="s">
        <v>57</v>
      </c>
      <c r="AM240" s="6" t="s">
        <v>57</v>
      </c>
      <c r="AN240" s="6" t="s">
        <v>57</v>
      </c>
      <c r="AO240" s="6" t="s">
        <v>57</v>
      </c>
      <c r="AP240" s="6" t="s">
        <v>57</v>
      </c>
      <c r="AQ240" s="9">
        <v>16465</v>
      </c>
    </row>
    <row r="241" spans="1:43" ht="15">
      <c r="A241" s="2" t="s">
        <v>847</v>
      </c>
      <c r="B241" s="5">
        <v>105831729</v>
      </c>
      <c r="C241" s="2" t="s">
        <v>23</v>
      </c>
      <c r="D241" s="2" t="s">
        <v>848</v>
      </c>
      <c r="E241" s="2" t="s">
        <v>849</v>
      </c>
      <c r="F241" s="2" t="s">
        <v>26</v>
      </c>
      <c r="G241" s="2"/>
      <c r="H241" s="2"/>
      <c r="I241" s="2" t="s">
        <v>28</v>
      </c>
      <c r="J241" s="6"/>
      <c r="K241" s="2" t="s">
        <v>55</v>
      </c>
      <c r="L241" s="2" t="s">
        <v>56</v>
      </c>
      <c r="M241" s="2" t="s">
        <v>55</v>
      </c>
      <c r="N241" s="2"/>
      <c r="O241" s="2"/>
      <c r="P241" s="6" t="s">
        <v>57</v>
      </c>
      <c r="Q241" s="6" t="s">
        <v>57</v>
      </c>
      <c r="R241" s="9">
        <v>0</v>
      </c>
      <c r="S241" s="2"/>
      <c r="T241" s="9">
        <v>0</v>
      </c>
      <c r="U241" s="9">
        <v>0</v>
      </c>
      <c r="V241" s="9">
        <v>0</v>
      </c>
      <c r="W241" s="9">
        <v>0</v>
      </c>
      <c r="X241" s="9">
        <v>0</v>
      </c>
      <c r="Y241" s="9">
        <v>0</v>
      </c>
      <c r="Z241" s="9">
        <v>0</v>
      </c>
      <c r="AA241" s="9">
        <v>145</v>
      </c>
      <c r="AB241" s="9">
        <v>0</v>
      </c>
      <c r="AC241" s="9">
        <v>0</v>
      </c>
      <c r="AD241" s="9">
        <v>0</v>
      </c>
      <c r="AE241" s="6" t="s">
        <v>57</v>
      </c>
      <c r="AF241" s="6" t="s">
        <v>57</v>
      </c>
      <c r="AG241" s="6" t="s">
        <v>57</v>
      </c>
      <c r="AH241" s="6" t="s">
        <v>57</v>
      </c>
      <c r="AI241" s="6" t="s">
        <v>57</v>
      </c>
      <c r="AJ241" s="6" t="s">
        <v>57</v>
      </c>
      <c r="AK241" s="6" t="s">
        <v>57</v>
      </c>
      <c r="AL241" s="6" t="s">
        <v>57</v>
      </c>
      <c r="AM241" s="6" t="s">
        <v>57</v>
      </c>
      <c r="AN241" s="6" t="s">
        <v>57</v>
      </c>
      <c r="AO241" s="6" t="s">
        <v>57</v>
      </c>
      <c r="AP241" s="6" t="s">
        <v>57</v>
      </c>
      <c r="AQ241" s="9">
        <v>0</v>
      </c>
    </row>
    <row r="242" spans="1:43" ht="15">
      <c r="A242" s="2" t="s">
        <v>850</v>
      </c>
      <c r="B242" s="5">
        <v>19450990</v>
      </c>
      <c r="C242" s="2" t="s">
        <v>23</v>
      </c>
      <c r="D242" s="2" t="s">
        <v>851</v>
      </c>
      <c r="E242" s="2" t="s">
        <v>852</v>
      </c>
      <c r="F242" s="2" t="s">
        <v>26</v>
      </c>
      <c r="G242" s="2" t="s">
        <v>26</v>
      </c>
      <c r="H242" s="2" t="s">
        <v>27</v>
      </c>
      <c r="I242" s="2" t="s">
        <v>28</v>
      </c>
      <c r="J242" s="6"/>
      <c r="K242" s="2" t="s">
        <v>55</v>
      </c>
      <c r="L242" s="2" t="s">
        <v>56</v>
      </c>
      <c r="M242" s="2" t="s">
        <v>55</v>
      </c>
      <c r="N242" s="2"/>
      <c r="O242" s="2"/>
      <c r="P242" s="7">
        <v>9.7535728323144202</v>
      </c>
      <c r="Q242" s="6" t="s">
        <v>57</v>
      </c>
      <c r="R242" s="9">
        <v>9579</v>
      </c>
      <c r="S242" s="2"/>
      <c r="T242" s="9">
        <v>5811</v>
      </c>
      <c r="U242" s="9">
        <v>4287</v>
      </c>
      <c r="V242" s="9">
        <v>4623</v>
      </c>
      <c r="W242" s="9">
        <v>8322</v>
      </c>
      <c r="X242" s="9">
        <v>8310</v>
      </c>
      <c r="Y242" s="9">
        <v>8874</v>
      </c>
      <c r="Z242" s="9">
        <v>8252</v>
      </c>
      <c r="AA242" s="9">
        <v>6596</v>
      </c>
      <c r="AB242" s="9">
        <v>4430</v>
      </c>
      <c r="AC242" s="9">
        <v>4638</v>
      </c>
      <c r="AD242" s="9">
        <v>5920</v>
      </c>
      <c r="AE242" s="6" t="s">
        <v>57</v>
      </c>
      <c r="AF242" s="6" t="s">
        <v>57</v>
      </c>
      <c r="AG242" s="6" t="s">
        <v>57</v>
      </c>
      <c r="AH242" s="6" t="s">
        <v>57</v>
      </c>
      <c r="AI242" s="6" t="s">
        <v>57</v>
      </c>
      <c r="AJ242" s="6" t="s">
        <v>57</v>
      </c>
      <c r="AK242" s="6" t="s">
        <v>57</v>
      </c>
      <c r="AL242" s="6" t="s">
        <v>57</v>
      </c>
      <c r="AM242" s="6" t="s">
        <v>57</v>
      </c>
      <c r="AN242" s="6" t="s">
        <v>57</v>
      </c>
      <c r="AO242" s="6" t="s">
        <v>57</v>
      </c>
      <c r="AP242" s="6" t="s">
        <v>57</v>
      </c>
      <c r="AQ242" s="9">
        <v>16420</v>
      </c>
    </row>
    <row r="243" spans="1:43" ht="15">
      <c r="A243" s="2" t="s">
        <v>853</v>
      </c>
      <c r="B243" s="5">
        <v>108007585</v>
      </c>
      <c r="C243" s="2" t="s">
        <v>23</v>
      </c>
      <c r="D243" s="2" t="s">
        <v>854</v>
      </c>
      <c r="E243" s="2" t="s">
        <v>855</v>
      </c>
      <c r="F243" s="2" t="s">
        <v>26</v>
      </c>
      <c r="G243" s="2" t="s">
        <v>26</v>
      </c>
      <c r="H243" s="2" t="s">
        <v>27</v>
      </c>
      <c r="I243" s="2" t="s">
        <v>28</v>
      </c>
      <c r="J243" s="6"/>
      <c r="K243" s="2" t="s">
        <v>55</v>
      </c>
      <c r="L243" s="2" t="s">
        <v>56</v>
      </c>
      <c r="M243" s="2" t="s">
        <v>55</v>
      </c>
      <c r="N243" s="2"/>
      <c r="O243" s="2"/>
      <c r="P243" s="6" t="s">
        <v>57</v>
      </c>
      <c r="Q243" s="6" t="s">
        <v>57</v>
      </c>
      <c r="R243" s="9">
        <v>0</v>
      </c>
      <c r="S243" s="2"/>
      <c r="T243" s="9">
        <v>0</v>
      </c>
      <c r="U243" s="9">
        <v>0</v>
      </c>
      <c r="V243" s="9">
        <v>0</v>
      </c>
      <c r="W243" s="9">
        <v>0</v>
      </c>
      <c r="X243" s="9">
        <v>0</v>
      </c>
      <c r="Y243" s="9">
        <v>0</v>
      </c>
      <c r="Z243" s="9">
        <v>0</v>
      </c>
      <c r="AA243" s="9">
        <v>0</v>
      </c>
      <c r="AB243" s="9">
        <v>0</v>
      </c>
      <c r="AC243" s="9">
        <v>0</v>
      </c>
      <c r="AD243" s="9">
        <v>0</v>
      </c>
      <c r="AE243" s="6" t="s">
        <v>57</v>
      </c>
      <c r="AF243" s="6" t="s">
        <v>57</v>
      </c>
      <c r="AG243" s="6" t="s">
        <v>57</v>
      </c>
      <c r="AH243" s="6" t="s">
        <v>57</v>
      </c>
      <c r="AI243" s="6" t="s">
        <v>57</v>
      </c>
      <c r="AJ243" s="6" t="s">
        <v>57</v>
      </c>
      <c r="AK243" s="6" t="s">
        <v>57</v>
      </c>
      <c r="AL243" s="6" t="s">
        <v>57</v>
      </c>
      <c r="AM243" s="6" t="s">
        <v>57</v>
      </c>
      <c r="AN243" s="6" t="s">
        <v>57</v>
      </c>
      <c r="AO243" s="6" t="s">
        <v>57</v>
      </c>
      <c r="AP243" s="6" t="s">
        <v>57</v>
      </c>
      <c r="AQ243" s="9">
        <v>0</v>
      </c>
    </row>
    <row r="244" spans="1:43" ht="15">
      <c r="A244" s="2" t="s">
        <v>856</v>
      </c>
      <c r="B244" s="5">
        <v>112196861</v>
      </c>
      <c r="C244" s="2" t="s">
        <v>23</v>
      </c>
      <c r="D244" s="2" t="s">
        <v>857</v>
      </c>
      <c r="E244" s="2" t="s">
        <v>858</v>
      </c>
      <c r="F244" s="2" t="s">
        <v>26</v>
      </c>
      <c r="G244" s="2" t="s">
        <v>26</v>
      </c>
      <c r="H244" s="2" t="s">
        <v>27</v>
      </c>
      <c r="I244" s="2" t="s">
        <v>28</v>
      </c>
      <c r="J244" s="6"/>
      <c r="K244" s="2" t="s">
        <v>55</v>
      </c>
      <c r="L244" s="2" t="s">
        <v>56</v>
      </c>
      <c r="M244" s="2" t="s">
        <v>55</v>
      </c>
      <c r="N244" s="2"/>
      <c r="O244" s="2"/>
      <c r="P244" s="6" t="s">
        <v>57</v>
      </c>
      <c r="Q244" s="6" t="s">
        <v>57</v>
      </c>
      <c r="R244" s="9">
        <v>0</v>
      </c>
      <c r="S244" s="2"/>
      <c r="T244" s="9">
        <v>0</v>
      </c>
      <c r="U244" s="9">
        <v>0</v>
      </c>
      <c r="V244" s="9">
        <v>0</v>
      </c>
      <c r="W244" s="9">
        <v>0</v>
      </c>
      <c r="X244" s="9">
        <v>0</v>
      </c>
      <c r="Y244" s="9">
        <v>0</v>
      </c>
      <c r="Z244" s="9">
        <v>171</v>
      </c>
      <c r="AA244" s="9">
        <v>171</v>
      </c>
      <c r="AB244" s="9">
        <v>0</v>
      </c>
      <c r="AC244" s="9">
        <v>0</v>
      </c>
      <c r="AD244" s="9">
        <v>0</v>
      </c>
      <c r="AE244" s="6" t="s">
        <v>57</v>
      </c>
      <c r="AF244" s="6" t="s">
        <v>57</v>
      </c>
      <c r="AG244" s="6" t="s">
        <v>57</v>
      </c>
      <c r="AH244" s="6" t="s">
        <v>57</v>
      </c>
      <c r="AI244" s="6" t="s">
        <v>57</v>
      </c>
      <c r="AJ244" s="6" t="s">
        <v>57</v>
      </c>
      <c r="AK244" s="6" t="s">
        <v>57</v>
      </c>
      <c r="AL244" s="6" t="s">
        <v>57</v>
      </c>
      <c r="AM244" s="6" t="s">
        <v>57</v>
      </c>
      <c r="AN244" s="6" t="s">
        <v>57</v>
      </c>
      <c r="AO244" s="6" t="s">
        <v>57</v>
      </c>
      <c r="AP244" s="6" t="s">
        <v>57</v>
      </c>
      <c r="AQ244" s="9">
        <v>0</v>
      </c>
    </row>
    <row r="245" spans="1:43" ht="15">
      <c r="A245" s="2" t="s">
        <v>859</v>
      </c>
      <c r="B245" s="5">
        <v>117702225</v>
      </c>
      <c r="C245" s="2" t="s">
        <v>23</v>
      </c>
      <c r="D245" s="2" t="s">
        <v>860</v>
      </c>
      <c r="E245" s="2" t="s">
        <v>861</v>
      </c>
      <c r="F245" s="2" t="s">
        <v>26</v>
      </c>
      <c r="G245" s="2" t="s">
        <v>26</v>
      </c>
      <c r="H245" s="2" t="s">
        <v>27</v>
      </c>
      <c r="I245" s="2" t="s">
        <v>28</v>
      </c>
      <c r="J245" s="6"/>
      <c r="K245" s="2" t="s">
        <v>55</v>
      </c>
      <c r="L245" s="2" t="s">
        <v>56</v>
      </c>
      <c r="M245" s="2" t="s">
        <v>55</v>
      </c>
      <c r="N245" s="2"/>
      <c r="O245" s="2"/>
      <c r="P245" s="6" t="s">
        <v>57</v>
      </c>
      <c r="Q245" s="6" t="s">
        <v>57</v>
      </c>
      <c r="R245" s="6" t="s">
        <v>57</v>
      </c>
      <c r="S245" s="2"/>
      <c r="T245" s="6" t="s">
        <v>57</v>
      </c>
      <c r="U245" s="6" t="s">
        <v>57</v>
      </c>
      <c r="V245" s="6" t="s">
        <v>57</v>
      </c>
      <c r="W245" s="6" t="s">
        <v>57</v>
      </c>
      <c r="X245" s="6" t="s">
        <v>57</v>
      </c>
      <c r="Y245" s="6" t="s">
        <v>57</v>
      </c>
      <c r="Z245" s="6" t="s">
        <v>57</v>
      </c>
      <c r="AA245" s="6" t="s">
        <v>57</v>
      </c>
      <c r="AB245" s="6" t="s">
        <v>57</v>
      </c>
      <c r="AC245" s="6" t="s">
        <v>57</v>
      </c>
      <c r="AD245" s="6" t="s">
        <v>57</v>
      </c>
      <c r="AE245" s="6" t="s">
        <v>57</v>
      </c>
      <c r="AF245" s="6" t="s">
        <v>57</v>
      </c>
      <c r="AG245" s="6" t="s">
        <v>57</v>
      </c>
      <c r="AH245" s="6" t="s">
        <v>57</v>
      </c>
      <c r="AI245" s="6" t="s">
        <v>57</v>
      </c>
      <c r="AJ245" s="6" t="s">
        <v>57</v>
      </c>
      <c r="AK245" s="6" t="s">
        <v>57</v>
      </c>
      <c r="AL245" s="6" t="s">
        <v>57</v>
      </c>
      <c r="AM245" s="6" t="s">
        <v>57</v>
      </c>
      <c r="AN245" s="6" t="s">
        <v>57</v>
      </c>
      <c r="AO245" s="6" t="s">
        <v>57</v>
      </c>
      <c r="AP245" s="6" t="s">
        <v>57</v>
      </c>
      <c r="AQ245" s="6" t="s">
        <v>57</v>
      </c>
    </row>
    <row r="246" spans="1:43" ht="15">
      <c r="A246" s="2" t="s">
        <v>862</v>
      </c>
      <c r="B246" s="5">
        <v>118364126</v>
      </c>
      <c r="C246" s="2" t="s">
        <v>23</v>
      </c>
      <c r="D246" s="2" t="s">
        <v>863</v>
      </c>
      <c r="E246" s="2" t="s">
        <v>864</v>
      </c>
      <c r="F246" s="2" t="s">
        <v>26</v>
      </c>
      <c r="G246" s="2" t="s">
        <v>26</v>
      </c>
      <c r="H246" s="2" t="s">
        <v>27</v>
      </c>
      <c r="I246" s="2" t="s">
        <v>28</v>
      </c>
      <c r="J246" s="6"/>
      <c r="K246" s="2" t="s">
        <v>55</v>
      </c>
      <c r="L246" s="2" t="s">
        <v>56</v>
      </c>
      <c r="M246" s="2" t="s">
        <v>55</v>
      </c>
      <c r="N246" s="2"/>
      <c r="O246" s="2"/>
      <c r="P246" s="6" t="s">
        <v>57</v>
      </c>
      <c r="Q246" s="6" t="s">
        <v>57</v>
      </c>
      <c r="R246" s="9">
        <v>0</v>
      </c>
      <c r="S246" s="2"/>
      <c r="T246" s="9">
        <v>0</v>
      </c>
      <c r="U246" s="9">
        <v>0</v>
      </c>
      <c r="V246" s="9">
        <v>0</v>
      </c>
      <c r="W246" s="9">
        <v>1279</v>
      </c>
      <c r="X246" s="9">
        <v>1377</v>
      </c>
      <c r="Y246" s="9">
        <v>6229</v>
      </c>
      <c r="Z246" s="9">
        <v>6229</v>
      </c>
      <c r="AA246" s="9">
        <v>6229</v>
      </c>
      <c r="AB246" s="9">
        <v>0</v>
      </c>
      <c r="AC246" s="9">
        <v>0</v>
      </c>
      <c r="AD246" s="9">
        <v>0</v>
      </c>
      <c r="AE246" s="6" t="s">
        <v>57</v>
      </c>
      <c r="AF246" s="6" t="s">
        <v>57</v>
      </c>
      <c r="AG246" s="6" t="s">
        <v>57</v>
      </c>
      <c r="AH246" s="6" t="s">
        <v>57</v>
      </c>
      <c r="AI246" s="6" t="s">
        <v>57</v>
      </c>
      <c r="AJ246" s="6" t="s">
        <v>57</v>
      </c>
      <c r="AK246" s="6" t="s">
        <v>57</v>
      </c>
      <c r="AL246" s="6" t="s">
        <v>57</v>
      </c>
      <c r="AM246" s="6" t="s">
        <v>57</v>
      </c>
      <c r="AN246" s="6" t="s">
        <v>57</v>
      </c>
      <c r="AO246" s="6" t="s">
        <v>57</v>
      </c>
      <c r="AP246" s="6" t="s">
        <v>57</v>
      </c>
      <c r="AQ246" s="9">
        <v>0</v>
      </c>
    </row>
    <row r="247" spans="1:43" ht="15">
      <c r="A247" s="2" t="s">
        <v>865</v>
      </c>
      <c r="B247" s="5">
        <v>117787987</v>
      </c>
      <c r="C247" s="2" t="s">
        <v>23</v>
      </c>
      <c r="D247" s="2" t="s">
        <v>866</v>
      </c>
      <c r="E247" s="2" t="s">
        <v>867</v>
      </c>
      <c r="F247" s="2" t="s">
        <v>26</v>
      </c>
      <c r="G247" s="2" t="s">
        <v>26</v>
      </c>
      <c r="H247" s="2" t="s">
        <v>27</v>
      </c>
      <c r="I247" s="2" t="s">
        <v>28</v>
      </c>
      <c r="J247" s="6"/>
      <c r="K247" s="2" t="s">
        <v>55</v>
      </c>
      <c r="L247" s="2" t="s">
        <v>56</v>
      </c>
      <c r="M247" s="2" t="s">
        <v>55</v>
      </c>
      <c r="N247" s="2"/>
      <c r="O247" s="2"/>
      <c r="P247" s="6" t="s">
        <v>57</v>
      </c>
      <c r="Q247" s="6" t="s">
        <v>57</v>
      </c>
      <c r="R247" s="9">
        <v>0</v>
      </c>
      <c r="S247" s="2"/>
      <c r="T247" s="9">
        <v>0</v>
      </c>
      <c r="U247" s="9">
        <v>0</v>
      </c>
      <c r="V247" s="9">
        <v>0</v>
      </c>
      <c r="W247" s="9">
        <v>0</v>
      </c>
      <c r="X247" s="9">
        <v>0</v>
      </c>
      <c r="Y247" s="9">
        <v>101</v>
      </c>
      <c r="Z247" s="9">
        <v>10469</v>
      </c>
      <c r="AA247" s="9">
        <v>10469</v>
      </c>
      <c r="AB247" s="9">
        <v>0</v>
      </c>
      <c r="AC247" s="9">
        <v>0</v>
      </c>
      <c r="AD247" s="9">
        <v>0</v>
      </c>
      <c r="AE247" s="6" t="s">
        <v>57</v>
      </c>
      <c r="AF247" s="6" t="s">
        <v>57</v>
      </c>
      <c r="AG247" s="6" t="s">
        <v>57</v>
      </c>
      <c r="AH247" s="6" t="s">
        <v>57</v>
      </c>
      <c r="AI247" s="6" t="s">
        <v>57</v>
      </c>
      <c r="AJ247" s="6" t="s">
        <v>57</v>
      </c>
      <c r="AK247" s="6" t="s">
        <v>57</v>
      </c>
      <c r="AL247" s="6" t="s">
        <v>57</v>
      </c>
      <c r="AM247" s="6" t="s">
        <v>57</v>
      </c>
      <c r="AN247" s="6" t="s">
        <v>57</v>
      </c>
      <c r="AO247" s="6" t="s">
        <v>57</v>
      </c>
      <c r="AP247" s="6" t="s">
        <v>57</v>
      </c>
      <c r="AQ247" s="9">
        <v>0</v>
      </c>
    </row>
    <row r="248" spans="1:43" ht="15">
      <c r="A248" s="2" t="s">
        <v>868</v>
      </c>
      <c r="B248" s="5">
        <v>5736307</v>
      </c>
      <c r="C248" s="2" t="s">
        <v>23</v>
      </c>
      <c r="D248" s="2" t="s">
        <v>869</v>
      </c>
      <c r="E248" s="2" t="s">
        <v>870</v>
      </c>
      <c r="F248" s="2" t="s">
        <v>26</v>
      </c>
      <c r="G248" s="2" t="s">
        <v>26</v>
      </c>
      <c r="H248" s="2" t="s">
        <v>27</v>
      </c>
      <c r="I248" s="2" t="s">
        <v>28</v>
      </c>
      <c r="J248" s="6"/>
      <c r="K248" s="2" t="s">
        <v>55</v>
      </c>
      <c r="L248" s="2" t="s">
        <v>56</v>
      </c>
      <c r="M248" s="2" t="s">
        <v>55</v>
      </c>
      <c r="N248" s="2"/>
      <c r="O248" s="2"/>
      <c r="P248" s="7">
        <v>76.785478375060194</v>
      </c>
      <c r="Q248" s="6" t="s">
        <v>57</v>
      </c>
      <c r="R248" s="9">
        <v>15864</v>
      </c>
      <c r="S248" s="2"/>
      <c r="T248" s="9">
        <v>5288</v>
      </c>
      <c r="U248" s="9">
        <v>1322</v>
      </c>
      <c r="V248" s="9">
        <v>1498</v>
      </c>
      <c r="W248" s="9">
        <v>14783</v>
      </c>
      <c r="X248" s="9">
        <v>14724</v>
      </c>
      <c r="Y248" s="9">
        <v>14605</v>
      </c>
      <c r="Z248" s="9">
        <v>60074</v>
      </c>
      <c r="AA248" s="9">
        <v>188078</v>
      </c>
      <c r="AB248" s="9">
        <v>1511</v>
      </c>
      <c r="AC248" s="9">
        <v>1572</v>
      </c>
      <c r="AD248" s="9">
        <v>1924</v>
      </c>
      <c r="AE248" s="6" t="s">
        <v>57</v>
      </c>
      <c r="AF248" s="6" t="s">
        <v>57</v>
      </c>
      <c r="AG248" s="6" t="s">
        <v>57</v>
      </c>
      <c r="AH248" s="6" t="s">
        <v>57</v>
      </c>
      <c r="AI248" s="6" t="s">
        <v>57</v>
      </c>
      <c r="AJ248" s="6" t="s">
        <v>57</v>
      </c>
      <c r="AK248" s="6" t="s">
        <v>57</v>
      </c>
      <c r="AL248" s="6" t="s">
        <v>57</v>
      </c>
      <c r="AM248" s="6" t="s">
        <v>57</v>
      </c>
      <c r="AN248" s="6" t="s">
        <v>57</v>
      </c>
      <c r="AO248" s="6" t="s">
        <v>57</v>
      </c>
      <c r="AP248" s="6" t="s">
        <v>57</v>
      </c>
      <c r="AQ248" s="9">
        <v>0</v>
      </c>
    </row>
    <row r="249" spans="1:43" ht="15">
      <c r="A249" s="2" t="s">
        <v>871</v>
      </c>
      <c r="B249" s="5">
        <v>5733630</v>
      </c>
      <c r="C249" s="2" t="s">
        <v>23</v>
      </c>
      <c r="D249" s="2" t="s">
        <v>872</v>
      </c>
      <c r="E249" s="2" t="s">
        <v>873</v>
      </c>
      <c r="F249" s="2" t="s">
        <v>26</v>
      </c>
      <c r="G249" s="2" t="s">
        <v>26</v>
      </c>
      <c r="H249" s="2" t="s">
        <v>27</v>
      </c>
      <c r="I249" s="2" t="s">
        <v>28</v>
      </c>
      <c r="J249" s="6"/>
      <c r="K249" s="2" t="s">
        <v>55</v>
      </c>
      <c r="L249" s="2" t="s">
        <v>56</v>
      </c>
      <c r="M249" s="2" t="s">
        <v>55</v>
      </c>
      <c r="N249" s="2"/>
      <c r="O249" s="2"/>
      <c r="P249" s="7">
        <v>21.274993098168</v>
      </c>
      <c r="Q249" s="6" t="s">
        <v>57</v>
      </c>
      <c r="R249" s="9">
        <v>0</v>
      </c>
      <c r="S249" s="2" t="s">
        <v>874</v>
      </c>
      <c r="T249" s="9">
        <v>0</v>
      </c>
      <c r="U249" s="9">
        <v>0</v>
      </c>
      <c r="V249" s="9">
        <v>0</v>
      </c>
      <c r="W249" s="9">
        <v>4</v>
      </c>
      <c r="X249" s="9">
        <v>4</v>
      </c>
      <c r="Y249" s="9">
        <v>11</v>
      </c>
      <c r="Z249" s="9">
        <v>83</v>
      </c>
      <c r="AA249" s="9">
        <v>59</v>
      </c>
      <c r="AB249" s="9">
        <v>0</v>
      </c>
      <c r="AC249" s="9">
        <v>0</v>
      </c>
      <c r="AD249" s="9">
        <v>0</v>
      </c>
      <c r="AE249" s="6" t="s">
        <v>57</v>
      </c>
      <c r="AF249" s="6" t="s">
        <v>57</v>
      </c>
      <c r="AG249" s="6" t="s">
        <v>57</v>
      </c>
      <c r="AH249" s="6" t="s">
        <v>57</v>
      </c>
      <c r="AI249" s="6" t="s">
        <v>57</v>
      </c>
      <c r="AJ249" s="6" t="s">
        <v>57</v>
      </c>
      <c r="AK249" s="6" t="s">
        <v>57</v>
      </c>
      <c r="AL249" s="6" t="s">
        <v>57</v>
      </c>
      <c r="AM249" s="6" t="s">
        <v>57</v>
      </c>
      <c r="AN249" s="6" t="s">
        <v>57</v>
      </c>
      <c r="AO249" s="6" t="s">
        <v>57</v>
      </c>
      <c r="AP249" s="6" t="s">
        <v>57</v>
      </c>
      <c r="AQ249" s="9">
        <v>0</v>
      </c>
    </row>
    <row r="250" spans="1:43" ht="15">
      <c r="A250" s="2" t="s">
        <v>875</v>
      </c>
      <c r="B250" s="5">
        <v>5735734</v>
      </c>
      <c r="C250" s="2" t="s">
        <v>23</v>
      </c>
      <c r="D250" s="2" t="s">
        <v>876</v>
      </c>
      <c r="E250" s="2" t="s">
        <v>877</v>
      </c>
      <c r="F250" s="2" t="s">
        <v>26</v>
      </c>
      <c r="G250" s="2" t="s">
        <v>26</v>
      </c>
      <c r="H250" s="2" t="s">
        <v>27</v>
      </c>
      <c r="I250" s="2" t="s">
        <v>28</v>
      </c>
      <c r="J250" s="6"/>
      <c r="K250" s="2" t="s">
        <v>55</v>
      </c>
      <c r="L250" s="2" t="s">
        <v>56</v>
      </c>
      <c r="M250" s="2" t="s">
        <v>55</v>
      </c>
      <c r="N250" s="2"/>
      <c r="O250" s="2"/>
      <c r="P250" s="7">
        <v>13.56544578644</v>
      </c>
      <c r="Q250" s="6" t="s">
        <v>57</v>
      </c>
      <c r="R250" s="9">
        <v>0</v>
      </c>
      <c r="S250" s="2"/>
      <c r="T250" s="9">
        <v>0</v>
      </c>
      <c r="U250" s="9">
        <v>0</v>
      </c>
      <c r="V250" s="9">
        <v>0</v>
      </c>
      <c r="W250" s="9">
        <v>1</v>
      </c>
      <c r="X250" s="9">
        <v>1</v>
      </c>
      <c r="Y250" s="9">
        <v>4</v>
      </c>
      <c r="Z250" s="9">
        <v>5</v>
      </c>
      <c r="AA250" s="9">
        <v>5</v>
      </c>
      <c r="AB250" s="9">
        <v>0</v>
      </c>
      <c r="AC250" s="9">
        <v>0</v>
      </c>
      <c r="AD250" s="9">
        <v>0</v>
      </c>
      <c r="AE250" s="6" t="s">
        <v>57</v>
      </c>
      <c r="AF250" s="6" t="s">
        <v>57</v>
      </c>
      <c r="AG250" s="6" t="s">
        <v>57</v>
      </c>
      <c r="AH250" s="6" t="s">
        <v>57</v>
      </c>
      <c r="AI250" s="6" t="s">
        <v>57</v>
      </c>
      <c r="AJ250" s="6" t="s">
        <v>57</v>
      </c>
      <c r="AK250" s="6" t="s">
        <v>57</v>
      </c>
      <c r="AL250" s="6" t="s">
        <v>57</v>
      </c>
      <c r="AM250" s="6" t="s">
        <v>57</v>
      </c>
      <c r="AN250" s="6" t="s">
        <v>57</v>
      </c>
      <c r="AO250" s="6" t="s">
        <v>57</v>
      </c>
      <c r="AP250" s="6" t="s">
        <v>57</v>
      </c>
      <c r="AQ250" s="9">
        <v>0</v>
      </c>
    </row>
    <row r="251" spans="1:43" ht="15">
      <c r="A251" s="2" t="s">
        <v>878</v>
      </c>
      <c r="B251" s="5">
        <v>5731217</v>
      </c>
      <c r="C251" s="2" t="s">
        <v>23</v>
      </c>
      <c r="D251" s="2" t="s">
        <v>879</v>
      </c>
      <c r="E251" s="2" t="s">
        <v>880</v>
      </c>
      <c r="F251" s="2" t="s">
        <v>26</v>
      </c>
      <c r="G251" s="2" t="s">
        <v>26</v>
      </c>
      <c r="H251" s="2" t="s">
        <v>27</v>
      </c>
      <c r="I251" s="2" t="s">
        <v>28</v>
      </c>
      <c r="J251" s="6"/>
      <c r="K251" s="2" t="s">
        <v>55</v>
      </c>
      <c r="L251" s="2" t="s">
        <v>56</v>
      </c>
      <c r="M251" s="2" t="s">
        <v>55</v>
      </c>
      <c r="N251" s="2"/>
      <c r="O251" s="2"/>
      <c r="P251" s="7">
        <v>426.519145076379</v>
      </c>
      <c r="Q251" s="6" t="s">
        <v>57</v>
      </c>
      <c r="R251" s="9">
        <v>11735</v>
      </c>
      <c r="S251" s="2"/>
      <c r="T251" s="9">
        <v>5784</v>
      </c>
      <c r="U251" s="9">
        <v>3913</v>
      </c>
      <c r="V251" s="9">
        <v>3644</v>
      </c>
      <c r="W251" s="9">
        <v>4099</v>
      </c>
      <c r="X251" s="9">
        <v>4100</v>
      </c>
      <c r="Y251" s="9">
        <v>3516</v>
      </c>
      <c r="Z251" s="9">
        <v>2958</v>
      </c>
      <c r="AA251" s="9">
        <v>2357</v>
      </c>
      <c r="AB251" s="9">
        <v>4350</v>
      </c>
      <c r="AC251" s="9">
        <v>3569</v>
      </c>
      <c r="AD251" s="9">
        <v>3585</v>
      </c>
      <c r="AE251" s="6" t="s">
        <v>57</v>
      </c>
      <c r="AF251" s="6" t="s">
        <v>57</v>
      </c>
      <c r="AG251" s="6" t="s">
        <v>57</v>
      </c>
      <c r="AH251" s="6" t="s">
        <v>57</v>
      </c>
      <c r="AI251" s="6" t="s">
        <v>57</v>
      </c>
      <c r="AJ251" s="6" t="s">
        <v>57</v>
      </c>
      <c r="AK251" s="6" t="s">
        <v>57</v>
      </c>
      <c r="AL251" s="6" t="s">
        <v>57</v>
      </c>
      <c r="AM251" s="6" t="s">
        <v>57</v>
      </c>
      <c r="AN251" s="6" t="s">
        <v>57</v>
      </c>
      <c r="AO251" s="6" t="s">
        <v>57</v>
      </c>
      <c r="AP251" s="6" t="s">
        <v>57</v>
      </c>
      <c r="AQ251" s="9">
        <v>889</v>
      </c>
    </row>
    <row r="252" spans="1:43" ht="15">
      <c r="A252" s="2" t="s">
        <v>881</v>
      </c>
      <c r="B252" s="5">
        <v>5728303</v>
      </c>
      <c r="C252" s="2" t="s">
        <v>23</v>
      </c>
      <c r="D252" s="2" t="s">
        <v>882</v>
      </c>
      <c r="E252" s="2" t="s">
        <v>883</v>
      </c>
      <c r="F252" s="2" t="s">
        <v>26</v>
      </c>
      <c r="G252" s="2" t="s">
        <v>26</v>
      </c>
      <c r="H252" s="2" t="s">
        <v>27</v>
      </c>
      <c r="I252" s="2" t="s">
        <v>28</v>
      </c>
      <c r="J252" s="6"/>
      <c r="K252" s="2" t="s">
        <v>55</v>
      </c>
      <c r="L252" s="2" t="s">
        <v>56</v>
      </c>
      <c r="M252" s="2" t="s">
        <v>55</v>
      </c>
      <c r="N252" s="2"/>
      <c r="O252" s="2"/>
      <c r="P252" s="6" t="s">
        <v>57</v>
      </c>
      <c r="Q252" s="6" t="s">
        <v>57</v>
      </c>
      <c r="R252" s="9">
        <v>0</v>
      </c>
      <c r="S252" s="2" t="s">
        <v>884</v>
      </c>
      <c r="T252" s="9">
        <v>0</v>
      </c>
      <c r="U252" s="9">
        <v>0</v>
      </c>
      <c r="V252" s="9">
        <v>0</v>
      </c>
      <c r="W252" s="9">
        <v>16</v>
      </c>
      <c r="X252" s="9">
        <v>16</v>
      </c>
      <c r="Y252" s="9">
        <v>8</v>
      </c>
      <c r="Z252" s="9">
        <v>6</v>
      </c>
      <c r="AA252" s="9">
        <v>9</v>
      </c>
      <c r="AB252" s="9">
        <v>0</v>
      </c>
      <c r="AC252" s="9">
        <v>0</v>
      </c>
      <c r="AD252" s="9">
        <v>0</v>
      </c>
      <c r="AE252" s="6" t="s">
        <v>57</v>
      </c>
      <c r="AF252" s="6" t="s">
        <v>57</v>
      </c>
      <c r="AG252" s="6" t="s">
        <v>57</v>
      </c>
      <c r="AH252" s="6" t="s">
        <v>57</v>
      </c>
      <c r="AI252" s="6" t="s">
        <v>57</v>
      </c>
      <c r="AJ252" s="6" t="s">
        <v>57</v>
      </c>
      <c r="AK252" s="6" t="s">
        <v>57</v>
      </c>
      <c r="AL252" s="6" t="s">
        <v>57</v>
      </c>
      <c r="AM252" s="6" t="s">
        <v>57</v>
      </c>
      <c r="AN252" s="6" t="s">
        <v>57</v>
      </c>
      <c r="AO252" s="6" t="s">
        <v>57</v>
      </c>
      <c r="AP252" s="6" t="s">
        <v>57</v>
      </c>
      <c r="AQ252" s="9">
        <v>0</v>
      </c>
    </row>
    <row r="253" spans="1:43" ht="15">
      <c r="A253" s="2" t="s">
        <v>885</v>
      </c>
      <c r="B253" s="5">
        <v>7868127</v>
      </c>
      <c r="C253" s="2" t="s">
        <v>23</v>
      </c>
      <c r="D253" s="2" t="s">
        <v>886</v>
      </c>
      <c r="E253" s="2" t="s">
        <v>887</v>
      </c>
      <c r="F253" s="2" t="s">
        <v>888</v>
      </c>
      <c r="G253" s="2" t="s">
        <v>26</v>
      </c>
      <c r="H253" s="2" t="s">
        <v>27</v>
      </c>
      <c r="I253" s="2" t="s">
        <v>28</v>
      </c>
      <c r="J253" s="6"/>
      <c r="K253" s="2" t="s">
        <v>55</v>
      </c>
      <c r="L253" s="2" t="s">
        <v>56</v>
      </c>
      <c r="M253" s="2" t="s">
        <v>55</v>
      </c>
      <c r="N253" s="2"/>
      <c r="O253" s="2"/>
      <c r="P253" s="7">
        <v>32.812691459151999</v>
      </c>
      <c r="Q253" s="6" t="s">
        <v>57</v>
      </c>
      <c r="R253" s="9">
        <v>0</v>
      </c>
      <c r="S253" s="2"/>
      <c r="T253" s="9">
        <v>0</v>
      </c>
      <c r="U253" s="9">
        <v>0</v>
      </c>
      <c r="V253" s="9">
        <v>2</v>
      </c>
      <c r="W253" s="9">
        <v>21</v>
      </c>
      <c r="X253" s="9">
        <v>21</v>
      </c>
      <c r="Y253" s="9">
        <v>51</v>
      </c>
      <c r="Z253" s="9">
        <v>76</v>
      </c>
      <c r="AA253" s="9">
        <v>80</v>
      </c>
      <c r="AB253" s="9">
        <v>0</v>
      </c>
      <c r="AC253" s="9">
        <v>2</v>
      </c>
      <c r="AD253" s="9">
        <v>1</v>
      </c>
      <c r="AE253" s="6" t="s">
        <v>57</v>
      </c>
      <c r="AF253" s="6" t="s">
        <v>57</v>
      </c>
      <c r="AG253" s="6" t="s">
        <v>57</v>
      </c>
      <c r="AH253" s="6" t="s">
        <v>57</v>
      </c>
      <c r="AI253" s="6" t="s">
        <v>57</v>
      </c>
      <c r="AJ253" s="6" t="s">
        <v>57</v>
      </c>
      <c r="AK253" s="6" t="s">
        <v>57</v>
      </c>
      <c r="AL253" s="6" t="s">
        <v>57</v>
      </c>
      <c r="AM253" s="6" t="s">
        <v>57</v>
      </c>
      <c r="AN253" s="6" t="s">
        <v>57</v>
      </c>
      <c r="AO253" s="6" t="s">
        <v>57</v>
      </c>
      <c r="AP253" s="6" t="s">
        <v>57</v>
      </c>
      <c r="AQ253" s="9">
        <v>0</v>
      </c>
    </row>
    <row r="254" spans="1:43" ht="15">
      <c r="A254" s="2" t="s">
        <v>889</v>
      </c>
      <c r="B254" s="5">
        <v>115007752</v>
      </c>
      <c r="C254" s="2" t="s">
        <v>23</v>
      </c>
      <c r="D254" s="2" t="s">
        <v>890</v>
      </c>
      <c r="E254" s="2" t="s">
        <v>891</v>
      </c>
      <c r="F254" s="2" t="s">
        <v>26</v>
      </c>
      <c r="G254" s="2" t="s">
        <v>26</v>
      </c>
      <c r="H254" s="2" t="s">
        <v>27</v>
      </c>
      <c r="I254" s="2" t="s">
        <v>28</v>
      </c>
      <c r="J254" s="6"/>
      <c r="K254" s="2" t="s">
        <v>55</v>
      </c>
      <c r="L254" s="2" t="s">
        <v>56</v>
      </c>
      <c r="M254" s="2" t="s">
        <v>55</v>
      </c>
      <c r="N254" s="2"/>
      <c r="O254" s="2"/>
      <c r="P254" s="6" t="s">
        <v>57</v>
      </c>
      <c r="Q254" s="6" t="s">
        <v>57</v>
      </c>
      <c r="R254" s="9">
        <v>0</v>
      </c>
      <c r="S254" s="2"/>
      <c r="T254" s="9">
        <v>0</v>
      </c>
      <c r="U254" s="9">
        <v>0</v>
      </c>
      <c r="V254" s="9">
        <v>0</v>
      </c>
      <c r="W254" s="9">
        <v>1741</v>
      </c>
      <c r="X254" s="9">
        <v>1741</v>
      </c>
      <c r="Y254" s="9">
        <v>1741</v>
      </c>
      <c r="Z254" s="9">
        <v>1741</v>
      </c>
      <c r="AA254" s="9">
        <v>1741</v>
      </c>
      <c r="AB254" s="9">
        <v>0</v>
      </c>
      <c r="AC254" s="9">
        <v>0</v>
      </c>
      <c r="AD254" s="9">
        <v>0</v>
      </c>
      <c r="AE254" s="6" t="s">
        <v>57</v>
      </c>
      <c r="AF254" s="6" t="s">
        <v>57</v>
      </c>
      <c r="AG254" s="6" t="s">
        <v>57</v>
      </c>
      <c r="AH254" s="6" t="s">
        <v>57</v>
      </c>
      <c r="AI254" s="6" t="s">
        <v>57</v>
      </c>
      <c r="AJ254" s="6" t="s">
        <v>57</v>
      </c>
      <c r="AK254" s="6" t="s">
        <v>57</v>
      </c>
      <c r="AL254" s="6" t="s">
        <v>57</v>
      </c>
      <c r="AM254" s="6" t="s">
        <v>57</v>
      </c>
      <c r="AN254" s="6" t="s">
        <v>57</v>
      </c>
      <c r="AO254" s="6" t="s">
        <v>57</v>
      </c>
      <c r="AP254" s="6" t="s">
        <v>57</v>
      </c>
      <c r="AQ254" s="9">
        <v>0</v>
      </c>
    </row>
    <row r="255" spans="1:43" ht="15">
      <c r="A255" s="2" t="s">
        <v>892</v>
      </c>
      <c r="B255" s="5">
        <v>8661620</v>
      </c>
      <c r="C255" s="2" t="s">
        <v>23</v>
      </c>
      <c r="D255" s="2" t="s">
        <v>893</v>
      </c>
      <c r="E255" s="2" t="s">
        <v>894</v>
      </c>
      <c r="F255" s="2" t="s">
        <v>26</v>
      </c>
      <c r="G255" s="2" t="s">
        <v>26</v>
      </c>
      <c r="H255" s="2" t="s">
        <v>27</v>
      </c>
      <c r="I255" s="2" t="s">
        <v>28</v>
      </c>
      <c r="J255" s="6"/>
      <c r="K255" s="2" t="s">
        <v>55</v>
      </c>
      <c r="L255" s="2" t="s">
        <v>56</v>
      </c>
      <c r="M255" s="2" t="s">
        <v>55</v>
      </c>
      <c r="N255" s="2"/>
      <c r="O255" s="2"/>
      <c r="P255" s="7">
        <v>10.78730603216</v>
      </c>
      <c r="Q255" s="6" t="s">
        <v>57</v>
      </c>
      <c r="R255" s="9">
        <v>0</v>
      </c>
      <c r="S255" s="2"/>
      <c r="T255" s="9">
        <v>0</v>
      </c>
      <c r="U255" s="9">
        <v>0</v>
      </c>
      <c r="V255" s="9">
        <v>0</v>
      </c>
      <c r="W255" s="9">
        <v>15</v>
      </c>
      <c r="X255" s="9">
        <v>15</v>
      </c>
      <c r="Y255" s="9">
        <v>74</v>
      </c>
      <c r="Z255" s="9">
        <v>71</v>
      </c>
      <c r="AA255" s="9">
        <v>563</v>
      </c>
      <c r="AB255" s="9">
        <v>0</v>
      </c>
      <c r="AC255" s="9">
        <v>0</v>
      </c>
      <c r="AD255" s="9">
        <v>0</v>
      </c>
      <c r="AE255" s="6" t="s">
        <v>57</v>
      </c>
      <c r="AF255" s="6" t="s">
        <v>57</v>
      </c>
      <c r="AG255" s="6" t="s">
        <v>57</v>
      </c>
      <c r="AH255" s="6" t="s">
        <v>57</v>
      </c>
      <c r="AI255" s="6" t="s">
        <v>57</v>
      </c>
      <c r="AJ255" s="6" t="s">
        <v>57</v>
      </c>
      <c r="AK255" s="6" t="s">
        <v>57</v>
      </c>
      <c r="AL255" s="6" t="s">
        <v>57</v>
      </c>
      <c r="AM255" s="6" t="s">
        <v>57</v>
      </c>
      <c r="AN255" s="6" t="s">
        <v>57</v>
      </c>
      <c r="AO255" s="6" t="s">
        <v>57</v>
      </c>
      <c r="AP255" s="6" t="s">
        <v>57</v>
      </c>
      <c r="AQ255" s="9">
        <v>0</v>
      </c>
    </row>
    <row r="256" spans="1:43" ht="15">
      <c r="A256" s="2" t="s">
        <v>895</v>
      </c>
      <c r="B256" s="5">
        <v>101372278</v>
      </c>
      <c r="C256" s="2" t="s">
        <v>23</v>
      </c>
      <c r="D256" s="2" t="s">
        <v>896</v>
      </c>
      <c r="E256" s="2" t="s">
        <v>897</v>
      </c>
      <c r="F256" s="2" t="s">
        <v>26</v>
      </c>
      <c r="G256" s="2" t="s">
        <v>26</v>
      </c>
      <c r="H256" s="2" t="s">
        <v>27</v>
      </c>
      <c r="I256" s="2" t="s">
        <v>28</v>
      </c>
      <c r="J256" s="6"/>
      <c r="K256" s="2" t="s">
        <v>55</v>
      </c>
      <c r="L256" s="2" t="s">
        <v>56</v>
      </c>
      <c r="M256" s="2" t="s">
        <v>55</v>
      </c>
      <c r="N256" s="2"/>
      <c r="O256" s="2"/>
      <c r="P256" s="6" t="s">
        <v>57</v>
      </c>
      <c r="Q256" s="6" t="s">
        <v>57</v>
      </c>
      <c r="R256" s="9">
        <v>0</v>
      </c>
      <c r="S256" s="2"/>
      <c r="T256" s="9">
        <v>89</v>
      </c>
      <c r="U256" s="9">
        <v>83</v>
      </c>
      <c r="V256" s="9">
        <v>38</v>
      </c>
      <c r="W256" s="9">
        <v>32</v>
      </c>
      <c r="X256" s="9">
        <v>32</v>
      </c>
      <c r="Y256" s="9">
        <v>45</v>
      </c>
      <c r="Z256" s="9">
        <v>76</v>
      </c>
      <c r="AA256" s="9">
        <v>97</v>
      </c>
      <c r="AB256" s="9">
        <v>94</v>
      </c>
      <c r="AC256" s="9">
        <v>40</v>
      </c>
      <c r="AD256" s="9">
        <v>45</v>
      </c>
      <c r="AE256" s="6" t="s">
        <v>57</v>
      </c>
      <c r="AF256" s="6" t="s">
        <v>57</v>
      </c>
      <c r="AG256" s="6" t="s">
        <v>57</v>
      </c>
      <c r="AH256" s="6" t="s">
        <v>57</v>
      </c>
      <c r="AI256" s="6" t="s">
        <v>57</v>
      </c>
      <c r="AJ256" s="6" t="s">
        <v>57</v>
      </c>
      <c r="AK256" s="6" t="s">
        <v>57</v>
      </c>
      <c r="AL256" s="6" t="s">
        <v>57</v>
      </c>
      <c r="AM256" s="6" t="s">
        <v>57</v>
      </c>
      <c r="AN256" s="6" t="s">
        <v>57</v>
      </c>
      <c r="AO256" s="6" t="s">
        <v>57</v>
      </c>
      <c r="AP256" s="6" t="s">
        <v>57</v>
      </c>
      <c r="AQ256" s="9">
        <v>0</v>
      </c>
    </row>
    <row r="257" spans="1:43" ht="15">
      <c r="A257" s="2" t="s">
        <v>898</v>
      </c>
      <c r="B257" s="5">
        <v>6083815</v>
      </c>
      <c r="C257" s="2" t="s">
        <v>23</v>
      </c>
      <c r="D257" s="2" t="s">
        <v>899</v>
      </c>
      <c r="E257" s="2" t="s">
        <v>900</v>
      </c>
      <c r="F257" s="2" t="s">
        <v>26</v>
      </c>
      <c r="G257" s="2" t="s">
        <v>26</v>
      </c>
      <c r="H257" s="2" t="s">
        <v>27</v>
      </c>
      <c r="I257" s="2" t="s">
        <v>28</v>
      </c>
      <c r="J257" s="6"/>
      <c r="K257" s="2" t="s">
        <v>55</v>
      </c>
      <c r="L257" s="2" t="s">
        <v>56</v>
      </c>
      <c r="M257" s="2" t="s">
        <v>55</v>
      </c>
      <c r="N257" s="2"/>
      <c r="O257" s="2"/>
      <c r="P257" s="6" t="s">
        <v>57</v>
      </c>
      <c r="Q257" s="6" t="s">
        <v>57</v>
      </c>
      <c r="R257" s="9">
        <v>0</v>
      </c>
      <c r="S257" s="2"/>
      <c r="T257" s="9">
        <v>0</v>
      </c>
      <c r="U257" s="9">
        <v>0</v>
      </c>
      <c r="V257" s="9">
        <v>0</v>
      </c>
      <c r="W257" s="9">
        <v>0</v>
      </c>
      <c r="X257" s="9">
        <v>0</v>
      </c>
      <c r="Y257" s="9">
        <v>1054</v>
      </c>
      <c r="Z257" s="9">
        <v>1272</v>
      </c>
      <c r="AA257" s="9">
        <v>1766</v>
      </c>
      <c r="AB257" s="9">
        <v>0</v>
      </c>
      <c r="AC257" s="9">
        <v>0</v>
      </c>
      <c r="AD257" s="9">
        <v>0</v>
      </c>
      <c r="AE257" s="6" t="s">
        <v>57</v>
      </c>
      <c r="AF257" s="6" t="s">
        <v>57</v>
      </c>
      <c r="AG257" s="6" t="s">
        <v>57</v>
      </c>
      <c r="AH257" s="6" t="s">
        <v>57</v>
      </c>
      <c r="AI257" s="6" t="s">
        <v>57</v>
      </c>
      <c r="AJ257" s="6" t="s">
        <v>57</v>
      </c>
      <c r="AK257" s="6" t="s">
        <v>57</v>
      </c>
      <c r="AL257" s="6" t="s">
        <v>57</v>
      </c>
      <c r="AM257" s="6" t="s">
        <v>57</v>
      </c>
      <c r="AN257" s="6" t="s">
        <v>57</v>
      </c>
      <c r="AO257" s="6" t="s">
        <v>57</v>
      </c>
      <c r="AP257" s="6" t="s">
        <v>57</v>
      </c>
      <c r="AQ257" s="9">
        <v>0</v>
      </c>
    </row>
    <row r="258" spans="1:43" ht="15">
      <c r="A258" s="2" t="s">
        <v>901</v>
      </c>
      <c r="B258" s="5">
        <v>5738549</v>
      </c>
      <c r="C258" s="2" t="s">
        <v>23</v>
      </c>
      <c r="D258" s="2" t="s">
        <v>902</v>
      </c>
      <c r="E258" s="2" t="s">
        <v>903</v>
      </c>
      <c r="F258" s="2" t="s">
        <v>26</v>
      </c>
      <c r="G258" s="2" t="s">
        <v>26</v>
      </c>
      <c r="H258" s="2" t="s">
        <v>27</v>
      </c>
      <c r="I258" s="2" t="s">
        <v>28</v>
      </c>
      <c r="J258" s="6"/>
      <c r="K258" s="2" t="s">
        <v>55</v>
      </c>
      <c r="L258" s="2" t="s">
        <v>56</v>
      </c>
      <c r="M258" s="2" t="s">
        <v>55</v>
      </c>
      <c r="N258" s="2"/>
      <c r="O258" s="2"/>
      <c r="P258" s="7">
        <v>16.8792720013268</v>
      </c>
      <c r="Q258" s="6" t="s">
        <v>57</v>
      </c>
      <c r="R258" s="9">
        <v>0</v>
      </c>
      <c r="S258" s="2"/>
      <c r="T258" s="9">
        <v>0</v>
      </c>
      <c r="U258" s="9">
        <v>0</v>
      </c>
      <c r="V258" s="9">
        <v>0</v>
      </c>
      <c r="W258" s="9">
        <v>0</v>
      </c>
      <c r="X258" s="9">
        <v>0</v>
      </c>
      <c r="Y258" s="9">
        <v>0</v>
      </c>
      <c r="Z258" s="9">
        <v>0</v>
      </c>
      <c r="AA258" s="9">
        <v>3</v>
      </c>
      <c r="AB258" s="9">
        <v>0</v>
      </c>
      <c r="AC258" s="9">
        <v>0</v>
      </c>
      <c r="AD258" s="9">
        <v>0</v>
      </c>
      <c r="AE258" s="6" t="s">
        <v>57</v>
      </c>
      <c r="AF258" s="6" t="s">
        <v>57</v>
      </c>
      <c r="AG258" s="6" t="s">
        <v>57</v>
      </c>
      <c r="AH258" s="6" t="s">
        <v>57</v>
      </c>
      <c r="AI258" s="6" t="s">
        <v>57</v>
      </c>
      <c r="AJ258" s="6" t="s">
        <v>57</v>
      </c>
      <c r="AK258" s="6" t="s">
        <v>57</v>
      </c>
      <c r="AL258" s="6" t="s">
        <v>57</v>
      </c>
      <c r="AM258" s="6" t="s">
        <v>57</v>
      </c>
      <c r="AN258" s="6" t="s">
        <v>57</v>
      </c>
      <c r="AO258" s="6" t="s">
        <v>57</v>
      </c>
      <c r="AP258" s="6" t="s">
        <v>57</v>
      </c>
      <c r="AQ258" s="9">
        <v>0</v>
      </c>
    </row>
    <row r="259" spans="1:43" ht="15">
      <c r="A259" s="2" t="s">
        <v>904</v>
      </c>
      <c r="B259" s="5">
        <v>5736306</v>
      </c>
      <c r="C259" s="2" t="s">
        <v>23</v>
      </c>
      <c r="D259" s="2" t="s">
        <v>905</v>
      </c>
      <c r="E259" s="2" t="s">
        <v>906</v>
      </c>
      <c r="F259" s="2" t="s">
        <v>26</v>
      </c>
      <c r="G259" s="2" t="s">
        <v>26</v>
      </c>
      <c r="H259" s="2" t="s">
        <v>27</v>
      </c>
      <c r="I259" s="2" t="s">
        <v>28</v>
      </c>
      <c r="J259" s="6"/>
      <c r="K259" s="2" t="s">
        <v>55</v>
      </c>
      <c r="L259" s="2" t="s">
        <v>56</v>
      </c>
      <c r="M259" s="2" t="s">
        <v>55</v>
      </c>
      <c r="N259" s="2"/>
      <c r="O259" s="2"/>
      <c r="P259" s="7">
        <v>72.556359471141405</v>
      </c>
      <c r="Q259" s="6" t="s">
        <v>57</v>
      </c>
      <c r="R259" s="9">
        <v>0</v>
      </c>
      <c r="S259" s="2"/>
      <c r="T259" s="9">
        <v>0</v>
      </c>
      <c r="U259" s="9">
        <v>0</v>
      </c>
      <c r="V259" s="9">
        <v>0</v>
      </c>
      <c r="W259" s="9">
        <v>0</v>
      </c>
      <c r="X259" s="9">
        <v>0</v>
      </c>
      <c r="Y259" s="9">
        <v>0</v>
      </c>
      <c r="Z259" s="9">
        <v>145</v>
      </c>
      <c r="AA259" s="9">
        <v>521</v>
      </c>
      <c r="AB259" s="9">
        <v>0</v>
      </c>
      <c r="AC259" s="9">
        <v>0</v>
      </c>
      <c r="AD259" s="9">
        <v>0</v>
      </c>
      <c r="AE259" s="6" t="s">
        <v>57</v>
      </c>
      <c r="AF259" s="6" t="s">
        <v>57</v>
      </c>
      <c r="AG259" s="6" t="s">
        <v>57</v>
      </c>
      <c r="AH259" s="6" t="s">
        <v>57</v>
      </c>
      <c r="AI259" s="6" t="s">
        <v>57</v>
      </c>
      <c r="AJ259" s="6" t="s">
        <v>57</v>
      </c>
      <c r="AK259" s="6" t="s">
        <v>57</v>
      </c>
      <c r="AL259" s="6" t="s">
        <v>57</v>
      </c>
      <c r="AM259" s="6" t="s">
        <v>57</v>
      </c>
      <c r="AN259" s="6" t="s">
        <v>57</v>
      </c>
      <c r="AO259" s="6" t="s">
        <v>57</v>
      </c>
      <c r="AP259" s="6" t="s">
        <v>57</v>
      </c>
      <c r="AQ259" s="9">
        <v>0</v>
      </c>
    </row>
    <row r="260" spans="1:43" ht="15">
      <c r="A260" s="2" t="s">
        <v>907</v>
      </c>
      <c r="B260" s="5">
        <v>5728570</v>
      </c>
      <c r="C260" s="2" t="s">
        <v>23</v>
      </c>
      <c r="D260" s="2" t="s">
        <v>908</v>
      </c>
      <c r="E260" s="2" t="s">
        <v>909</v>
      </c>
      <c r="F260" s="2" t="s">
        <v>26</v>
      </c>
      <c r="G260" s="2" t="s">
        <v>26</v>
      </c>
      <c r="H260" s="2" t="s">
        <v>27</v>
      </c>
      <c r="I260" s="2" t="s">
        <v>28</v>
      </c>
      <c r="J260" s="6"/>
      <c r="K260" s="2" t="s">
        <v>55</v>
      </c>
      <c r="L260" s="2" t="s">
        <v>56</v>
      </c>
      <c r="M260" s="2" t="s">
        <v>55</v>
      </c>
      <c r="N260" s="2"/>
      <c r="O260" s="2"/>
      <c r="P260" s="7">
        <v>40.007045149573898</v>
      </c>
      <c r="Q260" s="8">
        <v>35.998208512799998</v>
      </c>
      <c r="R260" s="9">
        <v>0</v>
      </c>
      <c r="S260" s="2" t="s">
        <v>910</v>
      </c>
      <c r="T260" s="9">
        <v>0</v>
      </c>
      <c r="U260" s="9">
        <v>0</v>
      </c>
      <c r="V260" s="9">
        <v>0</v>
      </c>
      <c r="W260" s="9">
        <v>0</v>
      </c>
      <c r="X260" s="9">
        <v>0</v>
      </c>
      <c r="Y260" s="9">
        <v>0</v>
      </c>
      <c r="Z260" s="9">
        <v>0</v>
      </c>
      <c r="AA260" s="9">
        <v>0</v>
      </c>
      <c r="AB260" s="9">
        <v>0</v>
      </c>
      <c r="AC260" s="9">
        <v>0</v>
      </c>
      <c r="AD260" s="9">
        <v>0</v>
      </c>
      <c r="AE260" s="7">
        <v>0</v>
      </c>
      <c r="AF260" s="7">
        <v>0</v>
      </c>
      <c r="AG260" s="7">
        <v>0</v>
      </c>
      <c r="AH260" s="7">
        <v>0</v>
      </c>
      <c r="AI260" s="7">
        <v>0</v>
      </c>
      <c r="AJ260" s="7">
        <v>0</v>
      </c>
      <c r="AK260" s="7">
        <v>0</v>
      </c>
      <c r="AL260" s="7">
        <v>0</v>
      </c>
      <c r="AM260" s="7">
        <v>0</v>
      </c>
      <c r="AN260" s="7">
        <v>0</v>
      </c>
      <c r="AO260" s="7">
        <v>0</v>
      </c>
      <c r="AP260" s="7">
        <v>0</v>
      </c>
      <c r="AQ260" s="9">
        <v>0</v>
      </c>
    </row>
    <row r="261" spans="1:43" ht="15">
      <c r="A261" s="2" t="s">
        <v>911</v>
      </c>
      <c r="B261" s="5">
        <v>5731685</v>
      </c>
      <c r="C261" s="2" t="s">
        <v>23</v>
      </c>
      <c r="D261" s="2" t="s">
        <v>912</v>
      </c>
      <c r="E261" s="2" t="s">
        <v>913</v>
      </c>
      <c r="F261" s="2" t="s">
        <v>26</v>
      </c>
      <c r="G261" s="2" t="s">
        <v>26</v>
      </c>
      <c r="H261" s="2" t="s">
        <v>27</v>
      </c>
      <c r="I261" s="2" t="s">
        <v>28</v>
      </c>
      <c r="J261" s="6"/>
      <c r="K261" s="2" t="s">
        <v>55</v>
      </c>
      <c r="L261" s="2" t="s">
        <v>56</v>
      </c>
      <c r="M261" s="2" t="s">
        <v>55</v>
      </c>
      <c r="N261" s="2"/>
      <c r="O261" s="2"/>
      <c r="P261" s="7">
        <v>15.7436674146188</v>
      </c>
      <c r="Q261" s="6" t="s">
        <v>57</v>
      </c>
      <c r="R261" s="9">
        <v>0</v>
      </c>
      <c r="S261" s="2" t="s">
        <v>914</v>
      </c>
      <c r="T261" s="9">
        <v>0</v>
      </c>
      <c r="U261" s="9">
        <v>0</v>
      </c>
      <c r="V261" s="9">
        <v>0</v>
      </c>
      <c r="W261" s="9">
        <v>0</v>
      </c>
      <c r="X261" s="9">
        <v>0</v>
      </c>
      <c r="Y261" s="9">
        <v>0</v>
      </c>
      <c r="Z261" s="9">
        <v>0</v>
      </c>
      <c r="AA261" s="9">
        <v>82</v>
      </c>
      <c r="AB261" s="9">
        <v>0</v>
      </c>
      <c r="AC261" s="9">
        <v>0</v>
      </c>
      <c r="AD261" s="9">
        <v>0</v>
      </c>
      <c r="AE261" s="7">
        <v>0</v>
      </c>
      <c r="AF261" s="7">
        <v>0</v>
      </c>
      <c r="AG261" s="7">
        <v>0</v>
      </c>
      <c r="AH261" s="7">
        <v>0</v>
      </c>
      <c r="AI261" s="7">
        <v>0</v>
      </c>
      <c r="AJ261" s="7">
        <v>0</v>
      </c>
      <c r="AK261" s="7">
        <v>0</v>
      </c>
      <c r="AL261" s="7">
        <v>0</v>
      </c>
      <c r="AM261" s="7">
        <v>0.059991477087433603</v>
      </c>
      <c r="AN261" s="7">
        <v>0</v>
      </c>
      <c r="AO261" s="7">
        <v>0</v>
      </c>
      <c r="AP261" s="7">
        <v>0</v>
      </c>
      <c r="AQ261" s="9">
        <v>0</v>
      </c>
    </row>
    <row r="262" spans="1:43" ht="15">
      <c r="A262" s="2" t="s">
        <v>915</v>
      </c>
      <c r="B262" s="5">
        <v>13332139</v>
      </c>
      <c r="C262" s="2" t="s">
        <v>23</v>
      </c>
      <c r="D262" s="2" t="s">
        <v>916</v>
      </c>
      <c r="E262" s="2" t="s">
        <v>917</v>
      </c>
      <c r="F262" s="2" t="s">
        <v>26</v>
      </c>
      <c r="G262" s="2" t="s">
        <v>26</v>
      </c>
      <c r="H262" s="2" t="s">
        <v>27</v>
      </c>
      <c r="I262" s="2" t="s">
        <v>28</v>
      </c>
      <c r="J262" s="6"/>
      <c r="K262" s="2" t="s">
        <v>918</v>
      </c>
      <c r="L262" s="2" t="s">
        <v>99</v>
      </c>
      <c r="M262" s="2" t="s">
        <v>919</v>
      </c>
      <c r="N262" s="2" t="s">
        <v>918</v>
      </c>
      <c r="O262" s="2"/>
      <c r="P262" s="7">
        <v>219.99336203730601</v>
      </c>
      <c r="Q262" s="6" t="s">
        <v>57</v>
      </c>
      <c r="R262" s="9">
        <v>71</v>
      </c>
      <c r="S262" s="2"/>
      <c r="T262" s="9">
        <v>1568</v>
      </c>
      <c r="U262" s="9">
        <v>1880</v>
      </c>
      <c r="V262" s="9">
        <v>1703</v>
      </c>
      <c r="W262" s="9">
        <v>2271</v>
      </c>
      <c r="X262" s="9">
        <v>2296</v>
      </c>
      <c r="Y262" s="9">
        <v>2357</v>
      </c>
      <c r="Z262" s="9">
        <v>2567</v>
      </c>
      <c r="AA262" s="9">
        <v>3581</v>
      </c>
      <c r="AB262" s="9">
        <v>1373</v>
      </c>
      <c r="AC262" s="9">
        <v>1692</v>
      </c>
      <c r="AD262" s="9">
        <v>1699</v>
      </c>
      <c r="AE262" s="6" t="s">
        <v>57</v>
      </c>
      <c r="AF262" s="6" t="s">
        <v>57</v>
      </c>
      <c r="AG262" s="6" t="s">
        <v>57</v>
      </c>
      <c r="AH262" s="6" t="s">
        <v>57</v>
      </c>
      <c r="AI262" s="6" t="s">
        <v>57</v>
      </c>
      <c r="AJ262" s="6" t="s">
        <v>57</v>
      </c>
      <c r="AK262" s="6" t="s">
        <v>57</v>
      </c>
      <c r="AL262" s="6" t="s">
        <v>57</v>
      </c>
      <c r="AM262" s="6" t="s">
        <v>57</v>
      </c>
      <c r="AN262" s="6" t="s">
        <v>57</v>
      </c>
      <c r="AO262" s="6" t="s">
        <v>57</v>
      </c>
      <c r="AP262" s="6" t="s">
        <v>57</v>
      </c>
      <c r="AQ262" s="9">
        <v>141</v>
      </c>
    </row>
    <row r="263" spans="1:43" ht="15">
      <c r="A263" s="2" t="s">
        <v>920</v>
      </c>
      <c r="B263" s="5">
        <v>5728709</v>
      </c>
      <c r="C263" s="2" t="s">
        <v>23</v>
      </c>
      <c r="D263" s="2" t="s">
        <v>921</v>
      </c>
      <c r="E263" s="2" t="s">
        <v>922</v>
      </c>
      <c r="F263" s="2" t="s">
        <v>26</v>
      </c>
      <c r="G263" s="2" t="s">
        <v>26</v>
      </c>
      <c r="H263" s="2" t="s">
        <v>27</v>
      </c>
      <c r="I263" s="2" t="s">
        <v>28</v>
      </c>
      <c r="J263" s="6"/>
      <c r="K263" s="2" t="s">
        <v>55</v>
      </c>
      <c r="L263" s="2" t="s">
        <v>56</v>
      </c>
      <c r="M263" s="2" t="s">
        <v>55</v>
      </c>
      <c r="N263" s="2"/>
      <c r="O263" s="2"/>
      <c r="P263" s="7">
        <v>152.56938259223</v>
      </c>
      <c r="Q263" s="6" t="s">
        <v>57</v>
      </c>
      <c r="R263" s="9">
        <v>1055</v>
      </c>
      <c r="S263" s="2" t="s">
        <v>923</v>
      </c>
      <c r="T263" s="9">
        <v>361</v>
      </c>
      <c r="U263" s="9">
        <v>90</v>
      </c>
      <c r="V263" s="9">
        <v>35</v>
      </c>
      <c r="W263" s="9">
        <v>22</v>
      </c>
      <c r="X263" s="9">
        <v>56</v>
      </c>
      <c r="Y263" s="9">
        <v>35</v>
      </c>
      <c r="Z263" s="9">
        <v>38</v>
      </c>
      <c r="AA263" s="9">
        <v>82</v>
      </c>
      <c r="AB263" s="9">
        <v>103</v>
      </c>
      <c r="AC263" s="9">
        <v>36</v>
      </c>
      <c r="AD263" s="9">
        <v>20</v>
      </c>
      <c r="AE263" s="6" t="s">
        <v>57</v>
      </c>
      <c r="AF263" s="6" t="s">
        <v>57</v>
      </c>
      <c r="AG263" s="6" t="s">
        <v>57</v>
      </c>
      <c r="AH263" s="6" t="s">
        <v>57</v>
      </c>
      <c r="AI263" s="6" t="s">
        <v>57</v>
      </c>
      <c r="AJ263" s="6" t="s">
        <v>57</v>
      </c>
      <c r="AK263" s="6" t="s">
        <v>57</v>
      </c>
      <c r="AL263" s="6" t="s">
        <v>57</v>
      </c>
      <c r="AM263" s="6" t="s">
        <v>57</v>
      </c>
      <c r="AN263" s="6" t="s">
        <v>57</v>
      </c>
      <c r="AO263" s="6" t="s">
        <v>57</v>
      </c>
      <c r="AP263" s="6" t="s">
        <v>57</v>
      </c>
      <c r="AQ263" s="9">
        <v>2110</v>
      </c>
    </row>
    <row r="264" spans="1:43" ht="15">
      <c r="A264" s="2" t="s">
        <v>924</v>
      </c>
      <c r="B264" s="5">
        <v>15066585</v>
      </c>
      <c r="C264" s="2" t="s">
        <v>23</v>
      </c>
      <c r="D264" s="2" t="s">
        <v>925</v>
      </c>
      <c r="E264" s="2" t="s">
        <v>926</v>
      </c>
      <c r="F264" s="2" t="s">
        <v>26</v>
      </c>
      <c r="G264" s="2" t="s">
        <v>26</v>
      </c>
      <c r="H264" s="2" t="s">
        <v>27</v>
      </c>
      <c r="I264" s="2" t="s">
        <v>28</v>
      </c>
      <c r="J264" s="6"/>
      <c r="K264" s="2" t="s">
        <v>55</v>
      </c>
      <c r="L264" s="2" t="s">
        <v>56</v>
      </c>
      <c r="M264" s="2" t="s">
        <v>55</v>
      </c>
      <c r="N264" s="2"/>
      <c r="O264" s="2"/>
      <c r="P264" s="6" t="s">
        <v>57</v>
      </c>
      <c r="Q264" s="6" t="s">
        <v>57</v>
      </c>
      <c r="R264" s="9">
        <v>0</v>
      </c>
      <c r="S264" s="2"/>
      <c r="T264" s="9">
        <v>0</v>
      </c>
      <c r="U264" s="9">
        <v>0</v>
      </c>
      <c r="V264" s="9">
        <v>0</v>
      </c>
      <c r="W264" s="9">
        <v>0</v>
      </c>
      <c r="X264" s="9">
        <v>0</v>
      </c>
      <c r="Y264" s="9">
        <v>0</v>
      </c>
      <c r="Z264" s="9">
        <v>0</v>
      </c>
      <c r="AA264" s="9">
        <v>3</v>
      </c>
      <c r="AB264" s="9">
        <v>0</v>
      </c>
      <c r="AC264" s="9">
        <v>0</v>
      </c>
      <c r="AD264" s="9">
        <v>0</v>
      </c>
      <c r="AE264" s="6" t="s">
        <v>57</v>
      </c>
      <c r="AF264" s="6" t="s">
        <v>57</v>
      </c>
      <c r="AG264" s="6" t="s">
        <v>57</v>
      </c>
      <c r="AH264" s="6" t="s">
        <v>57</v>
      </c>
      <c r="AI264" s="6" t="s">
        <v>57</v>
      </c>
      <c r="AJ264" s="6" t="s">
        <v>57</v>
      </c>
      <c r="AK264" s="6" t="s">
        <v>57</v>
      </c>
      <c r="AL264" s="6" t="s">
        <v>57</v>
      </c>
      <c r="AM264" s="6" t="s">
        <v>57</v>
      </c>
      <c r="AN264" s="6" t="s">
        <v>57</v>
      </c>
      <c r="AO264" s="6" t="s">
        <v>57</v>
      </c>
      <c r="AP264" s="6" t="s">
        <v>57</v>
      </c>
      <c r="AQ264" s="9">
        <v>0</v>
      </c>
    </row>
    <row r="265" spans="1:43" ht="15">
      <c r="A265" s="2" t="s">
        <v>927</v>
      </c>
      <c r="B265" s="5">
        <v>5000300</v>
      </c>
      <c r="C265" s="2" t="s">
        <v>46</v>
      </c>
      <c r="D265" s="2" t="s">
        <v>928</v>
      </c>
      <c r="E265" s="2" t="s">
        <v>929</v>
      </c>
      <c r="F265" s="2" t="s">
        <v>49</v>
      </c>
      <c r="G265" s="2" t="s">
        <v>49</v>
      </c>
      <c r="H265" s="2" t="s">
        <v>50</v>
      </c>
      <c r="I265" s="2" t="s">
        <v>40</v>
      </c>
      <c r="J265" s="6"/>
      <c r="K265" s="2" t="s">
        <v>226</v>
      </c>
      <c r="L265" s="2" t="s">
        <v>56</v>
      </c>
      <c r="M265" s="2" t="s">
        <v>227</v>
      </c>
      <c r="N265" s="2" t="s">
        <v>226</v>
      </c>
      <c r="O265" s="2"/>
      <c r="P265" s="7">
        <v>42.677493208862302</v>
      </c>
      <c r="Q265" s="6" t="s">
        <v>57</v>
      </c>
      <c r="R265" s="9">
        <v>0</v>
      </c>
      <c r="S265" s="2" t="s">
        <v>930</v>
      </c>
      <c r="T265" s="9">
        <v>0</v>
      </c>
      <c r="U265" s="9">
        <v>0</v>
      </c>
      <c r="V265" s="9">
        <v>0</v>
      </c>
      <c r="W265" s="9">
        <v>0</v>
      </c>
      <c r="X265" s="9">
        <v>0</v>
      </c>
      <c r="Y265" s="9">
        <v>0</v>
      </c>
      <c r="Z265" s="9">
        <v>0</v>
      </c>
      <c r="AA265" s="9">
        <v>0</v>
      </c>
      <c r="AB265" s="9">
        <v>0</v>
      </c>
      <c r="AC265" s="9">
        <v>0</v>
      </c>
      <c r="AD265" s="9">
        <v>0</v>
      </c>
      <c r="AE265" s="7">
        <v>0</v>
      </c>
      <c r="AF265" s="7">
        <v>0</v>
      </c>
      <c r="AG265" s="7">
        <v>0</v>
      </c>
      <c r="AH265" s="7">
        <v>0</v>
      </c>
      <c r="AI265" s="7">
        <v>0</v>
      </c>
      <c r="AJ265" s="7">
        <v>0</v>
      </c>
      <c r="AK265" s="7">
        <v>0</v>
      </c>
      <c r="AL265" s="7">
        <v>0</v>
      </c>
      <c r="AM265" s="7">
        <v>0</v>
      </c>
      <c r="AN265" s="7">
        <v>0</v>
      </c>
      <c r="AO265" s="7">
        <v>0</v>
      </c>
      <c r="AP265" s="7">
        <v>0</v>
      </c>
      <c r="AQ265" s="9">
        <v>0</v>
      </c>
    </row>
    <row r="266" spans="1:43" ht="15">
      <c r="A266" s="2" t="s">
        <v>931</v>
      </c>
      <c r="B266" s="5">
        <v>4912638</v>
      </c>
      <c r="C266" s="2" t="s">
        <v>23</v>
      </c>
      <c r="D266" s="2" t="s">
        <v>932</v>
      </c>
      <c r="E266" s="2" t="s">
        <v>933</v>
      </c>
      <c r="F266" s="2" t="s">
        <v>26</v>
      </c>
      <c r="G266" s="2" t="s">
        <v>26</v>
      </c>
      <c r="H266" s="2" t="s">
        <v>27</v>
      </c>
      <c r="I266" s="2" t="s">
        <v>28</v>
      </c>
      <c r="J266" s="10">
        <v>40513</v>
      </c>
      <c r="K266" s="2" t="s">
        <v>211</v>
      </c>
      <c r="L266" s="2" t="s">
        <v>30</v>
      </c>
      <c r="M266" s="2" t="s">
        <v>189</v>
      </c>
      <c r="N266" s="2" t="s">
        <v>211</v>
      </c>
      <c r="O266" s="2"/>
      <c r="P266" s="7">
        <v>355.56618192024803</v>
      </c>
      <c r="Q266" s="8">
        <v>619.44490587064001</v>
      </c>
      <c r="R266" s="9">
        <v>2511235</v>
      </c>
      <c r="S266" s="2" t="s">
        <v>934</v>
      </c>
      <c r="T266" s="9">
        <v>1272448</v>
      </c>
      <c r="U266" s="9">
        <v>1098766</v>
      </c>
      <c r="V266" s="9">
        <v>786210</v>
      </c>
      <c r="W266" s="9">
        <v>1627739</v>
      </c>
      <c r="X266" s="9">
        <v>1621228</v>
      </c>
      <c r="Y266" s="9">
        <v>1437834</v>
      </c>
      <c r="Z266" s="9">
        <v>1046537</v>
      </c>
      <c r="AA266" s="9">
        <v>1118243</v>
      </c>
      <c r="AB266" s="9">
        <v>1255487</v>
      </c>
      <c r="AC266" s="9">
        <v>715261</v>
      </c>
      <c r="AD266" s="9">
        <v>1177754</v>
      </c>
      <c r="AE266" s="7">
        <v>0.30250944907234301</v>
      </c>
      <c r="AF266" s="7">
        <v>0.15328214724427</v>
      </c>
      <c r="AG266" s="7">
        <v>0.132359967855807</v>
      </c>
      <c r="AH266" s="7">
        <v>0.094708811232855794</v>
      </c>
      <c r="AI266" s="7">
        <v>0.19608143135070899</v>
      </c>
      <c r="AJ266" s="7">
        <v>0.195297105625306</v>
      </c>
      <c r="AK266" s="7">
        <v>0.17320495324568899</v>
      </c>
      <c r="AL266" s="7">
        <v>0.12606838105486501</v>
      </c>
      <c r="AM266" s="7">
        <v>0.13470621326631499</v>
      </c>
      <c r="AN266" s="7">
        <v>0.15123902139908199</v>
      </c>
      <c r="AO266" s="7">
        <v>0.086162024674242804</v>
      </c>
      <c r="AP266" s="7">
        <v>0.14187508323564699</v>
      </c>
      <c r="AQ266" s="9">
        <v>0</v>
      </c>
    </row>
    <row r="267" spans="1:43" ht="15">
      <c r="A267" s="2" t="s">
        <v>935</v>
      </c>
      <c r="B267" s="5">
        <v>4504845</v>
      </c>
      <c r="C267" s="2" t="s">
        <v>23</v>
      </c>
      <c r="D267" s="2" t="s">
        <v>936</v>
      </c>
      <c r="E267" s="2" t="s">
        <v>937</v>
      </c>
      <c r="F267" s="2" t="s">
        <v>26</v>
      </c>
      <c r="G267" s="2" t="s">
        <v>26</v>
      </c>
      <c r="H267" s="2" t="s">
        <v>27</v>
      </c>
      <c r="I267" s="2" t="s">
        <v>28</v>
      </c>
      <c r="J267" s="6"/>
      <c r="K267" s="2" t="s">
        <v>41</v>
      </c>
      <c r="L267" s="2" t="s">
        <v>42</v>
      </c>
      <c r="M267" s="2" t="s">
        <v>43</v>
      </c>
      <c r="N267" s="2" t="s">
        <v>41</v>
      </c>
      <c r="O267" s="2"/>
      <c r="P267" s="7">
        <v>1067.54428153193</v>
      </c>
      <c r="Q267" s="8">
        <v>3800.7809647951399</v>
      </c>
      <c r="R267" s="9">
        <v>141012</v>
      </c>
      <c r="S267" s="2" t="s">
        <v>938</v>
      </c>
      <c r="T267" s="9">
        <v>82756</v>
      </c>
      <c r="U267" s="9">
        <v>118639</v>
      </c>
      <c r="V267" s="9">
        <v>149094</v>
      </c>
      <c r="W267" s="9">
        <v>238187</v>
      </c>
      <c r="X267" s="9">
        <v>237882</v>
      </c>
      <c r="Y267" s="9">
        <v>232183</v>
      </c>
      <c r="Z267" s="9">
        <v>240873</v>
      </c>
      <c r="AA267" s="9">
        <v>263304</v>
      </c>
      <c r="AB267" s="9">
        <v>119404</v>
      </c>
      <c r="AC267" s="9">
        <v>147797</v>
      </c>
      <c r="AD267" s="9">
        <v>200443</v>
      </c>
      <c r="AE267" s="7">
        <v>0.47177410979939299</v>
      </c>
      <c r="AF267" s="7">
        <v>0.27687145801257501</v>
      </c>
      <c r="AG267" s="7">
        <v>0.39692274042690301</v>
      </c>
      <c r="AH267" s="7">
        <v>0.49881369946647403</v>
      </c>
      <c r="AI267" s="7">
        <v>0.79688883676572697</v>
      </c>
      <c r="AJ267" s="7">
        <v>0.79586846838185499</v>
      </c>
      <c r="AK267" s="7">
        <v>0.77680299801105601</v>
      </c>
      <c r="AL267" s="7">
        <v>0.80587487931945301</v>
      </c>
      <c r="AM267" s="7">
        <v>0.88091949546801096</v>
      </c>
      <c r="AN267" s="7">
        <v>0.39948153981872903</v>
      </c>
      <c r="AO267" s="7">
        <v>0.494476682029794</v>
      </c>
      <c r="AP267" s="7">
        <v>0.67061178613337502</v>
      </c>
      <c r="AQ267" s="9">
        <v>80754</v>
      </c>
    </row>
    <row r="268" spans="1:43" ht="15">
      <c r="A268" s="2" t="s">
        <v>939</v>
      </c>
      <c r="B268" s="5">
        <v>123942238</v>
      </c>
      <c r="C268" s="2" t="s">
        <v>23</v>
      </c>
      <c r="D268" s="2" t="s">
        <v>940</v>
      </c>
      <c r="E268" s="2" t="s">
        <v>941</v>
      </c>
      <c r="F268" s="2" t="s">
        <v>26</v>
      </c>
      <c r="G268" s="2"/>
      <c r="H268" s="2"/>
      <c r="I268" s="2" t="s">
        <v>28</v>
      </c>
      <c r="J268" s="6"/>
      <c r="K268" s="2" t="s">
        <v>55</v>
      </c>
      <c r="L268" s="2" t="s">
        <v>56</v>
      </c>
      <c r="M268" s="2" t="s">
        <v>55</v>
      </c>
      <c r="N268" s="2"/>
      <c r="O268" s="2"/>
      <c r="P268" s="6" t="s">
        <v>57</v>
      </c>
      <c r="Q268" s="6" t="s">
        <v>57</v>
      </c>
      <c r="R268" s="6" t="s">
        <v>57</v>
      </c>
      <c r="S268" s="2"/>
      <c r="T268" s="6" t="s">
        <v>57</v>
      </c>
      <c r="U268" s="6" t="s">
        <v>57</v>
      </c>
      <c r="V268" s="6" t="s">
        <v>57</v>
      </c>
      <c r="W268" s="6" t="s">
        <v>57</v>
      </c>
      <c r="X268" s="6" t="s">
        <v>57</v>
      </c>
      <c r="Y268" s="6" t="s">
        <v>57</v>
      </c>
      <c r="Z268" s="6" t="s">
        <v>57</v>
      </c>
      <c r="AA268" s="6" t="s">
        <v>57</v>
      </c>
      <c r="AB268" s="6" t="s">
        <v>57</v>
      </c>
      <c r="AC268" s="6" t="s">
        <v>57</v>
      </c>
      <c r="AD268" s="6" t="s">
        <v>57</v>
      </c>
      <c r="AE268" s="6" t="s">
        <v>57</v>
      </c>
      <c r="AF268" s="6" t="s">
        <v>57</v>
      </c>
      <c r="AG268" s="6" t="s">
        <v>57</v>
      </c>
      <c r="AH268" s="6" t="s">
        <v>57</v>
      </c>
      <c r="AI268" s="6" t="s">
        <v>57</v>
      </c>
      <c r="AJ268" s="6" t="s">
        <v>57</v>
      </c>
      <c r="AK268" s="6" t="s">
        <v>57</v>
      </c>
      <c r="AL268" s="6" t="s">
        <v>57</v>
      </c>
      <c r="AM268" s="6" t="s">
        <v>57</v>
      </c>
      <c r="AN268" s="6" t="s">
        <v>57</v>
      </c>
      <c r="AO268" s="6" t="s">
        <v>57</v>
      </c>
      <c r="AP268" s="6" t="s">
        <v>57</v>
      </c>
      <c r="AQ268" s="6" t="s">
        <v>57</v>
      </c>
    </row>
    <row r="269" spans="1:43" ht="15">
      <c r="A269" s="2" t="s">
        <v>942</v>
      </c>
      <c r="B269" s="5">
        <v>139451441</v>
      </c>
      <c r="C269" s="2" t="s">
        <v>23</v>
      </c>
      <c r="D269" s="2" t="s">
        <v>943</v>
      </c>
      <c r="E269" s="2" t="s">
        <v>944</v>
      </c>
      <c r="F269" s="2" t="s">
        <v>26</v>
      </c>
      <c r="G269" s="2"/>
      <c r="H269" s="2"/>
      <c r="I269" s="2" t="s">
        <v>28</v>
      </c>
      <c r="J269" s="6"/>
      <c r="K269" s="2" t="s">
        <v>55</v>
      </c>
      <c r="L269" s="2" t="s">
        <v>56</v>
      </c>
      <c r="M269" s="2" t="s">
        <v>55</v>
      </c>
      <c r="N269" s="2"/>
      <c r="O269" s="2"/>
      <c r="P269" s="6" t="s">
        <v>57</v>
      </c>
      <c r="Q269" s="6" t="s">
        <v>57</v>
      </c>
      <c r="R269" s="6" t="s">
        <v>57</v>
      </c>
      <c r="S269" s="2"/>
      <c r="T269" s="6" t="s">
        <v>57</v>
      </c>
      <c r="U269" s="6" t="s">
        <v>57</v>
      </c>
      <c r="V269" s="6" t="s">
        <v>57</v>
      </c>
      <c r="W269" s="6" t="s">
        <v>57</v>
      </c>
      <c r="X269" s="6" t="s">
        <v>57</v>
      </c>
      <c r="Y269" s="6" t="s">
        <v>57</v>
      </c>
      <c r="Z269" s="6" t="s">
        <v>57</v>
      </c>
      <c r="AA269" s="6" t="s">
        <v>57</v>
      </c>
      <c r="AB269" s="6" t="s">
        <v>57</v>
      </c>
      <c r="AC269" s="6" t="s">
        <v>57</v>
      </c>
      <c r="AD269" s="6" t="s">
        <v>57</v>
      </c>
      <c r="AE269" s="6" t="s">
        <v>57</v>
      </c>
      <c r="AF269" s="6" t="s">
        <v>57</v>
      </c>
      <c r="AG269" s="6" t="s">
        <v>57</v>
      </c>
      <c r="AH269" s="6" t="s">
        <v>57</v>
      </c>
      <c r="AI269" s="6" t="s">
        <v>57</v>
      </c>
      <c r="AJ269" s="6" t="s">
        <v>57</v>
      </c>
      <c r="AK269" s="6" t="s">
        <v>57</v>
      </c>
      <c r="AL269" s="6" t="s">
        <v>57</v>
      </c>
      <c r="AM269" s="6" t="s">
        <v>57</v>
      </c>
      <c r="AN269" s="6" t="s">
        <v>57</v>
      </c>
      <c r="AO269" s="6" t="s">
        <v>57</v>
      </c>
      <c r="AP269" s="6" t="s">
        <v>57</v>
      </c>
      <c r="AQ269" s="6" t="s">
        <v>57</v>
      </c>
    </row>
    <row r="270" spans="1:43" ht="15">
      <c r="A270" s="2" t="s">
        <v>945</v>
      </c>
      <c r="B270" s="5">
        <v>139114441</v>
      </c>
      <c r="C270" s="2" t="s">
        <v>23</v>
      </c>
      <c r="D270" s="2" t="s">
        <v>946</v>
      </c>
      <c r="E270" s="2" t="s">
        <v>947</v>
      </c>
      <c r="F270" s="2" t="s">
        <v>26</v>
      </c>
      <c r="G270" s="2"/>
      <c r="H270" s="2"/>
      <c r="I270" s="2" t="s">
        <v>28</v>
      </c>
      <c r="J270" s="6"/>
      <c r="K270" s="2" t="s">
        <v>55</v>
      </c>
      <c r="L270" s="2" t="s">
        <v>56</v>
      </c>
      <c r="M270" s="2" t="s">
        <v>55</v>
      </c>
      <c r="N270" s="2"/>
      <c r="O270" s="2"/>
      <c r="P270" s="6" t="s">
        <v>57</v>
      </c>
      <c r="Q270" s="6" t="s">
        <v>57</v>
      </c>
      <c r="R270" s="9">
        <v>0</v>
      </c>
      <c r="S270" s="2"/>
      <c r="T270" s="9">
        <v>0</v>
      </c>
      <c r="U270" s="9">
        <v>0</v>
      </c>
      <c r="V270" s="9">
        <v>0</v>
      </c>
      <c r="W270" s="9">
        <v>7</v>
      </c>
      <c r="X270" s="9">
        <v>7</v>
      </c>
      <c r="Y270" s="9">
        <v>7</v>
      </c>
      <c r="Z270" s="9">
        <v>7</v>
      </c>
      <c r="AA270" s="9">
        <v>7</v>
      </c>
      <c r="AB270" s="9">
        <v>0</v>
      </c>
      <c r="AC270" s="9">
        <v>0</v>
      </c>
      <c r="AD270" s="9">
        <v>0</v>
      </c>
      <c r="AE270" s="6" t="s">
        <v>57</v>
      </c>
      <c r="AF270" s="6" t="s">
        <v>57</v>
      </c>
      <c r="AG270" s="6" t="s">
        <v>57</v>
      </c>
      <c r="AH270" s="6" t="s">
        <v>57</v>
      </c>
      <c r="AI270" s="6" t="s">
        <v>57</v>
      </c>
      <c r="AJ270" s="6" t="s">
        <v>57</v>
      </c>
      <c r="AK270" s="6" t="s">
        <v>57</v>
      </c>
      <c r="AL270" s="6" t="s">
        <v>57</v>
      </c>
      <c r="AM270" s="6" t="s">
        <v>57</v>
      </c>
      <c r="AN270" s="6" t="s">
        <v>57</v>
      </c>
      <c r="AO270" s="6" t="s">
        <v>57</v>
      </c>
      <c r="AP270" s="6" t="s">
        <v>57</v>
      </c>
      <c r="AQ270" s="9">
        <v>0</v>
      </c>
    </row>
    <row r="271" spans="1:43" ht="15">
      <c r="A271" s="2" t="s">
        <v>948</v>
      </c>
      <c r="B271" s="5">
        <v>134317028</v>
      </c>
      <c r="C271" s="2" t="s">
        <v>23</v>
      </c>
      <c r="D271" s="2" t="s">
        <v>949</v>
      </c>
      <c r="E271" s="2" t="s">
        <v>950</v>
      </c>
      <c r="F271" s="2" t="s">
        <v>26</v>
      </c>
      <c r="G271" s="2" t="s">
        <v>26</v>
      </c>
      <c r="H271" s="2" t="s">
        <v>27</v>
      </c>
      <c r="I271" s="2" t="s">
        <v>28</v>
      </c>
      <c r="J271" s="6"/>
      <c r="K271" s="2" t="s">
        <v>55</v>
      </c>
      <c r="L271" s="2" t="s">
        <v>56</v>
      </c>
      <c r="M271" s="2" t="s">
        <v>55</v>
      </c>
      <c r="N271" s="2"/>
      <c r="O271" s="2"/>
      <c r="P271" s="6" t="s">
        <v>57</v>
      </c>
      <c r="Q271" s="6" t="s">
        <v>57</v>
      </c>
      <c r="R271" s="6" t="s">
        <v>57</v>
      </c>
      <c r="S271" s="2"/>
      <c r="T271" s="6" t="s">
        <v>57</v>
      </c>
      <c r="U271" s="6" t="s">
        <v>57</v>
      </c>
      <c r="V271" s="6" t="s">
        <v>57</v>
      </c>
      <c r="W271" s="6" t="s">
        <v>57</v>
      </c>
      <c r="X271" s="6" t="s">
        <v>57</v>
      </c>
      <c r="Y271" s="6" t="s">
        <v>57</v>
      </c>
      <c r="Z271" s="6" t="s">
        <v>57</v>
      </c>
      <c r="AA271" s="6" t="s">
        <v>57</v>
      </c>
      <c r="AB271" s="6" t="s">
        <v>57</v>
      </c>
      <c r="AC271" s="6" t="s">
        <v>57</v>
      </c>
      <c r="AD271" s="6" t="s">
        <v>57</v>
      </c>
      <c r="AE271" s="6" t="s">
        <v>57</v>
      </c>
      <c r="AF271" s="6" t="s">
        <v>57</v>
      </c>
      <c r="AG271" s="6" t="s">
        <v>57</v>
      </c>
      <c r="AH271" s="6" t="s">
        <v>57</v>
      </c>
      <c r="AI271" s="6" t="s">
        <v>57</v>
      </c>
      <c r="AJ271" s="6" t="s">
        <v>57</v>
      </c>
      <c r="AK271" s="6" t="s">
        <v>57</v>
      </c>
      <c r="AL271" s="6" t="s">
        <v>57</v>
      </c>
      <c r="AM271" s="6" t="s">
        <v>57</v>
      </c>
      <c r="AN271" s="6" t="s">
        <v>57</v>
      </c>
      <c r="AO271" s="6" t="s">
        <v>57</v>
      </c>
      <c r="AP271" s="6" t="s">
        <v>57</v>
      </c>
      <c r="AQ271" s="6" t="s">
        <v>57</v>
      </c>
    </row>
    <row r="272" spans="1:43" ht="15">
      <c r="A272" s="2" t="s">
        <v>951</v>
      </c>
      <c r="B272" s="5">
        <v>135579959</v>
      </c>
      <c r="C272" s="2" t="s">
        <v>23</v>
      </c>
      <c r="D272" s="2" t="s">
        <v>952</v>
      </c>
      <c r="E272" s="2" t="s">
        <v>953</v>
      </c>
      <c r="F272" s="2" t="s">
        <v>113</v>
      </c>
      <c r="G272" s="2"/>
      <c r="H272" s="2"/>
      <c r="I272" s="2" t="s">
        <v>28</v>
      </c>
      <c r="J272" s="6"/>
      <c r="K272" s="2" t="s">
        <v>55</v>
      </c>
      <c r="L272" s="2" t="s">
        <v>56</v>
      </c>
      <c r="M272" s="2" t="s">
        <v>55</v>
      </c>
      <c r="N272" s="2"/>
      <c r="O272" s="2"/>
      <c r="P272" s="6" t="s">
        <v>57</v>
      </c>
      <c r="Q272" s="6" t="s">
        <v>57</v>
      </c>
      <c r="R272" s="6" t="s">
        <v>57</v>
      </c>
      <c r="S272" s="2"/>
      <c r="T272" s="6" t="s">
        <v>57</v>
      </c>
      <c r="U272" s="6" t="s">
        <v>57</v>
      </c>
      <c r="V272" s="6" t="s">
        <v>57</v>
      </c>
      <c r="W272" s="6" t="s">
        <v>57</v>
      </c>
      <c r="X272" s="6" t="s">
        <v>57</v>
      </c>
      <c r="Y272" s="6" t="s">
        <v>57</v>
      </c>
      <c r="Z272" s="6" t="s">
        <v>57</v>
      </c>
      <c r="AA272" s="6" t="s">
        <v>57</v>
      </c>
      <c r="AB272" s="6" t="s">
        <v>57</v>
      </c>
      <c r="AC272" s="6" t="s">
        <v>57</v>
      </c>
      <c r="AD272" s="6" t="s">
        <v>57</v>
      </c>
      <c r="AE272" s="6" t="s">
        <v>57</v>
      </c>
      <c r="AF272" s="6" t="s">
        <v>57</v>
      </c>
      <c r="AG272" s="6" t="s">
        <v>57</v>
      </c>
      <c r="AH272" s="6" t="s">
        <v>57</v>
      </c>
      <c r="AI272" s="6" t="s">
        <v>57</v>
      </c>
      <c r="AJ272" s="6" t="s">
        <v>57</v>
      </c>
      <c r="AK272" s="6" t="s">
        <v>57</v>
      </c>
      <c r="AL272" s="6" t="s">
        <v>57</v>
      </c>
      <c r="AM272" s="6" t="s">
        <v>57</v>
      </c>
      <c r="AN272" s="6" t="s">
        <v>57</v>
      </c>
      <c r="AO272" s="6" t="s">
        <v>57</v>
      </c>
      <c r="AP272" s="6" t="s">
        <v>57</v>
      </c>
      <c r="AQ272" s="6" t="s">
        <v>57</v>
      </c>
    </row>
    <row r="273" spans="1:43" ht="15">
      <c r="A273" s="2" t="s">
        <v>954</v>
      </c>
      <c r="B273" s="5">
        <v>6340469</v>
      </c>
      <c r="C273" s="2" t="s">
        <v>35</v>
      </c>
      <c r="D273" s="2" t="s">
        <v>955</v>
      </c>
      <c r="E273" s="2" t="s">
        <v>956</v>
      </c>
      <c r="F273" s="2" t="s">
        <v>38</v>
      </c>
      <c r="G273" s="2" t="s">
        <v>38</v>
      </c>
      <c r="H273" s="2" t="s">
        <v>39</v>
      </c>
      <c r="I273" s="2" t="s">
        <v>40</v>
      </c>
      <c r="J273" s="6"/>
      <c r="K273" s="2" t="s">
        <v>957</v>
      </c>
      <c r="L273" s="2" t="s">
        <v>247</v>
      </c>
      <c r="M273" s="2" t="s">
        <v>470</v>
      </c>
      <c r="N273" s="2" t="s">
        <v>957</v>
      </c>
      <c r="O273" s="2"/>
      <c r="P273" s="7">
        <v>148.63178169351099</v>
      </c>
      <c r="Q273" s="8">
        <v>233.96718163929299</v>
      </c>
      <c r="R273" s="9">
        <v>0</v>
      </c>
      <c r="S273" s="2" t="s">
        <v>958</v>
      </c>
      <c r="T273" s="9">
        <v>0</v>
      </c>
      <c r="U273" s="9">
        <v>0</v>
      </c>
      <c r="V273" s="9">
        <v>0</v>
      </c>
      <c r="W273" s="9">
        <v>0</v>
      </c>
      <c r="X273" s="9">
        <v>0</v>
      </c>
      <c r="Y273" s="9">
        <v>0</v>
      </c>
      <c r="Z273" s="9">
        <v>0</v>
      </c>
      <c r="AA273" s="9">
        <v>0</v>
      </c>
      <c r="AB273" s="9">
        <v>0</v>
      </c>
      <c r="AC273" s="9">
        <v>0</v>
      </c>
      <c r="AD273" s="9">
        <v>0</v>
      </c>
      <c r="AE273" s="7">
        <v>0</v>
      </c>
      <c r="AF273" s="7">
        <v>0</v>
      </c>
      <c r="AG273" s="7">
        <v>0</v>
      </c>
      <c r="AH273" s="7">
        <v>0</v>
      </c>
      <c r="AI273" s="7">
        <v>0</v>
      </c>
      <c r="AJ273" s="7">
        <v>0</v>
      </c>
      <c r="AK273" s="7">
        <v>0</v>
      </c>
      <c r="AL273" s="7">
        <v>0</v>
      </c>
      <c r="AM273" s="7">
        <v>0</v>
      </c>
      <c r="AN273" s="7">
        <v>0</v>
      </c>
      <c r="AO273" s="7">
        <v>0</v>
      </c>
      <c r="AP273" s="7">
        <v>0</v>
      </c>
      <c r="AQ273" s="9">
        <v>0</v>
      </c>
    </row>
    <row r="274" spans="1:43" ht="15">
      <c r="A274" s="2" t="s">
        <v>959</v>
      </c>
      <c r="B274" s="5">
        <v>4910594</v>
      </c>
      <c r="C274" s="2" t="s">
        <v>23</v>
      </c>
      <c r="D274" s="2" t="s">
        <v>960</v>
      </c>
      <c r="E274" s="2" t="s">
        <v>961</v>
      </c>
      <c r="F274" s="2" t="s">
        <v>26</v>
      </c>
      <c r="G274" s="2" t="s">
        <v>26</v>
      </c>
      <c r="H274" s="2" t="s">
        <v>27</v>
      </c>
      <c r="I274" s="2" t="s">
        <v>28</v>
      </c>
      <c r="J274" s="6"/>
      <c r="K274" s="2" t="s">
        <v>211</v>
      </c>
      <c r="L274" s="2" t="s">
        <v>30</v>
      </c>
      <c r="M274" s="2" t="s">
        <v>189</v>
      </c>
      <c r="N274" s="2" t="s">
        <v>211</v>
      </c>
      <c r="O274" s="2"/>
      <c r="P274" s="7">
        <v>821.18892561038001</v>
      </c>
      <c r="Q274" s="8">
        <v>1531.7245748861001</v>
      </c>
      <c r="R274" s="9">
        <v>230</v>
      </c>
      <c r="S274" s="2" t="s">
        <v>962</v>
      </c>
      <c r="T274" s="9">
        <v>298</v>
      </c>
      <c r="U274" s="9">
        <v>174</v>
      </c>
      <c r="V274" s="9">
        <v>298</v>
      </c>
      <c r="W274" s="9">
        <v>832</v>
      </c>
      <c r="X274" s="9">
        <v>829</v>
      </c>
      <c r="Y274" s="9">
        <v>933</v>
      </c>
      <c r="Z274" s="9">
        <v>745</v>
      </c>
      <c r="AA274" s="9">
        <v>812</v>
      </c>
      <c r="AB274" s="9">
        <v>199</v>
      </c>
      <c r="AC274" s="9">
        <v>297</v>
      </c>
      <c r="AD274" s="9">
        <v>1011</v>
      </c>
      <c r="AE274" s="7">
        <v>0.00051555007285238096</v>
      </c>
      <c r="AF274" s="7">
        <v>0.00066759998564290199</v>
      </c>
      <c r="AG274" s="7">
        <v>0.00039030502798009</v>
      </c>
      <c r="AH274" s="7">
        <v>0.00066744821592036802</v>
      </c>
      <c r="AI274" s="7">
        <v>0.0018660356041819001</v>
      </c>
      <c r="AJ274" s="7">
        <v>0.00185857146176517</v>
      </c>
      <c r="AK274" s="7">
        <v>0.0020910830021657698</v>
      </c>
      <c r="AL274" s="7">
        <v>0.0016700000354981401</v>
      </c>
      <c r="AM274" s="7">
        <v>0.0018209188963921</v>
      </c>
      <c r="AN274" s="7">
        <v>0.00044606288912010301</v>
      </c>
      <c r="AO274" s="7">
        <v>0.00066591578191239095</v>
      </c>
      <c r="AP274" s="7">
        <v>0.0022657268787252701</v>
      </c>
      <c r="AQ274" s="9">
        <v>8</v>
      </c>
    </row>
    <row r="275" spans="1:43" ht="15">
      <c r="A275" s="2" t="s">
        <v>963</v>
      </c>
      <c r="B275" s="5">
        <v>4912915</v>
      </c>
      <c r="C275" s="2" t="s">
        <v>46</v>
      </c>
      <c r="D275" s="2" t="s">
        <v>964</v>
      </c>
      <c r="E275" s="2" t="s">
        <v>965</v>
      </c>
      <c r="F275" s="2" t="s">
        <v>49</v>
      </c>
      <c r="G275" s="2" t="s">
        <v>49</v>
      </c>
      <c r="H275" s="2" t="s">
        <v>50</v>
      </c>
      <c r="I275" s="2" t="s">
        <v>40</v>
      </c>
      <c r="J275" s="6"/>
      <c r="K275" s="2" t="s">
        <v>188</v>
      </c>
      <c r="L275" s="2" t="s">
        <v>30</v>
      </c>
      <c r="M275" s="2" t="s">
        <v>189</v>
      </c>
      <c r="N275" s="2" t="s">
        <v>188</v>
      </c>
      <c r="O275" s="2"/>
      <c r="P275" s="7">
        <v>218.11967223590199</v>
      </c>
      <c r="Q275" s="8">
        <v>316.01695615244199</v>
      </c>
      <c r="R275" s="9">
        <v>369</v>
      </c>
      <c r="S275" s="2" t="s">
        <v>966</v>
      </c>
      <c r="T275" s="9">
        <v>312</v>
      </c>
      <c r="U275" s="9">
        <v>322</v>
      </c>
      <c r="V275" s="9">
        <v>495</v>
      </c>
      <c r="W275" s="9">
        <v>796</v>
      </c>
      <c r="X275" s="9">
        <v>798</v>
      </c>
      <c r="Y275" s="9">
        <v>725</v>
      </c>
      <c r="Z275" s="9">
        <v>654</v>
      </c>
      <c r="AA275" s="9">
        <v>610</v>
      </c>
      <c r="AB275" s="9">
        <v>351</v>
      </c>
      <c r="AC275" s="9">
        <v>475</v>
      </c>
      <c r="AD275" s="9">
        <v>765</v>
      </c>
      <c r="AE275" s="7">
        <v>0.00817614609266527</v>
      </c>
      <c r="AF275" s="7">
        <v>0.0069151484365825603</v>
      </c>
      <c r="AG275" s="7">
        <v>0.0071481186780289301</v>
      </c>
      <c r="AH275" s="7">
        <v>0.010988083039646599</v>
      </c>
      <c r="AI275" s="7">
        <v>0.0176534325431809</v>
      </c>
      <c r="AJ275" s="7">
        <v>0.017712572143672799</v>
      </c>
      <c r="AK275" s="7">
        <v>0.016080349061619099</v>
      </c>
      <c r="AL275" s="7">
        <v>0.014514208751483499</v>
      </c>
      <c r="AM275" s="7">
        <v>0.013527567881750699</v>
      </c>
      <c r="AN275" s="7">
        <v>0.00778680580253835</v>
      </c>
      <c r="AO275" s="7">
        <v>0.010532582797131</v>
      </c>
      <c r="AP275" s="7">
        <v>0.016965852060844801</v>
      </c>
      <c r="AQ275" s="9">
        <v>631</v>
      </c>
    </row>
    <row r="276" spans="1:43" ht="15">
      <c r="A276" s="2" t="s">
        <v>967</v>
      </c>
      <c r="B276" s="5">
        <v>4913637</v>
      </c>
      <c r="C276" s="2" t="s">
        <v>46</v>
      </c>
      <c r="D276" s="2" t="s">
        <v>968</v>
      </c>
      <c r="E276" s="2" t="s">
        <v>969</v>
      </c>
      <c r="F276" s="2" t="s">
        <v>49</v>
      </c>
      <c r="G276" s="2" t="s">
        <v>49</v>
      </c>
      <c r="H276" s="2" t="s">
        <v>50</v>
      </c>
      <c r="I276" s="2" t="s">
        <v>40</v>
      </c>
      <c r="J276" s="6"/>
      <c r="K276" s="2" t="s">
        <v>211</v>
      </c>
      <c r="L276" s="2" t="s">
        <v>30</v>
      </c>
      <c r="M276" s="2" t="s">
        <v>189</v>
      </c>
      <c r="N276" s="2" t="s">
        <v>211</v>
      </c>
      <c r="O276" s="2"/>
      <c r="P276" s="7">
        <v>237.18298242483399</v>
      </c>
      <c r="Q276" s="8">
        <v>388.37204761754799</v>
      </c>
      <c r="R276" s="9">
        <v>1678</v>
      </c>
      <c r="S276" s="2" t="s">
        <v>970</v>
      </c>
      <c r="T276" s="9">
        <v>1313</v>
      </c>
      <c r="U276" s="9">
        <v>4022</v>
      </c>
      <c r="V276" s="9">
        <v>3942</v>
      </c>
      <c r="W276" s="9">
        <v>7334</v>
      </c>
      <c r="X276" s="9">
        <v>7307</v>
      </c>
      <c r="Y276" s="9">
        <v>9240</v>
      </c>
      <c r="Z276" s="9">
        <v>9462</v>
      </c>
      <c r="AA276" s="9">
        <v>12524</v>
      </c>
      <c r="AB276" s="9">
        <v>4222</v>
      </c>
      <c r="AC276" s="9">
        <v>3823</v>
      </c>
      <c r="AD276" s="9">
        <v>9455</v>
      </c>
      <c r="AE276" s="7">
        <v>0.0099602837543569401</v>
      </c>
      <c r="AF276" s="7">
        <v>0.0077927249834197103</v>
      </c>
      <c r="AG276" s="7">
        <v>0.023872083538296701</v>
      </c>
      <c r="AH276" s="7">
        <v>0.0233971880813084</v>
      </c>
      <c r="AI276" s="7">
        <v>0.043532801570370101</v>
      </c>
      <c r="AJ276" s="7">
        <v>0.043370328288578203</v>
      </c>
      <c r="AK276" s="7">
        <v>0.054847377921186803</v>
      </c>
      <c r="AL276" s="7">
        <v>0.056165402980892502</v>
      </c>
      <c r="AM276" s="7">
        <v>0.074342973919819894</v>
      </c>
      <c r="AN276" s="7">
        <v>0.025060410853660401</v>
      </c>
      <c r="AO276" s="7">
        <v>0.0226913242607172</v>
      </c>
      <c r="AP276" s="7">
        <v>0.056124776276953801</v>
      </c>
      <c r="AQ276" s="9">
        <v>2691</v>
      </c>
    </row>
    <row r="277" spans="1:43" ht="15">
      <c r="A277" s="2" t="s">
        <v>971</v>
      </c>
      <c r="B277" s="5">
        <v>4916961</v>
      </c>
      <c r="C277" s="2" t="s">
        <v>35</v>
      </c>
      <c r="D277" s="2" t="s">
        <v>972</v>
      </c>
      <c r="E277" s="2" t="s">
        <v>973</v>
      </c>
      <c r="F277" s="2" t="s">
        <v>38</v>
      </c>
      <c r="G277" s="2" t="s">
        <v>38</v>
      </c>
      <c r="H277" s="2" t="s">
        <v>39</v>
      </c>
      <c r="I277" s="2" t="s">
        <v>28</v>
      </c>
      <c r="J277" s="6"/>
      <c r="K277" s="2" t="s">
        <v>188</v>
      </c>
      <c r="L277" s="2" t="s">
        <v>30</v>
      </c>
      <c r="M277" s="2" t="s">
        <v>189</v>
      </c>
      <c r="N277" s="2" t="s">
        <v>188</v>
      </c>
      <c r="O277" s="2"/>
      <c r="P277" s="7">
        <v>120.90158267189</v>
      </c>
      <c r="Q277" s="8">
        <v>138.66168726917101</v>
      </c>
      <c r="R277" s="9">
        <v>0</v>
      </c>
      <c r="S277" s="2" t="s">
        <v>974</v>
      </c>
      <c r="T277" s="9">
        <v>0</v>
      </c>
      <c r="U277" s="9">
        <v>0</v>
      </c>
      <c r="V277" s="9">
        <v>0</v>
      </c>
      <c r="W277" s="9">
        <v>0</v>
      </c>
      <c r="X277" s="9">
        <v>0</v>
      </c>
      <c r="Y277" s="9">
        <v>0</v>
      </c>
      <c r="Z277" s="9">
        <v>0</v>
      </c>
      <c r="AA277" s="9">
        <v>0</v>
      </c>
      <c r="AB277" s="9">
        <v>0</v>
      </c>
      <c r="AC277" s="9">
        <v>0</v>
      </c>
      <c r="AD277" s="9">
        <v>0</v>
      </c>
      <c r="AE277" s="7">
        <v>0</v>
      </c>
      <c r="AF277" s="7">
        <v>0</v>
      </c>
      <c r="AG277" s="7">
        <v>0</v>
      </c>
      <c r="AH277" s="7">
        <v>0</v>
      </c>
      <c r="AI277" s="7">
        <v>0</v>
      </c>
      <c r="AJ277" s="7">
        <v>0</v>
      </c>
      <c r="AK277" s="7">
        <v>0</v>
      </c>
      <c r="AL277" s="7">
        <v>0</v>
      </c>
      <c r="AM277" s="7">
        <v>0</v>
      </c>
      <c r="AN277" s="7">
        <v>0</v>
      </c>
      <c r="AO277" s="7">
        <v>0</v>
      </c>
      <c r="AP277" s="7">
        <v>0</v>
      </c>
      <c r="AQ277" s="9">
        <v>0</v>
      </c>
    </row>
    <row r="278" spans="1:43" ht="15">
      <c r="A278" s="2" t="s">
        <v>975</v>
      </c>
      <c r="B278" s="5">
        <v>4773159</v>
      </c>
      <c r="C278" s="2" t="s">
        <v>46</v>
      </c>
      <c r="D278" s="2" t="s">
        <v>976</v>
      </c>
      <c r="E278" s="2" t="s">
        <v>977</v>
      </c>
      <c r="F278" s="2" t="s">
        <v>49</v>
      </c>
      <c r="G278" s="2" t="s">
        <v>49</v>
      </c>
      <c r="H278" s="2" t="s">
        <v>50</v>
      </c>
      <c r="I278" s="2" t="s">
        <v>40</v>
      </c>
      <c r="J278" s="6"/>
      <c r="K278" s="2" t="s">
        <v>55</v>
      </c>
      <c r="L278" s="2" t="s">
        <v>56</v>
      </c>
      <c r="M278" s="2" t="s">
        <v>55</v>
      </c>
      <c r="N278" s="2"/>
      <c r="O278" s="2"/>
      <c r="P278" s="7">
        <v>58.769307068974904</v>
      </c>
      <c r="Q278" s="8">
        <v>53.864631572045504</v>
      </c>
      <c r="R278" s="9">
        <v>0</v>
      </c>
      <c r="S278" s="2" t="s">
        <v>978</v>
      </c>
      <c r="T278" s="9">
        <v>0</v>
      </c>
      <c r="U278" s="9">
        <v>0</v>
      </c>
      <c r="V278" s="9">
        <v>0</v>
      </c>
      <c r="W278" s="9">
        <v>2</v>
      </c>
      <c r="X278" s="9">
        <v>2</v>
      </c>
      <c r="Y278" s="9">
        <v>17</v>
      </c>
      <c r="Z278" s="9">
        <v>12</v>
      </c>
      <c r="AA278" s="9">
        <v>7</v>
      </c>
      <c r="AB278" s="9">
        <v>0</v>
      </c>
      <c r="AC278" s="9">
        <v>0</v>
      </c>
      <c r="AD278" s="9">
        <v>0</v>
      </c>
      <c r="AE278" s="7">
        <v>0</v>
      </c>
      <c r="AF278" s="7">
        <v>0</v>
      </c>
      <c r="AG278" s="7">
        <v>0</v>
      </c>
      <c r="AH278" s="7">
        <v>0</v>
      </c>
      <c r="AI278" s="7">
        <v>3.3522643006326199E-05</v>
      </c>
      <c r="AJ278" s="7">
        <v>3.33885524343009E-05</v>
      </c>
      <c r="AK278" s="7">
        <v>0.00029092870938745598</v>
      </c>
      <c r="AL278" s="7">
        <v>0.000193564567979121</v>
      </c>
      <c r="AM278" s="7">
        <v>0.000115953215642444</v>
      </c>
      <c r="AN278" s="7">
        <v>0</v>
      </c>
      <c r="AO278" s="7">
        <v>0</v>
      </c>
      <c r="AP278" s="7">
        <v>0</v>
      </c>
      <c r="AQ278" s="9">
        <v>0</v>
      </c>
    </row>
    <row r="279" spans="1:43" ht="15">
      <c r="A279" s="2" t="s">
        <v>979</v>
      </c>
      <c r="B279" s="5">
        <v>5001184</v>
      </c>
      <c r="C279" s="2" t="s">
        <v>35</v>
      </c>
      <c r="D279" s="2" t="s">
        <v>980</v>
      </c>
      <c r="E279" s="2" t="s">
        <v>981</v>
      </c>
      <c r="F279" s="2" t="s">
        <v>38</v>
      </c>
      <c r="G279" s="2" t="s">
        <v>38</v>
      </c>
      <c r="H279" s="2" t="s">
        <v>39</v>
      </c>
      <c r="I279" s="2" t="s">
        <v>40</v>
      </c>
      <c r="J279" s="6"/>
      <c r="K279" s="2" t="s">
        <v>982</v>
      </c>
      <c r="L279" s="2" t="s">
        <v>217</v>
      </c>
      <c r="M279" s="2" t="s">
        <v>218</v>
      </c>
      <c r="N279" s="2" t="s">
        <v>982</v>
      </c>
      <c r="O279" s="2"/>
      <c r="P279" s="7">
        <v>1511.2662521035199</v>
      </c>
      <c r="Q279" s="8">
        <v>3420.4709456343699</v>
      </c>
      <c r="R279" s="9">
        <v>256382</v>
      </c>
      <c r="S279" s="2" t="s">
        <v>983</v>
      </c>
      <c r="T279" s="9">
        <v>366432</v>
      </c>
      <c r="U279" s="9">
        <v>483097</v>
      </c>
      <c r="V279" s="9">
        <v>385693</v>
      </c>
      <c r="W279" s="9">
        <v>301917</v>
      </c>
      <c r="X279" s="9">
        <v>302001</v>
      </c>
      <c r="Y279" s="9">
        <v>291498</v>
      </c>
      <c r="Z279" s="9">
        <v>297284</v>
      </c>
      <c r="AA279" s="9">
        <v>251371</v>
      </c>
      <c r="AB279" s="9">
        <v>506737</v>
      </c>
      <c r="AC279" s="9">
        <v>382652</v>
      </c>
      <c r="AD279" s="9">
        <v>383898</v>
      </c>
      <c r="AE279" s="7">
        <v>0.124359228249402</v>
      </c>
      <c r="AF279" s="7">
        <v>0.17773989719392</v>
      </c>
      <c r="AG279" s="7">
        <v>0.234328693084878</v>
      </c>
      <c r="AH279" s="7">
        <v>0.18708254771875299</v>
      </c>
      <c r="AI279" s="7">
        <v>0.146446386080718</v>
      </c>
      <c r="AJ279" s="7">
        <v>0.14648726028439299</v>
      </c>
      <c r="AK279" s="7">
        <v>0.14139289801500801</v>
      </c>
      <c r="AL279" s="7">
        <v>0.14419930835065101</v>
      </c>
      <c r="AM279" s="7">
        <v>0.121928955074447</v>
      </c>
      <c r="AN279" s="7">
        <v>0.24579535954849399</v>
      </c>
      <c r="AO279" s="7">
        <v>0.18560752348242901</v>
      </c>
      <c r="AP279" s="7">
        <v>0.186211842691128</v>
      </c>
      <c r="AQ279" s="9">
        <v>199430</v>
      </c>
    </row>
    <row r="280" spans="1:43" ht="15">
      <c r="A280" s="2" t="s">
        <v>984</v>
      </c>
      <c r="B280" s="5">
        <v>4985367</v>
      </c>
      <c r="C280" s="2" t="s">
        <v>23</v>
      </c>
      <c r="D280" s="2" t="s">
        <v>985</v>
      </c>
      <c r="E280" s="2" t="s">
        <v>986</v>
      </c>
      <c r="F280" s="2" t="s">
        <v>26</v>
      </c>
      <c r="G280" s="2" t="s">
        <v>26</v>
      </c>
      <c r="H280" s="2" t="s">
        <v>27</v>
      </c>
      <c r="I280" s="2" t="s">
        <v>28</v>
      </c>
      <c r="J280" s="6"/>
      <c r="K280" s="2" t="s">
        <v>987</v>
      </c>
      <c r="L280" s="2" t="s">
        <v>42</v>
      </c>
      <c r="M280" s="2" t="s">
        <v>987</v>
      </c>
      <c r="N280" s="2"/>
      <c r="O280" s="2"/>
      <c r="P280" s="7">
        <v>309.15116551396397</v>
      </c>
      <c r="Q280" s="8">
        <v>405.39937042143998</v>
      </c>
      <c r="R280" s="9">
        <v>1</v>
      </c>
      <c r="S280" s="2" t="s">
        <v>988</v>
      </c>
      <c r="T280" s="9">
        <v>0</v>
      </c>
      <c r="U280" s="9">
        <v>4</v>
      </c>
      <c r="V280" s="9">
        <v>5</v>
      </c>
      <c r="W280" s="9">
        <v>3</v>
      </c>
      <c r="X280" s="9">
        <v>3</v>
      </c>
      <c r="Y280" s="9">
        <v>3</v>
      </c>
      <c r="Z280" s="9">
        <v>3</v>
      </c>
      <c r="AA280" s="9">
        <v>4</v>
      </c>
      <c r="AB280" s="9">
        <v>5</v>
      </c>
      <c r="AC280" s="9">
        <v>5</v>
      </c>
      <c r="AD280" s="9">
        <v>3</v>
      </c>
      <c r="AE280" s="7">
        <v>1.34305757155958E-05</v>
      </c>
      <c r="AF280" s="7">
        <v>4.4768585718652798E-06</v>
      </c>
      <c r="AG280" s="7">
        <v>5.7079946791282399E-05</v>
      </c>
      <c r="AH280" s="7">
        <v>6.0437590720181298E-05</v>
      </c>
      <c r="AI280" s="7">
        <v>4.5901284875389798E-05</v>
      </c>
      <c r="AJ280" s="7">
        <v>4.57176797358883E-05</v>
      </c>
      <c r="AK280" s="7">
        <v>3.5805860811196202E-05</v>
      </c>
      <c r="AL280" s="7">
        <v>3.52867672956674E-05</v>
      </c>
      <c r="AM280" s="7">
        <v>4.9676948731179802E-05</v>
      </c>
      <c r="AN280" s="7">
        <v>6.5234224904322697E-05</v>
      </c>
      <c r="AO280" s="7">
        <v>6.3409931247403303E-05</v>
      </c>
      <c r="AP280" s="7">
        <v>3.6609149934446702E-05</v>
      </c>
      <c r="AQ280" s="9">
        <v>2</v>
      </c>
    </row>
    <row r="281" spans="1:43" ht="15">
      <c r="A281" s="2" t="s">
        <v>989</v>
      </c>
      <c r="B281" s="5">
        <v>4514055</v>
      </c>
      <c r="C281" s="2" t="s">
        <v>35</v>
      </c>
      <c r="D281" s="2" t="s">
        <v>990</v>
      </c>
      <c r="E281" s="2" t="s">
        <v>991</v>
      </c>
      <c r="F281" s="2" t="s">
        <v>38</v>
      </c>
      <c r="G281" s="2" t="s">
        <v>38</v>
      </c>
      <c r="H281" s="2" t="s">
        <v>39</v>
      </c>
      <c r="I281" s="2" t="s">
        <v>40</v>
      </c>
      <c r="J281" s="6"/>
      <c r="K281" s="2" t="s">
        <v>987</v>
      </c>
      <c r="L281" s="2" t="s">
        <v>42</v>
      </c>
      <c r="M281" s="2" t="s">
        <v>987</v>
      </c>
      <c r="N281" s="2"/>
      <c r="O281" s="2"/>
      <c r="P281" s="7">
        <v>3934.5387331614102</v>
      </c>
      <c r="Q281" s="8">
        <v>2410.3434848003299</v>
      </c>
      <c r="R281" s="9">
        <v>439072</v>
      </c>
      <c r="S281" s="2" t="s">
        <v>992</v>
      </c>
      <c r="T281" s="9">
        <v>570980</v>
      </c>
      <c r="U281" s="9">
        <v>751419</v>
      </c>
      <c r="V281" s="9">
        <v>529402</v>
      </c>
      <c r="W281" s="9">
        <v>603698</v>
      </c>
      <c r="X281" s="9">
        <v>602084</v>
      </c>
      <c r="Y281" s="9">
        <v>773463</v>
      </c>
      <c r="Z281" s="9">
        <v>761580</v>
      </c>
      <c r="AA281" s="9">
        <v>631194</v>
      </c>
      <c r="AB281" s="9">
        <v>769055</v>
      </c>
      <c r="AC281" s="9">
        <v>543550</v>
      </c>
      <c r="AD281" s="9">
        <v>592807</v>
      </c>
      <c r="AE281" s="7">
        <v>0.18048806412304499</v>
      </c>
      <c r="AF281" s="7">
        <v>0.234711243294184</v>
      </c>
      <c r="AG281" s="7">
        <v>0.308883572259817</v>
      </c>
      <c r="AH281" s="7">
        <v>0.21761979783678401</v>
      </c>
      <c r="AI281" s="7">
        <v>0.24816056451249399</v>
      </c>
      <c r="AJ281" s="7">
        <v>0.24749714025052999</v>
      </c>
      <c r="AK281" s="7">
        <v>0.31794507785419202</v>
      </c>
      <c r="AL281" s="7">
        <v>0.31306047421079503</v>
      </c>
      <c r="AM281" s="7">
        <v>0.25946301594080401</v>
      </c>
      <c r="AN281" s="7">
        <v>0.31613327006252201</v>
      </c>
      <c r="AO281" s="7">
        <v>0.22343562011797399</v>
      </c>
      <c r="AP281" s="7">
        <v>0.24368352019528899</v>
      </c>
      <c r="AQ281" s="9">
        <v>367452</v>
      </c>
    </row>
    <row r="282" spans="1:43" ht="15">
      <c r="A282" s="2" t="s">
        <v>993</v>
      </c>
      <c r="B282" s="5">
        <v>4534024</v>
      </c>
      <c r="C282" s="2" t="s">
        <v>46</v>
      </c>
      <c r="D282" s="2" t="s">
        <v>994</v>
      </c>
      <c r="E282" s="2" t="s">
        <v>995</v>
      </c>
      <c r="F282" s="2" t="s">
        <v>49</v>
      </c>
      <c r="G282" s="2" t="s">
        <v>49</v>
      </c>
      <c r="H282" s="2" t="s">
        <v>50</v>
      </c>
      <c r="I282" s="2" t="s">
        <v>40</v>
      </c>
      <c r="J282" s="6"/>
      <c r="K282" s="2" t="s">
        <v>987</v>
      </c>
      <c r="L282" s="2" t="s">
        <v>42</v>
      </c>
      <c r="M282" s="2" t="s">
        <v>987</v>
      </c>
      <c r="N282" s="2"/>
      <c r="O282" s="2"/>
      <c r="P282" s="7">
        <v>1006.83306819656</v>
      </c>
      <c r="Q282" s="8">
        <v>1406.6943335811</v>
      </c>
      <c r="R282" s="9">
        <v>121125</v>
      </c>
      <c r="S282" s="2" t="s">
        <v>996</v>
      </c>
      <c r="T282" s="9">
        <v>240016</v>
      </c>
      <c r="U282" s="9">
        <v>320640</v>
      </c>
      <c r="V282" s="9">
        <v>210472</v>
      </c>
      <c r="W282" s="9">
        <v>196456</v>
      </c>
      <c r="X282" s="9">
        <v>196137</v>
      </c>
      <c r="Y282" s="9">
        <v>179166</v>
      </c>
      <c r="Z282" s="9">
        <v>164666</v>
      </c>
      <c r="AA282" s="9">
        <v>147064</v>
      </c>
      <c r="AB282" s="9">
        <v>362645</v>
      </c>
      <c r="AC282" s="9">
        <v>220312</v>
      </c>
      <c r="AD282" s="9">
        <v>153477</v>
      </c>
      <c r="AE282" s="7">
        <v>0.14287982543376301</v>
      </c>
      <c r="AF282" s="7">
        <v>0.28312597210241203</v>
      </c>
      <c r="AG282" s="7">
        <v>0.37823026313524899</v>
      </c>
      <c r="AH282" s="7">
        <v>0.24827466428151199</v>
      </c>
      <c r="AI282" s="7">
        <v>0.23174176403102201</v>
      </c>
      <c r="AJ282" s="7">
        <v>0.23136584530263099</v>
      </c>
      <c r="AK282" s="7">
        <v>0.21134625667795401</v>
      </c>
      <c r="AL282" s="7">
        <v>0.19424164626448401</v>
      </c>
      <c r="AM282" s="7">
        <v>0.17347827663181001</v>
      </c>
      <c r="AN282" s="7">
        <v>0.427780522693886</v>
      </c>
      <c r="AO282" s="7">
        <v>0.25988209297486797</v>
      </c>
      <c r="AP282" s="7">
        <v>0.181043522531148</v>
      </c>
      <c r="AQ282" s="9">
        <v>233839</v>
      </c>
    </row>
    <row r="283" spans="1:43" ht="15">
      <c r="A283" s="2" t="s">
        <v>997</v>
      </c>
      <c r="B283" s="5">
        <v>4165572</v>
      </c>
      <c r="C283" s="2" t="s">
        <v>23</v>
      </c>
      <c r="D283" s="2" t="s">
        <v>998</v>
      </c>
      <c r="E283" s="2" t="s">
        <v>999</v>
      </c>
      <c r="F283" s="2" t="s">
        <v>26</v>
      </c>
      <c r="G283" s="2" t="s">
        <v>26</v>
      </c>
      <c r="H283" s="2" t="s">
        <v>27</v>
      </c>
      <c r="I283" s="2" t="s">
        <v>40</v>
      </c>
      <c r="J283" s="10">
        <v>38117</v>
      </c>
      <c r="K283" s="2" t="s">
        <v>240</v>
      </c>
      <c r="L283" s="2" t="s">
        <v>30</v>
      </c>
      <c r="M283" s="2" t="s">
        <v>31</v>
      </c>
      <c r="N283" s="2" t="s">
        <v>241</v>
      </c>
      <c r="O283" s="2" t="s">
        <v>240</v>
      </c>
      <c r="P283" s="7">
        <v>6349.5514169410899</v>
      </c>
      <c r="Q283" s="8">
        <v>12438.954368233701</v>
      </c>
      <c r="R283" s="9">
        <v>1852944</v>
      </c>
      <c r="S283" s="2" t="s">
        <v>1000</v>
      </c>
      <c r="T283" s="9">
        <v>3120201</v>
      </c>
      <c r="U283" s="9">
        <v>3932237</v>
      </c>
      <c r="V283" s="9">
        <v>3091318</v>
      </c>
      <c r="W283" s="9">
        <v>3561698</v>
      </c>
      <c r="X283" s="9">
        <v>3555062</v>
      </c>
      <c r="Y283" s="9">
        <v>3344881</v>
      </c>
      <c r="Z283" s="9">
        <v>3513504</v>
      </c>
      <c r="AA283" s="9">
        <v>4029623</v>
      </c>
      <c r="AB283" s="9">
        <v>4086600</v>
      </c>
      <c r="AC283" s="9">
        <v>3110760</v>
      </c>
      <c r="AD283" s="9">
        <v>3280995</v>
      </c>
      <c r="AE283" s="7">
        <v>0.33640828108267501</v>
      </c>
      <c r="AF283" s="7">
        <v>0.56648315873543997</v>
      </c>
      <c r="AG283" s="7">
        <v>0.71391123047290095</v>
      </c>
      <c r="AH283" s="7">
        <v>0.56123942425748796</v>
      </c>
      <c r="AI283" s="7">
        <v>0.64663855644914403</v>
      </c>
      <c r="AJ283" s="7">
        <v>0.64543376775176098</v>
      </c>
      <c r="AK283" s="7">
        <v>0.60727471689511703</v>
      </c>
      <c r="AL283" s="7">
        <v>0.63788871483160103</v>
      </c>
      <c r="AM283" s="7">
        <v>0.73159195178101499</v>
      </c>
      <c r="AN283" s="7">
        <v>0.74193630266307298</v>
      </c>
      <c r="AO283" s="7">
        <v>0.56476925698422997</v>
      </c>
      <c r="AP283" s="7">
        <v>0.59567587700512203</v>
      </c>
      <c r="AQ283" s="9">
        <v>1675943</v>
      </c>
    </row>
    <row r="284" spans="1:43" ht="15">
      <c r="A284" s="2" t="s">
        <v>1001</v>
      </c>
      <c r="B284" s="5">
        <v>9946659</v>
      </c>
      <c r="C284" s="2" t="s">
        <v>23</v>
      </c>
      <c r="D284" s="2" t="s">
        <v>1002</v>
      </c>
      <c r="E284" s="2" t="s">
        <v>1003</v>
      </c>
      <c r="F284" s="2" t="s">
        <v>26</v>
      </c>
      <c r="G284" s="2" t="s">
        <v>26</v>
      </c>
      <c r="H284" s="2" t="s">
        <v>27</v>
      </c>
      <c r="I284" s="2" t="s">
        <v>40</v>
      </c>
      <c r="J284" s="10">
        <v>43643</v>
      </c>
      <c r="K284" s="2" t="s">
        <v>443</v>
      </c>
      <c r="L284" s="2" t="s">
        <v>99</v>
      </c>
      <c r="M284" s="2" t="s">
        <v>100</v>
      </c>
      <c r="N284" s="2" t="s">
        <v>443</v>
      </c>
      <c r="O284" s="2"/>
      <c r="P284" s="7">
        <v>4317.5060852217002</v>
      </c>
      <c r="Q284" s="8">
        <v>5100.7293656193297</v>
      </c>
      <c r="R284" s="9">
        <v>646560</v>
      </c>
      <c r="S284" s="2" t="s">
        <v>1004</v>
      </c>
      <c r="T284" s="9">
        <v>394365</v>
      </c>
      <c r="U284" s="9">
        <v>271693</v>
      </c>
      <c r="V284" s="9">
        <v>566019</v>
      </c>
      <c r="W284" s="9">
        <v>548510</v>
      </c>
      <c r="X284" s="9">
        <v>546767</v>
      </c>
      <c r="Y284" s="9">
        <v>549387</v>
      </c>
      <c r="Z284" s="9">
        <v>566914</v>
      </c>
      <c r="AA284" s="9">
        <v>827089</v>
      </c>
      <c r="AB284" s="9">
        <v>291778</v>
      </c>
      <c r="AC284" s="9">
        <v>563088</v>
      </c>
      <c r="AD284" s="9">
        <v>555602</v>
      </c>
      <c r="AE284" s="7">
        <v>0.18951466189666899</v>
      </c>
      <c r="AF284" s="7">
        <v>0.11559311814421799</v>
      </c>
      <c r="AG284" s="7">
        <v>0.079636426735723201</v>
      </c>
      <c r="AH284" s="7">
        <v>0.16590707542057101</v>
      </c>
      <c r="AI284" s="7">
        <v>0.160775075574</v>
      </c>
      <c r="AJ284" s="7">
        <v>0.16026396958398001</v>
      </c>
      <c r="AK284" s="7">
        <v>0.16103195587888999</v>
      </c>
      <c r="AL284" s="7">
        <v>0.166169416233131</v>
      </c>
      <c r="AM284" s="7">
        <v>0.24242993941959301</v>
      </c>
      <c r="AN284" s="7">
        <v>0.085523806283160406</v>
      </c>
      <c r="AO284" s="7">
        <v>0.16504810116249299</v>
      </c>
      <c r="AP284" s="7">
        <v>0.16285387763650599</v>
      </c>
      <c r="AQ284" s="9">
        <v>132114</v>
      </c>
    </row>
    <row r="285" spans="1:43" ht="15">
      <c r="A285" s="2" t="s">
        <v>1005</v>
      </c>
      <c r="B285" s="5">
        <v>7047919</v>
      </c>
      <c r="C285" s="2" t="s">
        <v>46</v>
      </c>
      <c r="D285" s="2" t="s">
        <v>1006</v>
      </c>
      <c r="E285" s="2" t="s">
        <v>1007</v>
      </c>
      <c r="F285" s="2" t="s">
        <v>49</v>
      </c>
      <c r="G285" s="2" t="s">
        <v>49</v>
      </c>
      <c r="H285" s="2" t="s">
        <v>50</v>
      </c>
      <c r="I285" s="2" t="s">
        <v>28</v>
      </c>
      <c r="J285" s="6"/>
      <c r="K285" s="2" t="s">
        <v>211</v>
      </c>
      <c r="L285" s="2" t="s">
        <v>30</v>
      </c>
      <c r="M285" s="2" t="s">
        <v>189</v>
      </c>
      <c r="N285" s="2" t="s">
        <v>211</v>
      </c>
      <c r="O285" s="2"/>
      <c r="P285" s="7">
        <v>2.06121399527022</v>
      </c>
      <c r="Q285" s="8">
        <v>2.2316252112102202</v>
      </c>
      <c r="R285" s="9">
        <v>0</v>
      </c>
      <c r="S285" s="2" t="s">
        <v>1008</v>
      </c>
      <c r="T285" s="9">
        <v>0</v>
      </c>
      <c r="U285" s="9">
        <v>0</v>
      </c>
      <c r="V285" s="9">
        <v>0</v>
      </c>
      <c r="W285" s="9">
        <v>0</v>
      </c>
      <c r="X285" s="9">
        <v>0</v>
      </c>
      <c r="Y285" s="9">
        <v>0</v>
      </c>
      <c r="Z285" s="9">
        <v>0</v>
      </c>
      <c r="AA285" s="9">
        <v>0</v>
      </c>
      <c r="AB285" s="9">
        <v>0</v>
      </c>
      <c r="AC285" s="9">
        <v>0</v>
      </c>
      <c r="AD285" s="9">
        <v>0</v>
      </c>
      <c r="AE285" s="7">
        <v>0</v>
      </c>
      <c r="AF285" s="7">
        <v>0</v>
      </c>
      <c r="AG285" s="7">
        <v>0</v>
      </c>
      <c r="AH285" s="7">
        <v>0</v>
      </c>
      <c r="AI285" s="7">
        <v>0</v>
      </c>
      <c r="AJ285" s="7">
        <v>0</v>
      </c>
      <c r="AK285" s="7">
        <v>0</v>
      </c>
      <c r="AL285" s="7">
        <v>0</v>
      </c>
      <c r="AM285" s="7">
        <v>0</v>
      </c>
      <c r="AN285" s="7">
        <v>0</v>
      </c>
      <c r="AO285" s="7">
        <v>0</v>
      </c>
      <c r="AP285" s="7">
        <v>0</v>
      </c>
      <c r="AQ285" s="9">
        <v>0</v>
      </c>
    </row>
    <row r="286" spans="1:43" ht="15">
      <c r="A286" s="2" t="s">
        <v>1009</v>
      </c>
      <c r="B286" s="5">
        <v>4910844</v>
      </c>
      <c r="C286" s="2" t="s">
        <v>46</v>
      </c>
      <c r="D286" s="2" t="s">
        <v>1010</v>
      </c>
      <c r="E286" s="2" t="s">
        <v>1011</v>
      </c>
      <c r="F286" s="2" t="s">
        <v>49</v>
      </c>
      <c r="G286" s="2" t="s">
        <v>49</v>
      </c>
      <c r="H286" s="2" t="s">
        <v>50</v>
      </c>
      <c r="I286" s="2" t="s">
        <v>40</v>
      </c>
      <c r="J286" s="6"/>
      <c r="K286" s="2" t="s">
        <v>1012</v>
      </c>
      <c r="L286" s="2" t="s">
        <v>30</v>
      </c>
      <c r="M286" s="2" t="s">
        <v>189</v>
      </c>
      <c r="N286" s="2" t="s">
        <v>1013</v>
      </c>
      <c r="O286" s="2" t="s">
        <v>1012</v>
      </c>
      <c r="P286" s="7">
        <v>1608.5887564903201</v>
      </c>
      <c r="Q286" s="8">
        <v>1555.32806522703</v>
      </c>
      <c r="R286" s="9">
        <v>0</v>
      </c>
      <c r="S286" s="2" t="s">
        <v>1014</v>
      </c>
      <c r="T286" s="9">
        <v>1</v>
      </c>
      <c r="U286" s="9">
        <v>9</v>
      </c>
      <c r="V286" s="9">
        <v>54</v>
      </c>
      <c r="W286" s="9">
        <v>152</v>
      </c>
      <c r="X286" s="9">
        <v>151</v>
      </c>
      <c r="Y286" s="9">
        <v>197</v>
      </c>
      <c r="Z286" s="9">
        <v>246</v>
      </c>
      <c r="AA286" s="9">
        <v>199</v>
      </c>
      <c r="AB286" s="9">
        <v>10</v>
      </c>
      <c r="AC286" s="9">
        <v>52</v>
      </c>
      <c r="AD286" s="9">
        <v>58</v>
      </c>
      <c r="AE286" s="7">
        <v>0</v>
      </c>
      <c r="AF286" s="7">
        <v>5.9237325827600803E-06</v>
      </c>
      <c r="AG286" s="7">
        <v>5.1585837908202398E-05</v>
      </c>
      <c r="AH286" s="7">
        <v>0.00031867830128817098</v>
      </c>
      <c r="AI286" s="7">
        <v>0.00089900373722859696</v>
      </c>
      <c r="AJ286" s="7">
        <v>0.00089540772227968298</v>
      </c>
      <c r="AK286" s="7">
        <v>0.0011691596209985799</v>
      </c>
      <c r="AL286" s="7">
        <v>0.0014569301812646801</v>
      </c>
      <c r="AM286" s="7">
        <v>0.0011798163812874499</v>
      </c>
      <c r="AN286" s="7">
        <v>5.89552433236599E-05</v>
      </c>
      <c r="AO286" s="7">
        <v>0.000306674549120596</v>
      </c>
      <c r="AP286" s="7">
        <v>0.000340614623508705</v>
      </c>
      <c r="AQ286" s="9">
        <v>0</v>
      </c>
    </row>
    <row r="287" spans="1:43" ht="15">
      <c r="A287" s="2" t="s">
        <v>1015</v>
      </c>
      <c r="B287" s="5">
        <v>107444243</v>
      </c>
      <c r="C287" s="2" t="s">
        <v>23</v>
      </c>
      <c r="D287" s="2" t="s">
        <v>1016</v>
      </c>
      <c r="E287" s="2" t="s">
        <v>1017</v>
      </c>
      <c r="F287" s="2" t="s">
        <v>26</v>
      </c>
      <c r="G287" s="2" t="s">
        <v>26</v>
      </c>
      <c r="H287" s="2" t="s">
        <v>27</v>
      </c>
      <c r="I287" s="2" t="s">
        <v>40</v>
      </c>
      <c r="J287" s="6"/>
      <c r="K287" s="2" t="s">
        <v>982</v>
      </c>
      <c r="L287" s="2" t="s">
        <v>217</v>
      </c>
      <c r="M287" s="2" t="s">
        <v>218</v>
      </c>
      <c r="N287" s="2" t="s">
        <v>982</v>
      </c>
      <c r="O287" s="2"/>
      <c r="P287" s="7">
        <v>277.44980021655903</v>
      </c>
      <c r="Q287" s="8">
        <v>1043.02313230864</v>
      </c>
      <c r="R287" s="9">
        <v>600</v>
      </c>
      <c r="S287" s="2" t="s">
        <v>1018</v>
      </c>
      <c r="T287" s="9">
        <v>200</v>
      </c>
      <c r="U287" s="9">
        <v>6101</v>
      </c>
      <c r="V287" s="9">
        <v>11590</v>
      </c>
      <c r="W287" s="9">
        <v>18834</v>
      </c>
      <c r="X287" s="9">
        <v>18759</v>
      </c>
      <c r="Y287" s="9">
        <v>14233</v>
      </c>
      <c r="Z287" s="9">
        <v>13621</v>
      </c>
      <c r="AA287" s="9">
        <v>11971</v>
      </c>
      <c r="AB287" s="9">
        <v>6375</v>
      </c>
      <c r="AC287" s="9">
        <v>11918</v>
      </c>
      <c r="AD287" s="9">
        <v>17487</v>
      </c>
      <c r="AE287" s="7">
        <v>0.000148522432525966</v>
      </c>
      <c r="AF287" s="7">
        <v>4.9507477508655201E-05</v>
      </c>
      <c r="AG287" s="7">
        <v>0.00151019465922808</v>
      </c>
      <c r="AH287" s="7">
        <v>0.00286902794151681</v>
      </c>
      <c r="AI287" s="7">
        <v>0.00466207342719156</v>
      </c>
      <c r="AJ287" s="7">
        <v>0.0046434845424557997</v>
      </c>
      <c r="AK287" s="7">
        <v>0.0035231393712618101</v>
      </c>
      <c r="AL287" s="7">
        <v>0.00337169016474924</v>
      </c>
      <c r="AM287" s="7">
        <v>0.00296338868344919</v>
      </c>
      <c r="AN287" s="7">
        <v>0.0015779683331258699</v>
      </c>
      <c r="AO287" s="7">
        <v>0.0029501708746905598</v>
      </c>
      <c r="AP287" s="7">
        <v>0.0043287441877776396</v>
      </c>
      <c r="AQ287" s="9">
        <v>0</v>
      </c>
    </row>
    <row r="288" spans="1:43" ht="15">
      <c r="A288" s="2" t="s">
        <v>1019</v>
      </c>
      <c r="B288" s="5">
        <v>8552103</v>
      </c>
      <c r="C288" s="2" t="s">
        <v>23</v>
      </c>
      <c r="D288" s="2" t="s">
        <v>1020</v>
      </c>
      <c r="E288" s="2" t="s">
        <v>1021</v>
      </c>
      <c r="F288" s="2" t="s">
        <v>26</v>
      </c>
      <c r="G288" s="2" t="s">
        <v>26</v>
      </c>
      <c r="H288" s="2" t="s">
        <v>27</v>
      </c>
      <c r="I288" s="2" t="s">
        <v>28</v>
      </c>
      <c r="J288" s="6"/>
      <c r="K288" s="2" t="s">
        <v>55</v>
      </c>
      <c r="L288" s="2" t="s">
        <v>56</v>
      </c>
      <c r="M288" s="2" t="s">
        <v>55</v>
      </c>
      <c r="N288" s="2"/>
      <c r="O288" s="2"/>
      <c r="P288" s="6" t="s">
        <v>57</v>
      </c>
      <c r="Q288" s="6" t="s">
        <v>57</v>
      </c>
      <c r="R288" s="9">
        <v>0</v>
      </c>
      <c r="S288" s="2"/>
      <c r="T288" s="9">
        <v>0</v>
      </c>
      <c r="U288" s="9">
        <v>0</v>
      </c>
      <c r="V288" s="9">
        <v>0</v>
      </c>
      <c r="W288" s="9">
        <v>0</v>
      </c>
      <c r="X288" s="9">
        <v>0</v>
      </c>
      <c r="Y288" s="9">
        <v>249</v>
      </c>
      <c r="Z288" s="9">
        <v>166</v>
      </c>
      <c r="AA288" s="9">
        <v>636</v>
      </c>
      <c r="AB288" s="9">
        <v>0</v>
      </c>
      <c r="AC288" s="9">
        <v>0</v>
      </c>
      <c r="AD288" s="9">
        <v>0</v>
      </c>
      <c r="AE288" s="6" t="s">
        <v>57</v>
      </c>
      <c r="AF288" s="6" t="s">
        <v>57</v>
      </c>
      <c r="AG288" s="6" t="s">
        <v>57</v>
      </c>
      <c r="AH288" s="6" t="s">
        <v>57</v>
      </c>
      <c r="AI288" s="6" t="s">
        <v>57</v>
      </c>
      <c r="AJ288" s="6" t="s">
        <v>57</v>
      </c>
      <c r="AK288" s="6" t="s">
        <v>57</v>
      </c>
      <c r="AL288" s="6" t="s">
        <v>57</v>
      </c>
      <c r="AM288" s="6" t="s">
        <v>57</v>
      </c>
      <c r="AN288" s="6" t="s">
        <v>57</v>
      </c>
      <c r="AO288" s="6" t="s">
        <v>57</v>
      </c>
      <c r="AP288" s="6" t="s">
        <v>57</v>
      </c>
      <c r="AQ288" s="9">
        <v>0</v>
      </c>
    </row>
    <row r="289" spans="1:43" ht="15">
      <c r="A289" s="2" t="s">
        <v>1022</v>
      </c>
      <c r="B289" s="5">
        <v>8552101</v>
      </c>
      <c r="C289" s="2" t="s">
        <v>23</v>
      </c>
      <c r="D289" s="2" t="s">
        <v>1023</v>
      </c>
      <c r="E289" s="2" t="s">
        <v>1024</v>
      </c>
      <c r="F289" s="2" t="s">
        <v>26</v>
      </c>
      <c r="G289" s="2" t="s">
        <v>26</v>
      </c>
      <c r="H289" s="2" t="s">
        <v>27</v>
      </c>
      <c r="I289" s="2" t="s">
        <v>28</v>
      </c>
      <c r="J289" s="6"/>
      <c r="K289" s="2" t="s">
        <v>55</v>
      </c>
      <c r="L289" s="2" t="s">
        <v>56</v>
      </c>
      <c r="M289" s="2" t="s">
        <v>55</v>
      </c>
      <c r="N289" s="2"/>
      <c r="O289" s="2"/>
      <c r="P289" s="7">
        <v>5.2556672061899201</v>
      </c>
      <c r="Q289" s="6" t="s">
        <v>57</v>
      </c>
      <c r="R289" s="9">
        <v>0</v>
      </c>
      <c r="S289" s="2"/>
      <c r="T289" s="9">
        <v>0</v>
      </c>
      <c r="U289" s="9">
        <v>0</v>
      </c>
      <c r="V289" s="9">
        <v>0</v>
      </c>
      <c r="W289" s="9">
        <v>413</v>
      </c>
      <c r="X289" s="9">
        <v>412</v>
      </c>
      <c r="Y289" s="9">
        <v>654</v>
      </c>
      <c r="Z289" s="9">
        <v>963</v>
      </c>
      <c r="AA289" s="9">
        <v>2027</v>
      </c>
      <c r="AB289" s="9">
        <v>0</v>
      </c>
      <c r="AC289" s="9">
        <v>0</v>
      </c>
      <c r="AD289" s="9">
        <v>50</v>
      </c>
      <c r="AE289" s="6" t="s">
        <v>57</v>
      </c>
      <c r="AF289" s="6" t="s">
        <v>57</v>
      </c>
      <c r="AG289" s="6" t="s">
        <v>57</v>
      </c>
      <c r="AH289" s="6" t="s">
        <v>57</v>
      </c>
      <c r="AI289" s="6" t="s">
        <v>57</v>
      </c>
      <c r="AJ289" s="6" t="s">
        <v>57</v>
      </c>
      <c r="AK289" s="6" t="s">
        <v>57</v>
      </c>
      <c r="AL289" s="6" t="s">
        <v>57</v>
      </c>
      <c r="AM289" s="6" t="s">
        <v>57</v>
      </c>
      <c r="AN289" s="6" t="s">
        <v>57</v>
      </c>
      <c r="AO289" s="6" t="s">
        <v>57</v>
      </c>
      <c r="AP289" s="6" t="s">
        <v>57</v>
      </c>
      <c r="AQ289" s="9">
        <v>0</v>
      </c>
    </row>
    <row r="290" spans="1:43" ht="15">
      <c r="A290" s="2" t="s">
        <v>1025</v>
      </c>
      <c r="B290" s="5">
        <v>5738056</v>
      </c>
      <c r="C290" s="2" t="s">
        <v>23</v>
      </c>
      <c r="D290" s="2" t="s">
        <v>1026</v>
      </c>
      <c r="E290" s="2" t="s">
        <v>1027</v>
      </c>
      <c r="F290" s="2" t="s">
        <v>26</v>
      </c>
      <c r="G290" s="2" t="s">
        <v>26</v>
      </c>
      <c r="H290" s="2" t="s">
        <v>27</v>
      </c>
      <c r="I290" s="2" t="s">
        <v>28</v>
      </c>
      <c r="J290" s="6"/>
      <c r="K290" s="2" t="s">
        <v>55</v>
      </c>
      <c r="L290" s="2" t="s">
        <v>56</v>
      </c>
      <c r="M290" s="2" t="s">
        <v>55</v>
      </c>
      <c r="N290" s="2"/>
      <c r="O290" s="2"/>
      <c r="P290" s="7">
        <v>18.993643113044101</v>
      </c>
      <c r="Q290" s="6" t="s">
        <v>57</v>
      </c>
      <c r="R290" s="9">
        <v>0</v>
      </c>
      <c r="S290" s="2"/>
      <c r="T290" s="9">
        <v>1981</v>
      </c>
      <c r="U290" s="9">
        <v>7279</v>
      </c>
      <c r="V290" s="9">
        <v>4499</v>
      </c>
      <c r="W290" s="9">
        <v>15300</v>
      </c>
      <c r="X290" s="9">
        <v>15238</v>
      </c>
      <c r="Y290" s="9">
        <v>15848</v>
      </c>
      <c r="Z290" s="9">
        <v>17173</v>
      </c>
      <c r="AA290" s="9">
        <v>16929</v>
      </c>
      <c r="AB290" s="9">
        <v>6123</v>
      </c>
      <c r="AC290" s="9">
        <v>4169</v>
      </c>
      <c r="AD290" s="9">
        <v>12135</v>
      </c>
      <c r="AE290" s="6" t="s">
        <v>57</v>
      </c>
      <c r="AF290" s="6" t="s">
        <v>57</v>
      </c>
      <c r="AG290" s="6" t="s">
        <v>57</v>
      </c>
      <c r="AH290" s="6" t="s">
        <v>57</v>
      </c>
      <c r="AI290" s="6" t="s">
        <v>57</v>
      </c>
      <c r="AJ290" s="6" t="s">
        <v>57</v>
      </c>
      <c r="AK290" s="6" t="s">
        <v>57</v>
      </c>
      <c r="AL290" s="6" t="s">
        <v>57</v>
      </c>
      <c r="AM290" s="6" t="s">
        <v>57</v>
      </c>
      <c r="AN290" s="6" t="s">
        <v>57</v>
      </c>
      <c r="AO290" s="6" t="s">
        <v>57</v>
      </c>
      <c r="AP290" s="6" t="s">
        <v>57</v>
      </c>
      <c r="AQ290" s="9">
        <v>0</v>
      </c>
    </row>
    <row r="291" spans="1:43" ht="15">
      <c r="A291" s="2" t="s">
        <v>1028</v>
      </c>
      <c r="B291" s="5">
        <v>5736925</v>
      </c>
      <c r="C291" s="2" t="s">
        <v>23</v>
      </c>
      <c r="D291" s="2" t="s">
        <v>1029</v>
      </c>
      <c r="E291" s="2" t="s">
        <v>1030</v>
      </c>
      <c r="F291" s="2" t="s">
        <v>26</v>
      </c>
      <c r="G291" s="2" t="s">
        <v>26</v>
      </c>
      <c r="H291" s="2" t="s">
        <v>27</v>
      </c>
      <c r="I291" s="2" t="s">
        <v>28</v>
      </c>
      <c r="J291" s="6"/>
      <c r="K291" s="2" t="s">
        <v>55</v>
      </c>
      <c r="L291" s="2" t="s">
        <v>56</v>
      </c>
      <c r="M291" s="2" t="s">
        <v>55</v>
      </c>
      <c r="N291" s="2"/>
      <c r="O291" s="2"/>
      <c r="P291" s="7">
        <v>61.145646791417803</v>
      </c>
      <c r="Q291" s="6" t="s">
        <v>57</v>
      </c>
      <c r="R291" s="9">
        <v>448</v>
      </c>
      <c r="S291" s="2"/>
      <c r="T291" s="9">
        <v>1371</v>
      </c>
      <c r="U291" s="9">
        <v>946</v>
      </c>
      <c r="V291" s="9">
        <v>1116</v>
      </c>
      <c r="W291" s="9">
        <v>1451</v>
      </c>
      <c r="X291" s="9">
        <v>1456</v>
      </c>
      <c r="Y291" s="9">
        <v>1394</v>
      </c>
      <c r="Z291" s="9">
        <v>1305</v>
      </c>
      <c r="AA291" s="9">
        <v>1096</v>
      </c>
      <c r="AB291" s="9">
        <v>714</v>
      </c>
      <c r="AC291" s="9">
        <v>1150</v>
      </c>
      <c r="AD291" s="9">
        <v>1094</v>
      </c>
      <c r="AE291" s="6" t="s">
        <v>57</v>
      </c>
      <c r="AF291" s="6" t="s">
        <v>57</v>
      </c>
      <c r="AG291" s="6" t="s">
        <v>57</v>
      </c>
      <c r="AH291" s="6" t="s">
        <v>57</v>
      </c>
      <c r="AI291" s="6" t="s">
        <v>57</v>
      </c>
      <c r="AJ291" s="6" t="s">
        <v>57</v>
      </c>
      <c r="AK291" s="6" t="s">
        <v>57</v>
      </c>
      <c r="AL291" s="6" t="s">
        <v>57</v>
      </c>
      <c r="AM291" s="6" t="s">
        <v>57</v>
      </c>
      <c r="AN291" s="6" t="s">
        <v>57</v>
      </c>
      <c r="AO291" s="6" t="s">
        <v>57</v>
      </c>
      <c r="AP291" s="6" t="s">
        <v>57</v>
      </c>
      <c r="AQ291" s="9">
        <v>0</v>
      </c>
    </row>
    <row r="292" spans="1:43" ht="15">
      <c r="A292" s="2" t="s">
        <v>1031</v>
      </c>
      <c r="B292" s="5">
        <v>5730230</v>
      </c>
      <c r="C292" s="2" t="s">
        <v>23</v>
      </c>
      <c r="D292" s="2" t="s">
        <v>1032</v>
      </c>
      <c r="E292" s="2" t="s">
        <v>1033</v>
      </c>
      <c r="F292" s="2" t="s">
        <v>26</v>
      </c>
      <c r="G292" s="2" t="s">
        <v>26</v>
      </c>
      <c r="H292" s="2" t="s">
        <v>27</v>
      </c>
      <c r="I292" s="2" t="s">
        <v>28</v>
      </c>
      <c r="J292" s="6"/>
      <c r="K292" s="2" t="s">
        <v>55</v>
      </c>
      <c r="L292" s="2" t="s">
        <v>56</v>
      </c>
      <c r="M292" s="2" t="s">
        <v>55</v>
      </c>
      <c r="N292" s="2"/>
      <c r="O292" s="2"/>
      <c r="P292" s="7">
        <v>184.91771304308901</v>
      </c>
      <c r="Q292" s="6" t="s">
        <v>57</v>
      </c>
      <c r="R292" s="9">
        <v>0</v>
      </c>
      <c r="S292" s="2" t="s">
        <v>1034</v>
      </c>
      <c r="T292" s="9">
        <v>0</v>
      </c>
      <c r="U292" s="9">
        <v>0</v>
      </c>
      <c r="V292" s="9">
        <v>0</v>
      </c>
      <c r="W292" s="9">
        <v>1</v>
      </c>
      <c r="X292" s="9">
        <v>1</v>
      </c>
      <c r="Y292" s="9">
        <v>1</v>
      </c>
      <c r="Z292" s="9">
        <v>1</v>
      </c>
      <c r="AA292" s="9">
        <v>29</v>
      </c>
      <c r="AB292" s="9">
        <v>0</v>
      </c>
      <c r="AC292" s="9">
        <v>0</v>
      </c>
      <c r="AD292" s="9">
        <v>0</v>
      </c>
      <c r="AE292" s="6" t="s">
        <v>57</v>
      </c>
      <c r="AF292" s="6" t="s">
        <v>57</v>
      </c>
      <c r="AG292" s="6" t="s">
        <v>57</v>
      </c>
      <c r="AH292" s="6" t="s">
        <v>57</v>
      </c>
      <c r="AI292" s="6" t="s">
        <v>57</v>
      </c>
      <c r="AJ292" s="6" t="s">
        <v>57</v>
      </c>
      <c r="AK292" s="6" t="s">
        <v>57</v>
      </c>
      <c r="AL292" s="6" t="s">
        <v>57</v>
      </c>
      <c r="AM292" s="6" t="s">
        <v>57</v>
      </c>
      <c r="AN292" s="6" t="s">
        <v>57</v>
      </c>
      <c r="AO292" s="6" t="s">
        <v>57</v>
      </c>
      <c r="AP292" s="6" t="s">
        <v>57</v>
      </c>
      <c r="AQ292" s="9">
        <v>0</v>
      </c>
    </row>
    <row r="293" spans="1:43" ht="15">
      <c r="A293" s="2" t="s">
        <v>1035</v>
      </c>
      <c r="B293" s="5">
        <v>4575360</v>
      </c>
      <c r="C293" s="2" t="s">
        <v>23</v>
      </c>
      <c r="D293" s="2" t="s">
        <v>1036</v>
      </c>
      <c r="E293" s="2" t="s">
        <v>1037</v>
      </c>
      <c r="F293" s="2" t="s">
        <v>26</v>
      </c>
      <c r="G293" s="2" t="s">
        <v>26</v>
      </c>
      <c r="H293" s="2" t="s">
        <v>27</v>
      </c>
      <c r="I293" s="2" t="s">
        <v>40</v>
      </c>
      <c r="J293" s="6"/>
      <c r="K293" s="2" t="s">
        <v>41</v>
      </c>
      <c r="L293" s="2" t="s">
        <v>42</v>
      </c>
      <c r="M293" s="2" t="s">
        <v>43</v>
      </c>
      <c r="N293" s="2" t="s">
        <v>41</v>
      </c>
      <c r="O293" s="2"/>
      <c r="P293" s="7">
        <v>72.290803878910097</v>
      </c>
      <c r="Q293" s="8">
        <v>320.00969776539199</v>
      </c>
      <c r="R293" s="9">
        <v>40462</v>
      </c>
      <c r="S293" s="2" t="s">
        <v>1038</v>
      </c>
      <c r="T293" s="9">
        <v>32677</v>
      </c>
      <c r="U293" s="9">
        <v>30322</v>
      </c>
      <c r="V293" s="9">
        <v>38477</v>
      </c>
      <c r="W293" s="9">
        <v>190516</v>
      </c>
      <c r="X293" s="9">
        <v>189876</v>
      </c>
      <c r="Y293" s="9">
        <v>144929</v>
      </c>
      <c r="Z293" s="9">
        <v>132707</v>
      </c>
      <c r="AA293" s="9">
        <v>113167</v>
      </c>
      <c r="AB293" s="9">
        <v>34340</v>
      </c>
      <c r="AC293" s="9">
        <v>34284</v>
      </c>
      <c r="AD293" s="9">
        <v>196966</v>
      </c>
      <c r="AE293" s="7">
        <v>0.017657799430959398</v>
      </c>
      <c r="AF293" s="7">
        <v>0.014260493778997</v>
      </c>
      <c r="AG293" s="7">
        <v>0.013232821184225699</v>
      </c>
      <c r="AH293" s="7">
        <v>0.016791648506886699</v>
      </c>
      <c r="AI293" s="7">
        <v>0.083143273049987906</v>
      </c>
      <c r="AJ293" s="7">
        <v>0.082863882614630902</v>
      </c>
      <c r="AK293" s="7">
        <v>0.063248355624319796</v>
      </c>
      <c r="AL293" s="7">
        <v>0.057914534213999898</v>
      </c>
      <c r="AM293" s="7">
        <v>0.049386991321018203</v>
      </c>
      <c r="AN293" s="7">
        <v>0.014986233062757801</v>
      </c>
      <c r="AO293" s="7">
        <v>0.014961769919780101</v>
      </c>
      <c r="AP293" s="7">
        <v>0.0859580333001254</v>
      </c>
      <c r="AQ293" s="9">
        <v>70123</v>
      </c>
    </row>
    <row r="294" spans="1:43" ht="15">
      <c r="A294" s="2" t="s">
        <v>1039</v>
      </c>
      <c r="B294" s="5">
        <v>4812768</v>
      </c>
      <c r="C294" s="2" t="s">
        <v>35</v>
      </c>
      <c r="D294" s="2" t="s">
        <v>1040</v>
      </c>
      <c r="E294" s="2" t="s">
        <v>1041</v>
      </c>
      <c r="F294" s="2" t="s">
        <v>38</v>
      </c>
      <c r="G294" s="2" t="s">
        <v>38</v>
      </c>
      <c r="H294" s="2" t="s">
        <v>39</v>
      </c>
      <c r="I294" s="2" t="s">
        <v>28</v>
      </c>
      <c r="J294" s="6"/>
      <c r="K294" s="2" t="s">
        <v>1042</v>
      </c>
      <c r="L294" s="2" t="s">
        <v>608</v>
      </c>
      <c r="M294" s="2" t="s">
        <v>1043</v>
      </c>
      <c r="N294" s="2" t="s">
        <v>1042</v>
      </c>
      <c r="O294" s="2"/>
      <c r="P294" s="7">
        <v>26.406740804256</v>
      </c>
      <c r="Q294" s="8">
        <v>-53.222821534818003</v>
      </c>
      <c r="R294" s="9">
        <v>0</v>
      </c>
      <c r="S294" s="2" t="s">
        <v>1044</v>
      </c>
      <c r="T294" s="9">
        <v>0</v>
      </c>
      <c r="U294" s="9">
        <v>0</v>
      </c>
      <c r="V294" s="9">
        <v>0</v>
      </c>
      <c r="W294" s="9">
        <v>0</v>
      </c>
      <c r="X294" s="9">
        <v>0</v>
      </c>
      <c r="Y294" s="9">
        <v>1</v>
      </c>
      <c r="Z294" s="9">
        <v>0</v>
      </c>
      <c r="AA294" s="9">
        <v>3</v>
      </c>
      <c r="AB294" s="9">
        <v>0</v>
      </c>
      <c r="AC294" s="9">
        <v>0</v>
      </c>
      <c r="AD294" s="9">
        <v>0</v>
      </c>
      <c r="AE294" s="7">
        <v>0</v>
      </c>
      <c r="AF294" s="7">
        <v>0</v>
      </c>
      <c r="AG294" s="7">
        <v>0</v>
      </c>
      <c r="AH294" s="7">
        <v>0</v>
      </c>
      <c r="AI294" s="7">
        <v>0</v>
      </c>
      <c r="AJ294" s="7">
        <v>0</v>
      </c>
      <c r="AK294" s="7">
        <v>2.7673941828441199E-05</v>
      </c>
      <c r="AL294" s="7">
        <v>1.8487100483753799E-05</v>
      </c>
      <c r="AM294" s="7">
        <v>0.000126030223852951</v>
      </c>
      <c r="AN294" s="7">
        <v>0</v>
      </c>
      <c r="AO294" s="7">
        <v>0</v>
      </c>
      <c r="AP294" s="7">
        <v>0</v>
      </c>
      <c r="AQ294" s="9">
        <v>0</v>
      </c>
    </row>
    <row r="295" spans="1:43" ht="15">
      <c r="A295" s="2" t="s">
        <v>1045</v>
      </c>
      <c r="B295" s="5">
        <v>4810844</v>
      </c>
      <c r="C295" s="2" t="s">
        <v>23</v>
      </c>
      <c r="D295" s="2" t="s">
        <v>1046</v>
      </c>
      <c r="E295" s="2" t="s">
        <v>1047</v>
      </c>
      <c r="F295" s="2" t="s">
        <v>26</v>
      </c>
      <c r="G295" s="2" t="s">
        <v>26</v>
      </c>
      <c r="H295" s="2" t="s">
        <v>27</v>
      </c>
      <c r="I295" s="2" t="s">
        <v>40</v>
      </c>
      <c r="J295" s="6"/>
      <c r="K295" s="2" t="s">
        <v>1042</v>
      </c>
      <c r="L295" s="2" t="s">
        <v>608</v>
      </c>
      <c r="M295" s="2" t="s">
        <v>1043</v>
      </c>
      <c r="N295" s="2" t="s">
        <v>1042</v>
      </c>
      <c r="O295" s="2"/>
      <c r="P295" s="7">
        <v>186.33935161761599</v>
      </c>
      <c r="Q295" s="8">
        <v>477.55751850519999</v>
      </c>
      <c r="R295" s="9">
        <v>16535</v>
      </c>
      <c r="S295" s="2" t="s">
        <v>1048</v>
      </c>
      <c r="T295" s="9">
        <v>8364</v>
      </c>
      <c r="U295" s="9">
        <v>15988</v>
      </c>
      <c r="V295" s="9">
        <v>8565</v>
      </c>
      <c r="W295" s="9">
        <v>7016</v>
      </c>
      <c r="X295" s="9">
        <v>7011</v>
      </c>
      <c r="Y295" s="9">
        <v>7504</v>
      </c>
      <c r="Z295" s="9">
        <v>7010</v>
      </c>
      <c r="AA295" s="9">
        <v>5117</v>
      </c>
      <c r="AB295" s="9">
        <v>17422</v>
      </c>
      <c r="AC295" s="9">
        <v>8758</v>
      </c>
      <c r="AD295" s="9">
        <v>7256</v>
      </c>
      <c r="AE295" s="7">
        <v>0.54825742999065996</v>
      </c>
      <c r="AF295" s="7">
        <v>0.27732287681908302</v>
      </c>
      <c r="AG295" s="7">
        <v>0.53012033811252901</v>
      </c>
      <c r="AH295" s="7">
        <v>0.28398371275886403</v>
      </c>
      <c r="AI295" s="7">
        <v>0.232642629096207</v>
      </c>
      <c r="AJ295" s="7">
        <v>0.232456243022442</v>
      </c>
      <c r="AK295" s="7">
        <v>0.24880350810621399</v>
      </c>
      <c r="AL295" s="7">
        <v>0.23243116465781899</v>
      </c>
      <c r="AM295" s="7">
        <v>0.16967040853396301</v>
      </c>
      <c r="AN295" s="7">
        <v>0.577683823420861</v>
      </c>
      <c r="AO295" s="7">
        <v>0.29038806587507898</v>
      </c>
      <c r="AP295" s="7">
        <v>0.240579052515625</v>
      </c>
      <c r="AQ295" s="9">
        <v>5642</v>
      </c>
    </row>
    <row r="296" spans="1:43" ht="15">
      <c r="A296" s="2" t="s">
        <v>1049</v>
      </c>
      <c r="B296" s="5">
        <v>4981473</v>
      </c>
      <c r="C296" s="2" t="s">
        <v>23</v>
      </c>
      <c r="D296" s="2" t="s">
        <v>1050</v>
      </c>
      <c r="E296" s="2" t="s">
        <v>1051</v>
      </c>
      <c r="F296" s="2" t="s">
        <v>26</v>
      </c>
      <c r="G296" s="2" t="s">
        <v>26</v>
      </c>
      <c r="H296" s="2" t="s">
        <v>27</v>
      </c>
      <c r="I296" s="2" t="s">
        <v>28</v>
      </c>
      <c r="J296" s="6"/>
      <c r="K296" s="2" t="s">
        <v>1052</v>
      </c>
      <c r="L296" s="2" t="s">
        <v>30</v>
      </c>
      <c r="M296" s="2" t="s">
        <v>424</v>
      </c>
      <c r="N296" s="2" t="s">
        <v>1052</v>
      </c>
      <c r="O296" s="2"/>
      <c r="P296" s="7">
        <v>36.514440652799998</v>
      </c>
      <c r="Q296" s="8">
        <v>37.441277062255999</v>
      </c>
      <c r="R296" s="9">
        <v>0</v>
      </c>
      <c r="S296" s="2" t="s">
        <v>1053</v>
      </c>
      <c r="T296" s="9">
        <v>0</v>
      </c>
      <c r="U296" s="9">
        <v>0</v>
      </c>
      <c r="V296" s="9">
        <v>0</v>
      </c>
      <c r="W296" s="9">
        <v>0</v>
      </c>
      <c r="X296" s="9">
        <v>0</v>
      </c>
      <c r="Y296" s="9">
        <v>0</v>
      </c>
      <c r="Z296" s="9">
        <v>0</v>
      </c>
      <c r="AA296" s="9">
        <v>0</v>
      </c>
      <c r="AB296" s="9">
        <v>0</v>
      </c>
      <c r="AC296" s="9">
        <v>0</v>
      </c>
      <c r="AD296" s="9">
        <v>0</v>
      </c>
      <c r="AE296" s="7">
        <v>0</v>
      </c>
      <c r="AF296" s="7">
        <v>0.0071740128558310402</v>
      </c>
      <c r="AG296" s="7">
        <v>0.016141528925619798</v>
      </c>
      <c r="AH296" s="7">
        <v>0.018831783746556498</v>
      </c>
      <c r="AI296" s="7">
        <v>0.0129650834743934</v>
      </c>
      <c r="AJ296" s="7">
        <v>0.012913223140495899</v>
      </c>
      <c r="AK296" s="7">
        <v>0.0154161885916047</v>
      </c>
      <c r="AL296" s="7">
        <v>0.015463555860826201</v>
      </c>
      <c r="AM296" s="7">
        <v>0.014036863708276601</v>
      </c>
      <c r="AN296" s="7">
        <v>0.0163977436704709</v>
      </c>
      <c r="AO296" s="7">
        <v>0.0197579370455674</v>
      </c>
      <c r="AP296" s="7">
        <v>0.0149265751355194</v>
      </c>
      <c r="AQ296" s="9">
        <v>0</v>
      </c>
    </row>
    <row r="297" spans="1:43" ht="15">
      <c r="A297" s="2" t="s">
        <v>1054</v>
      </c>
      <c r="B297" s="5">
        <v>4981330</v>
      </c>
      <c r="C297" s="2" t="s">
        <v>23</v>
      </c>
      <c r="D297" s="2" t="s">
        <v>1055</v>
      </c>
      <c r="E297" s="2" t="s">
        <v>1056</v>
      </c>
      <c r="F297" s="2" t="s">
        <v>26</v>
      </c>
      <c r="G297" s="2" t="s">
        <v>26</v>
      </c>
      <c r="H297" s="2" t="s">
        <v>27</v>
      </c>
      <c r="I297" s="2" t="s">
        <v>28</v>
      </c>
      <c r="J297" s="6"/>
      <c r="K297" s="2" t="s">
        <v>1052</v>
      </c>
      <c r="L297" s="2" t="s">
        <v>30</v>
      </c>
      <c r="M297" s="2" t="s">
        <v>424</v>
      </c>
      <c r="N297" s="2" t="s">
        <v>1052</v>
      </c>
      <c r="O297" s="2"/>
      <c r="P297" s="7">
        <v>18.2103936</v>
      </c>
      <c r="Q297" s="8">
        <v>23.382959430351999</v>
      </c>
      <c r="R297" s="9">
        <v>0</v>
      </c>
      <c r="S297" s="2" t="s">
        <v>1057</v>
      </c>
      <c r="T297" s="9">
        <v>0</v>
      </c>
      <c r="U297" s="9">
        <v>0</v>
      </c>
      <c r="V297" s="9">
        <v>0</v>
      </c>
      <c r="W297" s="9">
        <v>0</v>
      </c>
      <c r="X297" s="9">
        <v>0</v>
      </c>
      <c r="Y297" s="9">
        <v>0</v>
      </c>
      <c r="Z297" s="9">
        <v>0</v>
      </c>
      <c r="AA297" s="9">
        <v>0</v>
      </c>
      <c r="AB297" s="9">
        <v>0</v>
      </c>
      <c r="AC297" s="9">
        <v>0</v>
      </c>
      <c r="AD297" s="9">
        <v>0</v>
      </c>
      <c r="AE297" s="7">
        <v>0</v>
      </c>
      <c r="AF297" s="7">
        <v>0.119047619047619</v>
      </c>
      <c r="AG297" s="7">
        <v>0.029761904761904798</v>
      </c>
      <c r="AH297" s="7">
        <v>0.0111607142857143</v>
      </c>
      <c r="AI297" s="7">
        <v>0.0043029259896729798</v>
      </c>
      <c r="AJ297" s="7">
        <v>0.0042857142857142903</v>
      </c>
      <c r="AK297" s="7">
        <v>0.0043115837884449603</v>
      </c>
      <c r="AL297" s="7">
        <v>0.0095748755266181502</v>
      </c>
      <c r="AM297" s="7">
        <v>0.0094664371772805508</v>
      </c>
      <c r="AN297" s="7">
        <v>0.034013605442176902</v>
      </c>
      <c r="AO297" s="7">
        <v>0.011709601873536301</v>
      </c>
      <c r="AP297" s="7">
        <v>0.0057603686635944703</v>
      </c>
      <c r="AQ297" s="9">
        <v>0</v>
      </c>
    </row>
    <row r="298" spans="1:43" ht="15">
      <c r="A298" s="2" t="s">
        <v>1058</v>
      </c>
      <c r="B298" s="5">
        <v>125260390</v>
      </c>
      <c r="C298" s="2" t="s">
        <v>23</v>
      </c>
      <c r="D298" s="2" t="s">
        <v>1059</v>
      </c>
      <c r="E298" s="2" t="s">
        <v>1060</v>
      </c>
      <c r="F298" s="2" t="s">
        <v>26</v>
      </c>
      <c r="G298" s="2"/>
      <c r="H298" s="2"/>
      <c r="I298" s="2" t="s">
        <v>28</v>
      </c>
      <c r="J298" s="6"/>
      <c r="K298" s="2" t="s">
        <v>55</v>
      </c>
      <c r="L298" s="2" t="s">
        <v>56</v>
      </c>
      <c r="M298" s="2" t="s">
        <v>55</v>
      </c>
      <c r="N298" s="2"/>
      <c r="O298" s="2"/>
      <c r="P298" s="6" t="s">
        <v>57</v>
      </c>
      <c r="Q298" s="6" t="s">
        <v>57</v>
      </c>
      <c r="R298" s="6" t="s">
        <v>57</v>
      </c>
      <c r="S298" s="2"/>
      <c r="T298" s="6" t="s">
        <v>57</v>
      </c>
      <c r="U298" s="6" t="s">
        <v>57</v>
      </c>
      <c r="V298" s="6" t="s">
        <v>57</v>
      </c>
      <c r="W298" s="6" t="s">
        <v>57</v>
      </c>
      <c r="X298" s="6" t="s">
        <v>57</v>
      </c>
      <c r="Y298" s="6" t="s">
        <v>57</v>
      </c>
      <c r="Z298" s="6" t="s">
        <v>57</v>
      </c>
      <c r="AA298" s="6" t="s">
        <v>57</v>
      </c>
      <c r="AB298" s="6" t="s">
        <v>57</v>
      </c>
      <c r="AC298" s="6" t="s">
        <v>57</v>
      </c>
      <c r="AD298" s="6" t="s">
        <v>57</v>
      </c>
      <c r="AE298" s="6" t="s">
        <v>57</v>
      </c>
      <c r="AF298" s="6" t="s">
        <v>57</v>
      </c>
      <c r="AG298" s="6" t="s">
        <v>57</v>
      </c>
      <c r="AH298" s="6" t="s">
        <v>57</v>
      </c>
      <c r="AI298" s="6" t="s">
        <v>57</v>
      </c>
      <c r="AJ298" s="6" t="s">
        <v>57</v>
      </c>
      <c r="AK298" s="6" t="s">
        <v>57</v>
      </c>
      <c r="AL298" s="6" t="s">
        <v>57</v>
      </c>
      <c r="AM298" s="6" t="s">
        <v>57</v>
      </c>
      <c r="AN298" s="6" t="s">
        <v>57</v>
      </c>
      <c r="AO298" s="6" t="s">
        <v>57</v>
      </c>
      <c r="AP298" s="6" t="s">
        <v>57</v>
      </c>
      <c r="AQ298" s="6" t="s">
        <v>57</v>
      </c>
    </row>
    <row r="299" spans="1:43" ht="15">
      <c r="A299" s="2" t="s">
        <v>1061</v>
      </c>
      <c r="B299" s="5">
        <v>4911134</v>
      </c>
      <c r="C299" s="2" t="s">
        <v>23</v>
      </c>
      <c r="D299" s="2" t="s">
        <v>1062</v>
      </c>
      <c r="E299" s="2" t="s">
        <v>1063</v>
      </c>
      <c r="F299" s="2" t="s">
        <v>26</v>
      </c>
      <c r="G299" s="2" t="s">
        <v>26</v>
      </c>
      <c r="H299" s="2" t="s">
        <v>27</v>
      </c>
      <c r="I299" s="2" t="s">
        <v>28</v>
      </c>
      <c r="J299" s="6"/>
      <c r="K299" s="2" t="s">
        <v>1064</v>
      </c>
      <c r="L299" s="2" t="s">
        <v>30</v>
      </c>
      <c r="M299" s="2" t="s">
        <v>189</v>
      </c>
      <c r="N299" s="2" t="s">
        <v>1013</v>
      </c>
      <c r="O299" s="2" t="s">
        <v>1064</v>
      </c>
      <c r="P299" s="7">
        <v>814.45072462953999</v>
      </c>
      <c r="Q299" s="8">
        <v>1014.5899657176</v>
      </c>
      <c r="R299" s="9">
        <v>0</v>
      </c>
      <c r="S299" s="2" t="s">
        <v>1065</v>
      </c>
      <c r="T299" s="9">
        <v>0</v>
      </c>
      <c r="U299" s="9">
        <v>37</v>
      </c>
      <c r="V299" s="9">
        <v>21</v>
      </c>
      <c r="W299" s="9">
        <v>73</v>
      </c>
      <c r="X299" s="9">
        <v>73</v>
      </c>
      <c r="Y299" s="9">
        <v>3629</v>
      </c>
      <c r="Z299" s="9">
        <v>2477</v>
      </c>
      <c r="AA299" s="9">
        <v>9160</v>
      </c>
      <c r="AB299" s="9">
        <v>2</v>
      </c>
      <c r="AC299" s="9">
        <v>22</v>
      </c>
      <c r="AD299" s="9">
        <v>38</v>
      </c>
      <c r="AE299" s="7">
        <v>0</v>
      </c>
      <c r="AF299" s="7">
        <v>0</v>
      </c>
      <c r="AG299" s="7">
        <v>7.5092520258294797E-05</v>
      </c>
      <c r="AH299" s="7">
        <v>4.3214424257611203E-05</v>
      </c>
      <c r="AI299" s="7">
        <v>0.00014844541373271099</v>
      </c>
      <c r="AJ299" s="7">
        <v>0.00014907084139648</v>
      </c>
      <c r="AK299" s="7">
        <v>0.0074233791806456503</v>
      </c>
      <c r="AL299" s="7">
        <v>0.0050675683869553702</v>
      </c>
      <c r="AM299" s="7">
        <v>0.018738641912236599</v>
      </c>
      <c r="AN299" s="7">
        <v>4.7731908450221398E-06</v>
      </c>
      <c r="AO299" s="7">
        <v>4.4970835525817497E-05</v>
      </c>
      <c r="AP299" s="7">
        <v>7.82792300448044E-05</v>
      </c>
      <c r="AQ299" s="9">
        <v>0</v>
      </c>
    </row>
    <row r="300" spans="1:43" ht="15">
      <c r="A300" s="2" t="s">
        <v>1066</v>
      </c>
      <c r="B300" s="5">
        <v>4524969</v>
      </c>
      <c r="C300" s="2" t="s">
        <v>23</v>
      </c>
      <c r="D300" s="2" t="s">
        <v>1067</v>
      </c>
      <c r="E300" s="2" t="s">
        <v>1068</v>
      </c>
      <c r="F300" s="2" t="s">
        <v>26</v>
      </c>
      <c r="G300" s="2" t="s">
        <v>26</v>
      </c>
      <c r="H300" s="2" t="s">
        <v>27</v>
      </c>
      <c r="I300" s="2" t="s">
        <v>28</v>
      </c>
      <c r="J300" s="6"/>
      <c r="K300" s="2" t="s">
        <v>1069</v>
      </c>
      <c r="L300" s="2" t="s">
        <v>217</v>
      </c>
      <c r="M300" s="2" t="s">
        <v>1069</v>
      </c>
      <c r="N300" s="2"/>
      <c r="O300" s="2"/>
      <c r="P300" s="7">
        <v>2484.3931842665302</v>
      </c>
      <c r="Q300" s="8">
        <v>4136.7474440758897</v>
      </c>
      <c r="R300" s="9">
        <v>3616436</v>
      </c>
      <c r="S300" s="2" t="s">
        <v>1070</v>
      </c>
      <c r="T300" s="9">
        <v>4435802</v>
      </c>
      <c r="U300" s="9">
        <v>12663428</v>
      </c>
      <c r="V300" s="9">
        <v>12871693</v>
      </c>
      <c r="W300" s="9">
        <v>11705562</v>
      </c>
      <c r="X300" s="9">
        <v>11670877</v>
      </c>
      <c r="Y300" s="9">
        <v>12202620</v>
      </c>
      <c r="Z300" s="9">
        <v>12893857</v>
      </c>
      <c r="AA300" s="9">
        <v>17453542</v>
      </c>
      <c r="AB300" s="9">
        <v>13455851</v>
      </c>
      <c r="AC300" s="9">
        <v>13107575</v>
      </c>
      <c r="AD300" s="9">
        <v>12856114</v>
      </c>
      <c r="AE300" s="7">
        <v>0.103113620881815</v>
      </c>
      <c r="AF300" s="7">
        <v>0.12647580429657701</v>
      </c>
      <c r="AG300" s="7">
        <v>0.36106599901216402</v>
      </c>
      <c r="AH300" s="7">
        <v>0.36700417226335702</v>
      </c>
      <c r="AI300" s="7">
        <v>0.33375485098158603</v>
      </c>
      <c r="AJ300" s="7">
        <v>0.33276590616458801</v>
      </c>
      <c r="AK300" s="7">
        <v>0.347927221447557</v>
      </c>
      <c r="AL300" s="7">
        <v>0.367636121487043</v>
      </c>
      <c r="AM300" s="7">
        <v>0.497644138059117</v>
      </c>
      <c r="AN300" s="7">
        <v>0.383659966717604</v>
      </c>
      <c r="AO300" s="7">
        <v>0.37372975630530703</v>
      </c>
      <c r="AP300" s="7">
        <v>0.36655995249865297</v>
      </c>
      <c r="AQ300" s="9">
        <v>4108442</v>
      </c>
    </row>
    <row r="301" spans="1:43" ht="15">
      <c r="A301" s="2" t="s">
        <v>1071</v>
      </c>
      <c r="B301" s="5">
        <v>26687808</v>
      </c>
      <c r="C301" s="2" t="s">
        <v>46</v>
      </c>
      <c r="D301" s="2" t="s">
        <v>1072</v>
      </c>
      <c r="E301" s="2" t="s">
        <v>1073</v>
      </c>
      <c r="F301" s="2" t="s">
        <v>49</v>
      </c>
      <c r="G301" s="2" t="s">
        <v>49</v>
      </c>
      <c r="H301" s="2" t="s">
        <v>50</v>
      </c>
      <c r="I301" s="2" t="s">
        <v>28</v>
      </c>
      <c r="J301" s="6"/>
      <c r="K301" s="2" t="s">
        <v>55</v>
      </c>
      <c r="L301" s="2" t="s">
        <v>56</v>
      </c>
      <c r="M301" s="2" t="s">
        <v>55</v>
      </c>
      <c r="N301" s="2"/>
      <c r="O301" s="2"/>
      <c r="P301" s="7">
        <v>14.588133093203901</v>
      </c>
      <c r="Q301" s="6" t="s">
        <v>57</v>
      </c>
      <c r="R301" s="9">
        <v>0</v>
      </c>
      <c r="S301" s="2" t="s">
        <v>1074</v>
      </c>
      <c r="T301" s="9">
        <v>0</v>
      </c>
      <c r="U301" s="9">
        <v>0</v>
      </c>
      <c r="V301" s="9">
        <v>0</v>
      </c>
      <c r="W301" s="9">
        <v>0</v>
      </c>
      <c r="X301" s="9">
        <v>0</v>
      </c>
      <c r="Y301" s="9">
        <v>0</v>
      </c>
      <c r="Z301" s="9">
        <v>0</v>
      </c>
      <c r="AA301" s="9">
        <v>0</v>
      </c>
      <c r="AB301" s="9">
        <v>0</v>
      </c>
      <c r="AC301" s="9">
        <v>0</v>
      </c>
      <c r="AD301" s="9">
        <v>0</v>
      </c>
      <c r="AE301" s="7">
        <v>0</v>
      </c>
      <c r="AF301" s="7">
        <v>0</v>
      </c>
      <c r="AG301" s="7">
        <v>0</v>
      </c>
      <c r="AH301" s="7">
        <v>0</v>
      </c>
      <c r="AI301" s="7">
        <v>0</v>
      </c>
      <c r="AJ301" s="7">
        <v>0</v>
      </c>
      <c r="AK301" s="7">
        <v>0</v>
      </c>
      <c r="AL301" s="7">
        <v>0</v>
      </c>
      <c r="AM301" s="7">
        <v>0</v>
      </c>
      <c r="AN301" s="7">
        <v>0</v>
      </c>
      <c r="AO301" s="7">
        <v>0</v>
      </c>
      <c r="AP301" s="7">
        <v>0</v>
      </c>
      <c r="AQ301" s="9">
        <v>0</v>
      </c>
    </row>
    <row r="302" spans="1:43" ht="15">
      <c r="A302" s="2" t="s">
        <v>1075</v>
      </c>
      <c r="B302" s="5">
        <v>4565306</v>
      </c>
      <c r="C302" s="2" t="s">
        <v>35</v>
      </c>
      <c r="D302" s="2" t="s">
        <v>1076</v>
      </c>
      <c r="E302" s="2" t="s">
        <v>1077</v>
      </c>
      <c r="F302" s="2" t="s">
        <v>38</v>
      </c>
      <c r="G302" s="2" t="s">
        <v>38</v>
      </c>
      <c r="H302" s="2" t="s">
        <v>39</v>
      </c>
      <c r="I302" s="2" t="s">
        <v>40</v>
      </c>
      <c r="J302" s="6"/>
      <c r="K302" s="2" t="s">
        <v>1078</v>
      </c>
      <c r="L302" s="2" t="s">
        <v>247</v>
      </c>
      <c r="M302" s="2" t="s">
        <v>248</v>
      </c>
      <c r="N302" s="2" t="s">
        <v>1078</v>
      </c>
      <c r="O302" s="2"/>
      <c r="P302" s="7">
        <v>2058.6856859752702</v>
      </c>
      <c r="Q302" s="8">
        <v>4050.8147699926399</v>
      </c>
      <c r="R302" s="9">
        <v>0</v>
      </c>
      <c r="S302" s="2" t="s">
        <v>1079</v>
      </c>
      <c r="T302" s="9">
        <v>0</v>
      </c>
      <c r="U302" s="9">
        <v>0</v>
      </c>
      <c r="V302" s="9">
        <v>0</v>
      </c>
      <c r="W302" s="9">
        <v>0</v>
      </c>
      <c r="X302" s="9">
        <v>0</v>
      </c>
      <c r="Y302" s="9">
        <v>0</v>
      </c>
      <c r="Z302" s="9">
        <v>0</v>
      </c>
      <c r="AA302" s="9">
        <v>0</v>
      </c>
      <c r="AB302" s="9">
        <v>0</v>
      </c>
      <c r="AC302" s="9">
        <v>0</v>
      </c>
      <c r="AD302" s="9">
        <v>0</v>
      </c>
      <c r="AE302" s="7">
        <v>0</v>
      </c>
      <c r="AF302" s="7">
        <v>0</v>
      </c>
      <c r="AG302" s="7">
        <v>0</v>
      </c>
      <c r="AH302" s="7">
        <v>0</v>
      </c>
      <c r="AI302" s="7">
        <v>0</v>
      </c>
      <c r="AJ302" s="7">
        <v>0</v>
      </c>
      <c r="AK302" s="7">
        <v>0</v>
      </c>
      <c r="AL302" s="7">
        <v>0</v>
      </c>
      <c r="AM302" s="7">
        <v>0</v>
      </c>
      <c r="AN302" s="7">
        <v>0</v>
      </c>
      <c r="AO302" s="7">
        <v>0</v>
      </c>
      <c r="AP302" s="7">
        <v>0</v>
      </c>
      <c r="AQ302" s="9">
        <v>0</v>
      </c>
    </row>
    <row r="303" spans="1:43" ht="15">
      <c r="A303" s="2" t="s">
        <v>1080</v>
      </c>
      <c r="B303" s="5">
        <v>4916983</v>
      </c>
      <c r="C303" s="2" t="s">
        <v>35</v>
      </c>
      <c r="D303" s="2" t="s">
        <v>1081</v>
      </c>
      <c r="E303" s="2" t="s">
        <v>1082</v>
      </c>
      <c r="F303" s="2" t="s">
        <v>38</v>
      </c>
      <c r="G303" s="2" t="s">
        <v>38</v>
      </c>
      <c r="H303" s="2" t="s">
        <v>39</v>
      </c>
      <c r="I303" s="2" t="s">
        <v>28</v>
      </c>
      <c r="J303" s="6"/>
      <c r="K303" s="2" t="s">
        <v>211</v>
      </c>
      <c r="L303" s="2" t="s">
        <v>30</v>
      </c>
      <c r="M303" s="2" t="s">
        <v>189</v>
      </c>
      <c r="N303" s="2" t="s">
        <v>211</v>
      </c>
      <c r="O303" s="2"/>
      <c r="P303" s="7">
        <v>158.80193696432499</v>
      </c>
      <c r="Q303" s="8">
        <v>669.29110653394798</v>
      </c>
      <c r="R303" s="9">
        <v>0</v>
      </c>
      <c r="S303" s="2" t="s">
        <v>1083</v>
      </c>
      <c r="T303" s="9">
        <v>0</v>
      </c>
      <c r="U303" s="9">
        <v>0</v>
      </c>
      <c r="V303" s="9">
        <v>0</v>
      </c>
      <c r="W303" s="9">
        <v>0</v>
      </c>
      <c r="X303" s="9">
        <v>0</v>
      </c>
      <c r="Y303" s="9">
        <v>0</v>
      </c>
      <c r="Z303" s="9">
        <v>0</v>
      </c>
      <c r="AA303" s="9">
        <v>0</v>
      </c>
      <c r="AB303" s="9">
        <v>0</v>
      </c>
      <c r="AC303" s="9">
        <v>0</v>
      </c>
      <c r="AD303" s="9">
        <v>0</v>
      </c>
      <c r="AE303" s="7">
        <v>0</v>
      </c>
      <c r="AF303" s="7">
        <v>0</v>
      </c>
      <c r="AG303" s="7">
        <v>0</v>
      </c>
      <c r="AH303" s="7">
        <v>0</v>
      </c>
      <c r="AI303" s="7">
        <v>0</v>
      </c>
      <c r="AJ303" s="7">
        <v>0</v>
      </c>
      <c r="AK303" s="7">
        <v>0</v>
      </c>
      <c r="AL303" s="7">
        <v>0</v>
      </c>
      <c r="AM303" s="7">
        <v>0</v>
      </c>
      <c r="AN303" s="7">
        <v>0</v>
      </c>
      <c r="AO303" s="7">
        <v>0</v>
      </c>
      <c r="AP303" s="7">
        <v>0</v>
      </c>
      <c r="AQ303" s="9">
        <v>0</v>
      </c>
    </row>
    <row r="304" spans="1:43" ht="15">
      <c r="A304" s="2" t="s">
        <v>1084</v>
      </c>
      <c r="B304" s="5">
        <v>4914167</v>
      </c>
      <c r="C304" s="2" t="s">
        <v>35</v>
      </c>
      <c r="D304" s="2" t="s">
        <v>1085</v>
      </c>
      <c r="E304" s="2" t="s">
        <v>1086</v>
      </c>
      <c r="F304" s="2" t="s">
        <v>38</v>
      </c>
      <c r="G304" s="2" t="s">
        <v>38</v>
      </c>
      <c r="H304" s="2" t="s">
        <v>39</v>
      </c>
      <c r="I304" s="2" t="s">
        <v>28</v>
      </c>
      <c r="J304" s="6"/>
      <c r="K304" s="2" t="s">
        <v>188</v>
      </c>
      <c r="L304" s="2" t="s">
        <v>30</v>
      </c>
      <c r="M304" s="2" t="s">
        <v>189</v>
      </c>
      <c r="N304" s="2" t="s">
        <v>188</v>
      </c>
      <c r="O304" s="2"/>
      <c r="P304" s="7">
        <v>8.3791583999999997</v>
      </c>
      <c r="Q304" s="8">
        <v>7.2200435246010004</v>
      </c>
      <c r="R304" s="9">
        <v>0</v>
      </c>
      <c r="S304" s="2" t="s">
        <v>1087</v>
      </c>
      <c r="T304" s="9">
        <v>0</v>
      </c>
      <c r="U304" s="9">
        <v>0</v>
      </c>
      <c r="V304" s="9">
        <v>0</v>
      </c>
      <c r="W304" s="9">
        <v>0</v>
      </c>
      <c r="X304" s="9">
        <v>0</v>
      </c>
      <c r="Y304" s="9">
        <v>0</v>
      </c>
      <c r="Z304" s="9">
        <v>0</v>
      </c>
      <c r="AA304" s="9">
        <v>0</v>
      </c>
      <c r="AB304" s="9">
        <v>0</v>
      </c>
      <c r="AC304" s="9">
        <v>0</v>
      </c>
      <c r="AD304" s="9">
        <v>0</v>
      </c>
      <c r="AE304" s="7">
        <v>0</v>
      </c>
      <c r="AF304" s="7">
        <v>0</v>
      </c>
      <c r="AG304" s="7">
        <v>0</v>
      </c>
      <c r="AH304" s="7">
        <v>0</v>
      </c>
      <c r="AI304" s="7">
        <v>0</v>
      </c>
      <c r="AJ304" s="7">
        <v>0</v>
      </c>
      <c r="AK304" s="7">
        <v>0</v>
      </c>
      <c r="AL304" s="7">
        <v>0</v>
      </c>
      <c r="AM304" s="7">
        <v>0</v>
      </c>
      <c r="AN304" s="7">
        <v>0</v>
      </c>
      <c r="AO304" s="7">
        <v>0</v>
      </c>
      <c r="AP304" s="7">
        <v>0</v>
      </c>
      <c r="AQ304" s="9">
        <v>0</v>
      </c>
    </row>
    <row r="305" spans="1:43" ht="15">
      <c r="A305" s="2" t="s">
        <v>1088</v>
      </c>
      <c r="B305" s="5">
        <v>4993224</v>
      </c>
      <c r="C305" s="2" t="s">
        <v>23</v>
      </c>
      <c r="D305" s="2" t="s">
        <v>1089</v>
      </c>
      <c r="E305" s="2" t="s">
        <v>1090</v>
      </c>
      <c r="F305" s="2" t="s">
        <v>26</v>
      </c>
      <c r="G305" s="2" t="s">
        <v>26</v>
      </c>
      <c r="H305" s="2" t="s">
        <v>27</v>
      </c>
      <c r="I305" s="2" t="s">
        <v>28</v>
      </c>
      <c r="J305" s="6"/>
      <c r="K305" s="2" t="s">
        <v>1091</v>
      </c>
      <c r="L305" s="2" t="s">
        <v>182</v>
      </c>
      <c r="M305" s="2" t="s">
        <v>183</v>
      </c>
      <c r="N305" s="2" t="s">
        <v>1091</v>
      </c>
      <c r="O305" s="2"/>
      <c r="P305" s="7">
        <v>33.108365923759202</v>
      </c>
      <c r="Q305" s="8">
        <v>199.51092388873599</v>
      </c>
      <c r="R305" s="9">
        <v>0</v>
      </c>
      <c r="S305" s="2" t="s">
        <v>1092</v>
      </c>
      <c r="T305" s="9">
        <v>0</v>
      </c>
      <c r="U305" s="9">
        <v>0</v>
      </c>
      <c r="V305" s="9">
        <v>2</v>
      </c>
      <c r="W305" s="9">
        <v>51</v>
      </c>
      <c r="X305" s="9">
        <v>51</v>
      </c>
      <c r="Y305" s="9">
        <v>29</v>
      </c>
      <c r="Z305" s="9">
        <v>22</v>
      </c>
      <c r="AA305" s="9">
        <v>74</v>
      </c>
      <c r="AB305" s="9">
        <v>0</v>
      </c>
      <c r="AC305" s="9">
        <v>2</v>
      </c>
      <c r="AD305" s="9">
        <v>1</v>
      </c>
      <c r="AE305" s="7">
        <v>0</v>
      </c>
      <c r="AF305" s="7">
        <v>0</v>
      </c>
      <c r="AG305" s="7">
        <v>0</v>
      </c>
      <c r="AH305" s="7">
        <v>2.0612085456633E-05</v>
      </c>
      <c r="AI305" s="7">
        <v>0.00061007558724596102</v>
      </c>
      <c r="AJ305" s="7">
        <v>0.00060763528489697703</v>
      </c>
      <c r="AK305" s="7">
        <v>0.00034380068757107799</v>
      </c>
      <c r="AL305" s="7">
        <v>0.00026746780625100402</v>
      </c>
      <c r="AM305" s="7">
        <v>0.00088953422681617997</v>
      </c>
      <c r="AN305" s="7">
        <v>0</v>
      </c>
      <c r="AO305" s="7">
        <v>2.1625794577450999E-05</v>
      </c>
      <c r="AP305" s="7">
        <v>1.47004668124725E-05</v>
      </c>
      <c r="AQ305" s="9">
        <v>0</v>
      </c>
    </row>
    <row r="306" spans="1:43" ht="15">
      <c r="A306" s="2" t="s">
        <v>1093</v>
      </c>
      <c r="B306" s="5">
        <v>4912354</v>
      </c>
      <c r="C306" s="2" t="s">
        <v>23</v>
      </c>
      <c r="D306" s="2" t="s">
        <v>1094</v>
      </c>
      <c r="E306" s="2" t="s">
        <v>1095</v>
      </c>
      <c r="F306" s="2" t="s">
        <v>26</v>
      </c>
      <c r="G306" s="2" t="s">
        <v>26</v>
      </c>
      <c r="H306" s="2" t="s">
        <v>27</v>
      </c>
      <c r="I306" s="2" t="s">
        <v>40</v>
      </c>
      <c r="J306" s="6"/>
      <c r="K306" s="2" t="s">
        <v>1012</v>
      </c>
      <c r="L306" s="2" t="s">
        <v>30</v>
      </c>
      <c r="M306" s="2" t="s">
        <v>189</v>
      </c>
      <c r="N306" s="2" t="s">
        <v>1013</v>
      </c>
      <c r="O306" s="2" t="s">
        <v>1012</v>
      </c>
      <c r="P306" s="7">
        <v>2098.7424960571502</v>
      </c>
      <c r="Q306" s="8">
        <v>2943.1787786733098</v>
      </c>
      <c r="R306" s="9">
        <v>289866</v>
      </c>
      <c r="S306" s="2" t="s">
        <v>1096</v>
      </c>
      <c r="T306" s="9">
        <v>193685</v>
      </c>
      <c r="U306" s="9">
        <v>356214</v>
      </c>
      <c r="V306" s="9">
        <v>256425</v>
      </c>
      <c r="W306" s="9">
        <v>742241</v>
      </c>
      <c r="X306" s="9">
        <v>740857</v>
      </c>
      <c r="Y306" s="9">
        <v>667561</v>
      </c>
      <c r="Z306" s="9">
        <v>561135</v>
      </c>
      <c r="AA306" s="9">
        <v>431331</v>
      </c>
      <c r="AB306" s="9">
        <v>263261</v>
      </c>
      <c r="AC306" s="9">
        <v>261082</v>
      </c>
      <c r="AD306" s="9">
        <v>326563</v>
      </c>
      <c r="AE306" s="7">
        <v>0.39223781730172902</v>
      </c>
      <c r="AF306" s="7">
        <v>0.26208862593089699</v>
      </c>
      <c r="AG306" s="7">
        <v>0.48201829898992898</v>
      </c>
      <c r="AH306" s="7">
        <v>0.34698704841866601</v>
      </c>
      <c r="AI306" s="7">
        <v>1.0043771757314399</v>
      </c>
      <c r="AJ306" s="7">
        <v>1.0025049710574401</v>
      </c>
      <c r="AK306" s="7">
        <v>0.90332276261924305</v>
      </c>
      <c r="AL306" s="7">
        <v>0.75931068057245399</v>
      </c>
      <c r="AM306" s="7">
        <v>0.58366451250375795</v>
      </c>
      <c r="AN306" s="7">
        <v>0.35623738831247298</v>
      </c>
      <c r="AO306" s="7">
        <v>0.353288786647037</v>
      </c>
      <c r="AP306" s="7">
        <v>0.441894443865195</v>
      </c>
      <c r="AQ306" s="9">
        <v>342019</v>
      </c>
    </row>
    <row r="307" spans="1:43" ht="15">
      <c r="A307" s="2" t="s">
        <v>1097</v>
      </c>
      <c r="B307" s="5">
        <v>4912789</v>
      </c>
      <c r="C307" s="2" t="s">
        <v>23</v>
      </c>
      <c r="D307" s="2" t="s">
        <v>1098</v>
      </c>
      <c r="E307" s="2" t="s">
        <v>1099</v>
      </c>
      <c r="F307" s="2" t="s">
        <v>26</v>
      </c>
      <c r="G307" s="2" t="s">
        <v>26</v>
      </c>
      <c r="H307" s="2" t="s">
        <v>27</v>
      </c>
      <c r="I307" s="2" t="s">
        <v>40</v>
      </c>
      <c r="J307" s="6"/>
      <c r="K307" s="2" t="s">
        <v>1100</v>
      </c>
      <c r="L307" s="2" t="s">
        <v>30</v>
      </c>
      <c r="M307" s="2" t="s">
        <v>189</v>
      </c>
      <c r="N307" s="2" t="s">
        <v>1100</v>
      </c>
      <c r="O307" s="2"/>
      <c r="P307" s="7">
        <v>25.331291609520001</v>
      </c>
      <c r="Q307" s="8">
        <v>68.344625011727999</v>
      </c>
      <c r="R307" s="9">
        <v>0</v>
      </c>
      <c r="S307" s="2" t="s">
        <v>1101</v>
      </c>
      <c r="T307" s="9">
        <v>0</v>
      </c>
      <c r="U307" s="9">
        <v>0</v>
      </c>
      <c r="V307" s="9">
        <v>167</v>
      </c>
      <c r="W307" s="9">
        <v>1734</v>
      </c>
      <c r="X307" s="9">
        <v>1727</v>
      </c>
      <c r="Y307" s="9">
        <v>28571</v>
      </c>
      <c r="Z307" s="9">
        <v>19388</v>
      </c>
      <c r="AA307" s="9">
        <v>11659</v>
      </c>
      <c r="AB307" s="9">
        <v>0</v>
      </c>
      <c r="AC307" s="9">
        <v>175</v>
      </c>
      <c r="AD307" s="9">
        <v>492</v>
      </c>
      <c r="AE307" s="7">
        <v>0</v>
      </c>
      <c r="AF307" s="7">
        <v>0</v>
      </c>
      <c r="AG307" s="7">
        <v>0</v>
      </c>
      <c r="AH307" s="7">
        <v>0.0013561991869918699</v>
      </c>
      <c r="AI307" s="7">
        <v>0.0140965814477422</v>
      </c>
      <c r="AJ307" s="7">
        <v>0.014040195121951199</v>
      </c>
      <c r="AK307" s="7">
        <v>0.23228128118303301</v>
      </c>
      <c r="AL307" s="7">
        <v>0.15762326990562101</v>
      </c>
      <c r="AM307" s="7">
        <v>0.094788167303359802</v>
      </c>
      <c r="AN307" s="7">
        <v>0</v>
      </c>
      <c r="AO307" s="7">
        <v>0.0014228975076636</v>
      </c>
      <c r="AP307" s="7">
        <v>0.0040017046944662996</v>
      </c>
      <c r="AQ307" s="9">
        <v>0</v>
      </c>
    </row>
    <row r="308" spans="1:43" ht="15">
      <c r="A308" s="2" t="s">
        <v>1102</v>
      </c>
      <c r="B308" s="5">
        <v>6334722</v>
      </c>
      <c r="C308" s="2" t="s">
        <v>35</v>
      </c>
      <c r="D308" s="2" t="s">
        <v>1103</v>
      </c>
      <c r="E308" s="2" t="s">
        <v>1104</v>
      </c>
      <c r="F308" s="2" t="s">
        <v>38</v>
      </c>
      <c r="G308" s="2" t="s">
        <v>38</v>
      </c>
      <c r="H308" s="2" t="s">
        <v>39</v>
      </c>
      <c r="I308" s="2" t="s">
        <v>40</v>
      </c>
      <c r="J308" s="6"/>
      <c r="K308" s="2" t="s">
        <v>982</v>
      </c>
      <c r="L308" s="2" t="s">
        <v>217</v>
      </c>
      <c r="M308" s="2" t="s">
        <v>218</v>
      </c>
      <c r="N308" s="2" t="s">
        <v>982</v>
      </c>
      <c r="O308" s="2"/>
      <c r="P308" s="7">
        <v>48.295665171000003</v>
      </c>
      <c r="Q308" s="8">
        <v>43.466104181817002</v>
      </c>
      <c r="R308" s="9">
        <v>0</v>
      </c>
      <c r="S308" s="2" t="s">
        <v>1105</v>
      </c>
      <c r="T308" s="9">
        <v>0</v>
      </c>
      <c r="U308" s="9">
        <v>0</v>
      </c>
      <c r="V308" s="9">
        <v>0</v>
      </c>
      <c r="W308" s="9">
        <v>0</v>
      </c>
      <c r="X308" s="9">
        <v>0</v>
      </c>
      <c r="Y308" s="9">
        <v>0</v>
      </c>
      <c r="Z308" s="9">
        <v>0</v>
      </c>
      <c r="AA308" s="9">
        <v>0</v>
      </c>
      <c r="AB308" s="9">
        <v>0</v>
      </c>
      <c r="AC308" s="9">
        <v>0</v>
      </c>
      <c r="AD308" s="9">
        <v>0</v>
      </c>
      <c r="AE308" s="7">
        <v>0</v>
      </c>
      <c r="AF308" s="7">
        <v>0</v>
      </c>
      <c r="AG308" s="7">
        <v>0</v>
      </c>
      <c r="AH308" s="7">
        <v>0</v>
      </c>
      <c r="AI308" s="7">
        <v>0</v>
      </c>
      <c r="AJ308" s="7">
        <v>0</v>
      </c>
      <c r="AK308" s="7">
        <v>0</v>
      </c>
      <c r="AL308" s="7">
        <v>0</v>
      </c>
      <c r="AM308" s="7">
        <v>0</v>
      </c>
      <c r="AN308" s="7">
        <v>0</v>
      </c>
      <c r="AO308" s="7">
        <v>0</v>
      </c>
      <c r="AP308" s="7">
        <v>0</v>
      </c>
      <c r="AQ308" s="9">
        <v>0</v>
      </c>
    </row>
    <row r="309" spans="1:43" ht="15">
      <c r="A309" s="2" t="s">
        <v>1106</v>
      </c>
      <c r="B309" s="5">
        <v>4915363</v>
      </c>
      <c r="C309" s="2" t="s">
        <v>35</v>
      </c>
      <c r="D309" s="2" t="s">
        <v>1107</v>
      </c>
      <c r="E309" s="2" t="s">
        <v>1108</v>
      </c>
      <c r="F309" s="2" t="s">
        <v>38</v>
      </c>
      <c r="G309" s="2" t="s">
        <v>38</v>
      </c>
      <c r="H309" s="2" t="s">
        <v>39</v>
      </c>
      <c r="I309" s="2" t="s">
        <v>28</v>
      </c>
      <c r="J309" s="6"/>
      <c r="K309" s="2" t="s">
        <v>1109</v>
      </c>
      <c r="L309" s="2" t="s">
        <v>42</v>
      </c>
      <c r="M309" s="2" t="s">
        <v>1109</v>
      </c>
      <c r="N309" s="2"/>
      <c r="O309" s="2"/>
      <c r="P309" s="7">
        <v>52.478731728322202</v>
      </c>
      <c r="Q309" s="8">
        <v>103.62262255875</v>
      </c>
      <c r="R309" s="9">
        <v>0</v>
      </c>
      <c r="S309" s="2" t="s">
        <v>1110</v>
      </c>
      <c r="T309" s="9">
        <v>0</v>
      </c>
      <c r="U309" s="9">
        <v>0</v>
      </c>
      <c r="V309" s="9">
        <v>0</v>
      </c>
      <c r="W309" s="9">
        <v>0</v>
      </c>
      <c r="X309" s="9">
        <v>0</v>
      </c>
      <c r="Y309" s="9">
        <v>0</v>
      </c>
      <c r="Z309" s="9">
        <v>0</v>
      </c>
      <c r="AA309" s="9">
        <v>0</v>
      </c>
      <c r="AB309" s="9">
        <v>0</v>
      </c>
      <c r="AC309" s="9">
        <v>0</v>
      </c>
      <c r="AD309" s="9">
        <v>0</v>
      </c>
      <c r="AE309" s="7">
        <v>0</v>
      </c>
      <c r="AF309" s="7">
        <v>0</v>
      </c>
      <c r="AG309" s="7">
        <v>0</v>
      </c>
      <c r="AH309" s="7">
        <v>0</v>
      </c>
      <c r="AI309" s="7">
        <v>0</v>
      </c>
      <c r="AJ309" s="7">
        <v>0</v>
      </c>
      <c r="AK309" s="7">
        <v>0</v>
      </c>
      <c r="AL309" s="7">
        <v>0</v>
      </c>
      <c r="AM309" s="7">
        <v>0</v>
      </c>
      <c r="AN309" s="7">
        <v>0</v>
      </c>
      <c r="AO309" s="7">
        <v>0</v>
      </c>
      <c r="AP309" s="7">
        <v>0</v>
      </c>
      <c r="AQ309" s="9">
        <v>0</v>
      </c>
    </row>
    <row r="310" spans="1:43" ht="15">
      <c r="A310" s="2" t="s">
        <v>1111</v>
      </c>
      <c r="B310" s="5">
        <v>4772126</v>
      </c>
      <c r="C310" s="2" t="s">
        <v>23</v>
      </c>
      <c r="D310" s="2" t="s">
        <v>1112</v>
      </c>
      <c r="E310" s="2" t="s">
        <v>1113</v>
      </c>
      <c r="F310" s="2" t="s">
        <v>26</v>
      </c>
      <c r="G310" s="2" t="s">
        <v>26</v>
      </c>
      <c r="H310" s="2" t="s">
        <v>27</v>
      </c>
      <c r="I310" s="2" t="s">
        <v>28</v>
      </c>
      <c r="J310" s="6"/>
      <c r="K310" s="2" t="s">
        <v>55</v>
      </c>
      <c r="L310" s="2" t="s">
        <v>56</v>
      </c>
      <c r="M310" s="2" t="s">
        <v>55</v>
      </c>
      <c r="N310" s="2"/>
      <c r="O310" s="2"/>
      <c r="P310" s="7">
        <v>133.435687883008</v>
      </c>
      <c r="Q310" s="8">
        <v>130.52468492521601</v>
      </c>
      <c r="R310" s="9">
        <v>0</v>
      </c>
      <c r="S310" s="2" t="s">
        <v>1114</v>
      </c>
      <c r="T310" s="9">
        <v>0</v>
      </c>
      <c r="U310" s="9">
        <v>0</v>
      </c>
      <c r="V310" s="9">
        <v>270</v>
      </c>
      <c r="W310" s="9">
        <v>88</v>
      </c>
      <c r="X310" s="9">
        <v>88</v>
      </c>
      <c r="Y310" s="9">
        <v>55</v>
      </c>
      <c r="Z310" s="9">
        <v>39</v>
      </c>
      <c r="AA310" s="9">
        <v>38</v>
      </c>
      <c r="AB310" s="9">
        <v>0</v>
      </c>
      <c r="AC310" s="9">
        <v>284</v>
      </c>
      <c r="AD310" s="9">
        <v>140</v>
      </c>
      <c r="AE310" s="7">
        <v>0</v>
      </c>
      <c r="AF310" s="7">
        <v>0</v>
      </c>
      <c r="AG310" s="7">
        <v>0</v>
      </c>
      <c r="AH310" s="7">
        <v>0.0043919691410728504</v>
      </c>
      <c r="AI310" s="7">
        <v>0.0014288056279398</v>
      </c>
      <c r="AJ310" s="7">
        <v>0.00142309040542805</v>
      </c>
      <c r="AK310" s="7">
        <v>0.00088942284060758404</v>
      </c>
      <c r="AL310" s="7">
        <v>0.00062892134199015902</v>
      </c>
      <c r="AM310" s="7">
        <v>0.00061826607946417105</v>
      </c>
      <c r="AN310" s="7">
        <v>0</v>
      </c>
      <c r="AO310" s="7">
        <v>0.0046079676234206998</v>
      </c>
      <c r="AP310" s="7">
        <v>0.0022668227824892101</v>
      </c>
      <c r="AQ310" s="9">
        <v>0</v>
      </c>
    </row>
    <row r="311" spans="1:43" ht="15">
      <c r="A311" s="2" t="s">
        <v>1115</v>
      </c>
      <c r="B311" s="5">
        <v>5001242</v>
      </c>
      <c r="C311" s="2" t="s">
        <v>23</v>
      </c>
      <c r="D311" s="2" t="s">
        <v>1116</v>
      </c>
      <c r="E311" s="2" t="s">
        <v>1117</v>
      </c>
      <c r="F311" s="2" t="s">
        <v>26</v>
      </c>
      <c r="G311" s="2" t="s">
        <v>26</v>
      </c>
      <c r="H311" s="2" t="s">
        <v>27</v>
      </c>
      <c r="I311" s="2" t="s">
        <v>40</v>
      </c>
      <c r="J311" s="6"/>
      <c r="K311" s="2" t="s">
        <v>982</v>
      </c>
      <c r="L311" s="2" t="s">
        <v>217</v>
      </c>
      <c r="M311" s="2" t="s">
        <v>218</v>
      </c>
      <c r="N311" s="2" t="s">
        <v>982</v>
      </c>
      <c r="O311" s="2"/>
      <c r="P311" s="7">
        <v>28.589234000000001</v>
      </c>
      <c r="Q311" s="8">
        <v>32.807605556368003</v>
      </c>
      <c r="R311" s="9">
        <v>0</v>
      </c>
      <c r="S311" s="2" t="s">
        <v>1118</v>
      </c>
      <c r="T311" s="9">
        <v>0</v>
      </c>
      <c r="U311" s="9">
        <v>1</v>
      </c>
      <c r="V311" s="9">
        <v>1</v>
      </c>
      <c r="W311" s="9">
        <v>53</v>
      </c>
      <c r="X311" s="9">
        <v>53</v>
      </c>
      <c r="Y311" s="9">
        <v>29</v>
      </c>
      <c r="Z311" s="9">
        <v>20</v>
      </c>
      <c r="AA311" s="9">
        <v>12</v>
      </c>
      <c r="AB311" s="9">
        <v>1</v>
      </c>
      <c r="AC311" s="9">
        <v>1</v>
      </c>
      <c r="AD311" s="9">
        <v>105</v>
      </c>
      <c r="AE311" s="7">
        <v>0</v>
      </c>
      <c r="AF311" s="7">
        <v>0</v>
      </c>
      <c r="AG311" s="7">
        <v>0.00016666666666666701</v>
      </c>
      <c r="AH311" s="7">
        <v>0.00014062499999999999</v>
      </c>
      <c r="AI311" s="7">
        <v>0.0106722891566265</v>
      </c>
      <c r="AJ311" s="7">
        <v>0.010629599999999999</v>
      </c>
      <c r="AK311" s="7">
        <v>0.0058688128772635796</v>
      </c>
      <c r="AL311" s="7">
        <v>0.0039528150134048303</v>
      </c>
      <c r="AM311" s="7">
        <v>0.0024753413654618498</v>
      </c>
      <c r="AN311" s="7">
        <v>0.000104761904761905</v>
      </c>
      <c r="AO311" s="7">
        <v>0.000147540983606557</v>
      </c>
      <c r="AP311" s="7">
        <v>0.021038709677419401</v>
      </c>
      <c r="AQ311" s="9">
        <v>0</v>
      </c>
    </row>
    <row r="312" spans="1:43" ht="15">
      <c r="A312" s="2" t="s">
        <v>1119</v>
      </c>
      <c r="B312" s="5">
        <v>4990777</v>
      </c>
      <c r="C312" s="2" t="s">
        <v>23</v>
      </c>
      <c r="D312" s="2" t="s">
        <v>1120</v>
      </c>
      <c r="E312" s="2" t="s">
        <v>1121</v>
      </c>
      <c r="F312" s="2" t="s">
        <v>26</v>
      </c>
      <c r="G312" s="2" t="s">
        <v>26</v>
      </c>
      <c r="H312" s="2" t="s">
        <v>27</v>
      </c>
      <c r="I312" s="2" t="s">
        <v>28</v>
      </c>
      <c r="J312" s="6"/>
      <c r="K312" s="2" t="s">
        <v>435</v>
      </c>
      <c r="L312" s="2" t="s">
        <v>182</v>
      </c>
      <c r="M312" s="2" t="s">
        <v>183</v>
      </c>
      <c r="N312" s="2" t="s">
        <v>435</v>
      </c>
      <c r="O312" s="2"/>
      <c r="P312" s="7">
        <v>759.63356160000001</v>
      </c>
      <c r="Q312" s="8">
        <v>1368.3548501221901</v>
      </c>
      <c r="R312" s="9">
        <v>222</v>
      </c>
      <c r="S312" s="2" t="s">
        <v>1122</v>
      </c>
      <c r="T312" s="9">
        <v>74</v>
      </c>
      <c r="U312" s="9">
        <v>1209</v>
      </c>
      <c r="V312" s="9">
        <v>481</v>
      </c>
      <c r="W312" s="9">
        <v>485</v>
      </c>
      <c r="X312" s="9">
        <v>483</v>
      </c>
      <c r="Y312" s="9">
        <v>315</v>
      </c>
      <c r="Z312" s="9">
        <v>236</v>
      </c>
      <c r="AA312" s="9">
        <v>205</v>
      </c>
      <c r="AB312" s="9">
        <v>58</v>
      </c>
      <c r="AC312" s="9">
        <v>505</v>
      </c>
      <c r="AD312" s="9">
        <v>930</v>
      </c>
      <c r="AE312" s="7">
        <v>0.0025285388127853901</v>
      </c>
      <c r="AF312" s="7">
        <v>0.000842846270928463</v>
      </c>
      <c r="AG312" s="7">
        <v>0.013806601978691</v>
      </c>
      <c r="AH312" s="7">
        <v>0.0054935430936073103</v>
      </c>
      <c r="AI312" s="7">
        <v>0.0055395554822027801</v>
      </c>
      <c r="AJ312" s="7">
        <v>0.0055173972602739702</v>
      </c>
      <c r="AK312" s="7">
        <v>0.0035968321343586599</v>
      </c>
      <c r="AL312" s="7">
        <v>0.0026924265795046898</v>
      </c>
      <c r="AM312" s="7">
        <v>0.00233681758999468</v>
      </c>
      <c r="AN312" s="7">
        <v>0.00065720808871493801</v>
      </c>
      <c r="AO312" s="7">
        <v>0.0057607231080170698</v>
      </c>
      <c r="AP312" s="7">
        <v>0.0106137685962587</v>
      </c>
      <c r="AQ312" s="9">
        <v>0</v>
      </c>
    </row>
    <row r="313" spans="1:43" ht="15">
      <c r="A313" s="2" t="s">
        <v>1123</v>
      </c>
      <c r="B313" s="5">
        <v>6577273</v>
      </c>
      <c r="C313" s="2" t="s">
        <v>23</v>
      </c>
      <c r="D313" s="2" t="s">
        <v>1124</v>
      </c>
      <c r="E313" s="2" t="s">
        <v>1125</v>
      </c>
      <c r="F313" s="2" t="s">
        <v>26</v>
      </c>
      <c r="G313" s="2" t="s">
        <v>26</v>
      </c>
      <c r="H313" s="2" t="s">
        <v>27</v>
      </c>
      <c r="I313" s="2" t="s">
        <v>40</v>
      </c>
      <c r="J313" s="6"/>
      <c r="K313" s="2" t="s">
        <v>982</v>
      </c>
      <c r="L313" s="2" t="s">
        <v>217</v>
      </c>
      <c r="M313" s="2" t="s">
        <v>218</v>
      </c>
      <c r="N313" s="2" t="s">
        <v>982</v>
      </c>
      <c r="O313" s="2"/>
      <c r="P313" s="7">
        <v>505.00155003114003</v>
      </c>
      <c r="Q313" s="8">
        <v>2252.21361095978</v>
      </c>
      <c r="R313" s="9">
        <v>7904</v>
      </c>
      <c r="S313" s="2" t="s">
        <v>1126</v>
      </c>
      <c r="T313" s="9">
        <v>5191</v>
      </c>
      <c r="U313" s="9">
        <v>10169</v>
      </c>
      <c r="V313" s="9">
        <v>20063</v>
      </c>
      <c r="W313" s="9">
        <v>23957</v>
      </c>
      <c r="X313" s="9">
        <v>23893</v>
      </c>
      <c r="Y313" s="9">
        <v>31175</v>
      </c>
      <c r="Z313" s="9">
        <v>27367</v>
      </c>
      <c r="AA313" s="9">
        <v>17851</v>
      </c>
      <c r="AB313" s="9">
        <v>11405</v>
      </c>
      <c r="AC313" s="9">
        <v>14408</v>
      </c>
      <c r="AD313" s="9">
        <v>32940</v>
      </c>
      <c r="AE313" s="7">
        <v>0.0019565355111420498</v>
      </c>
      <c r="AF313" s="7">
        <v>0.00128496657873715</v>
      </c>
      <c r="AG313" s="7">
        <v>0.0025172283220432001</v>
      </c>
      <c r="AH313" s="7">
        <v>0.0049663658129108302</v>
      </c>
      <c r="AI313" s="7">
        <v>0.0059303357058367798</v>
      </c>
      <c r="AJ313" s="7">
        <v>0.0059144880322364096</v>
      </c>
      <c r="AK313" s="7">
        <v>0.0077169925004930903</v>
      </c>
      <c r="AL313" s="7">
        <v>0.0067743178574676396</v>
      </c>
      <c r="AM313" s="7">
        <v>0.00441889488474636</v>
      </c>
      <c r="AN313" s="7">
        <v>0.0028231521174364202</v>
      </c>
      <c r="AO313" s="7">
        <v>0.0035665511436432</v>
      </c>
      <c r="AP313" s="7">
        <v>0.0081537917135590596</v>
      </c>
      <c r="AQ313" s="9">
        <v>15798</v>
      </c>
    </row>
    <row r="314" spans="1:43" ht="15">
      <c r="A314" s="2" t="s">
        <v>1127</v>
      </c>
      <c r="B314" s="5">
        <v>4985505</v>
      </c>
      <c r="C314" s="2" t="s">
        <v>23</v>
      </c>
      <c r="D314" s="2" t="s">
        <v>1128</v>
      </c>
      <c r="E314" s="2" t="s">
        <v>1129</v>
      </c>
      <c r="F314" s="2" t="s">
        <v>26</v>
      </c>
      <c r="G314" s="2" t="s">
        <v>26</v>
      </c>
      <c r="H314" s="2" t="s">
        <v>27</v>
      </c>
      <c r="I314" s="2" t="s">
        <v>28</v>
      </c>
      <c r="J314" s="6"/>
      <c r="K314" s="2" t="s">
        <v>987</v>
      </c>
      <c r="L314" s="2" t="s">
        <v>42</v>
      </c>
      <c r="M314" s="2" t="s">
        <v>987</v>
      </c>
      <c r="N314" s="2"/>
      <c r="O314" s="2"/>
      <c r="P314" s="7">
        <v>252.63669264000001</v>
      </c>
      <c r="Q314" s="8">
        <v>318.04363538336003</v>
      </c>
      <c r="R314" s="9">
        <v>0</v>
      </c>
      <c r="S314" s="2" t="s">
        <v>1130</v>
      </c>
      <c r="T314" s="9">
        <v>0</v>
      </c>
      <c r="U314" s="9">
        <v>1</v>
      </c>
      <c r="V314" s="9">
        <v>5</v>
      </c>
      <c r="W314" s="9">
        <v>1895</v>
      </c>
      <c r="X314" s="9">
        <v>1887</v>
      </c>
      <c r="Y314" s="9">
        <v>3385</v>
      </c>
      <c r="Z314" s="9">
        <v>2465</v>
      </c>
      <c r="AA314" s="9">
        <v>2120</v>
      </c>
      <c r="AB314" s="9">
        <v>0</v>
      </c>
      <c r="AC314" s="9">
        <v>5</v>
      </c>
      <c r="AD314" s="9">
        <v>79</v>
      </c>
      <c r="AE314" s="7">
        <v>0</v>
      </c>
      <c r="AF314" s="7">
        <v>0</v>
      </c>
      <c r="AG314" s="7">
        <v>8.3333333333333303E-06</v>
      </c>
      <c r="AH314" s="7">
        <v>3.1979166666666701E-05</v>
      </c>
      <c r="AI314" s="7">
        <v>0.012630227576974601</v>
      </c>
      <c r="AJ314" s="7">
        <v>0.012579706666666701</v>
      </c>
      <c r="AK314" s="7">
        <v>0.0225653252850436</v>
      </c>
      <c r="AL314" s="7">
        <v>0.016432743521000898</v>
      </c>
      <c r="AM314" s="7">
        <v>0.014131775100401599</v>
      </c>
      <c r="AN314" s="7">
        <v>0</v>
      </c>
      <c r="AO314" s="7">
        <v>3.2240437158469902E-05</v>
      </c>
      <c r="AP314" s="7">
        <v>0.000526935483870968</v>
      </c>
      <c r="AQ314" s="9">
        <v>0</v>
      </c>
    </row>
    <row r="315" spans="1:43" ht="15">
      <c r="A315" s="2" t="s">
        <v>1131</v>
      </c>
      <c r="B315" s="5">
        <v>4358033</v>
      </c>
      <c r="C315" s="2" t="s">
        <v>46</v>
      </c>
      <c r="D315" s="2" t="s">
        <v>1132</v>
      </c>
      <c r="E315" s="2" t="s">
        <v>1133</v>
      </c>
      <c r="F315" s="2" t="s">
        <v>49</v>
      </c>
      <c r="G315" s="2" t="s">
        <v>49</v>
      </c>
      <c r="H315" s="2" t="s">
        <v>50</v>
      </c>
      <c r="I315" s="2" t="s">
        <v>28</v>
      </c>
      <c r="J315" s="6"/>
      <c r="K315" s="2" t="s">
        <v>1134</v>
      </c>
      <c r="L315" s="2" t="s">
        <v>42</v>
      </c>
      <c r="M315" s="2" t="s">
        <v>43</v>
      </c>
      <c r="N315" s="2" t="s">
        <v>1134</v>
      </c>
      <c r="O315" s="2"/>
      <c r="P315" s="7">
        <v>2698.422008</v>
      </c>
      <c r="Q315" s="8">
        <v>2601.59001416314</v>
      </c>
      <c r="R315" s="9">
        <v>15282</v>
      </c>
      <c r="S315" s="2" t="s">
        <v>1135</v>
      </c>
      <c r="T315" s="9">
        <v>7696</v>
      </c>
      <c r="U315" s="9">
        <v>3795</v>
      </c>
      <c r="V315" s="9">
        <v>3493</v>
      </c>
      <c r="W315" s="9">
        <v>9604</v>
      </c>
      <c r="X315" s="9">
        <v>9569</v>
      </c>
      <c r="Y315" s="9">
        <v>8712</v>
      </c>
      <c r="Z315" s="9">
        <v>6554</v>
      </c>
      <c r="AA315" s="9">
        <v>5896</v>
      </c>
      <c r="AB315" s="9">
        <v>4241</v>
      </c>
      <c r="AC315" s="9">
        <v>3629</v>
      </c>
      <c r="AD315" s="9">
        <v>8804</v>
      </c>
      <c r="AE315" s="7">
        <v>0.00764075</v>
      </c>
      <c r="AF315" s="7">
        <v>0.0038479166666666701</v>
      </c>
      <c r="AG315" s="7">
        <v>0.0018973958333333299</v>
      </c>
      <c r="AH315" s="7">
        <v>0.0017465390625</v>
      </c>
      <c r="AI315" s="7">
        <v>0.0048022048192771097</v>
      </c>
      <c r="AJ315" s="7">
        <v>0.0047844860000000001</v>
      </c>
      <c r="AK315" s="7">
        <v>0.0043560891783567101</v>
      </c>
      <c r="AL315" s="7">
        <v>0.0032770873333333298</v>
      </c>
      <c r="AM315" s="7">
        <v>0.0029482400159744401</v>
      </c>
      <c r="AN315" s="7">
        <v>0.00212066666666667</v>
      </c>
      <c r="AO315" s="7">
        <v>0.00181465573770492</v>
      </c>
      <c r="AP315" s="7">
        <v>0.0044022137096774196</v>
      </c>
      <c r="AQ315" s="9">
        <v>7433</v>
      </c>
    </row>
    <row r="316" spans="1:43" ht="15">
      <c r="A316" s="2" t="s">
        <v>1136</v>
      </c>
      <c r="B316" s="5">
        <v>4354284</v>
      </c>
      <c r="C316" s="2" t="s">
        <v>46</v>
      </c>
      <c r="D316" s="2" t="s">
        <v>1137</v>
      </c>
      <c r="E316" s="2" t="s">
        <v>1138</v>
      </c>
      <c r="F316" s="2" t="s">
        <v>49</v>
      </c>
      <c r="G316" s="2" t="s">
        <v>49</v>
      </c>
      <c r="H316" s="2" t="s">
        <v>50</v>
      </c>
      <c r="I316" s="2" t="s">
        <v>28</v>
      </c>
      <c r="J316" s="6"/>
      <c r="K316" s="2" t="s">
        <v>1139</v>
      </c>
      <c r="L316" s="2" t="s">
        <v>42</v>
      </c>
      <c r="M316" s="2" t="s">
        <v>43</v>
      </c>
      <c r="N316" s="2" t="s">
        <v>1139</v>
      </c>
      <c r="O316" s="2"/>
      <c r="P316" s="7">
        <v>12.0196257196601</v>
      </c>
      <c r="Q316" s="8">
        <v>97.300319934992103</v>
      </c>
      <c r="R316" s="9">
        <v>30020</v>
      </c>
      <c r="S316" s="2" t="s">
        <v>1140</v>
      </c>
      <c r="T316" s="9">
        <v>13929</v>
      </c>
      <c r="U316" s="9">
        <v>5192</v>
      </c>
      <c r="V316" s="9">
        <v>5903</v>
      </c>
      <c r="W316" s="9">
        <v>7408</v>
      </c>
      <c r="X316" s="9">
        <v>7379</v>
      </c>
      <c r="Y316" s="9">
        <v>6040</v>
      </c>
      <c r="Z316" s="9">
        <v>5910</v>
      </c>
      <c r="AA316" s="9">
        <v>9785</v>
      </c>
      <c r="AB316" s="9">
        <v>5934</v>
      </c>
      <c r="AC316" s="9">
        <v>3903</v>
      </c>
      <c r="AD316" s="9">
        <v>4356</v>
      </c>
      <c r="AE316" s="7">
        <v>1.3555761004257001</v>
      </c>
      <c r="AF316" s="7">
        <v>0.62896714102196905</v>
      </c>
      <c r="AG316" s="7">
        <v>0.23445250093555201</v>
      </c>
      <c r="AH316" s="7">
        <v>0.26655025434888402</v>
      </c>
      <c r="AI316" s="7">
        <v>0.33452679152848203</v>
      </c>
      <c r="AJ316" s="7">
        <v>0.33318868436236898</v>
      </c>
      <c r="AK316" s="7">
        <v>0.272760374051016</v>
      </c>
      <c r="AL316" s="7">
        <v>0.266877983610805</v>
      </c>
      <c r="AM316" s="7">
        <v>0.44186803496597898</v>
      </c>
      <c r="AN316" s="7">
        <v>0.26794571535491701</v>
      </c>
      <c r="AO316" s="7">
        <v>0.17622370864180201</v>
      </c>
      <c r="AP316" s="7">
        <v>0.196712355494229</v>
      </c>
      <c r="AQ316" s="9">
        <v>0</v>
      </c>
    </row>
    <row r="317" spans="1:43" ht="15">
      <c r="A317" s="2" t="s">
        <v>1141</v>
      </c>
      <c r="B317" s="5">
        <v>4983284</v>
      </c>
      <c r="C317" s="2" t="s">
        <v>46</v>
      </c>
      <c r="D317" s="2" t="s">
        <v>1142</v>
      </c>
      <c r="E317" s="2" t="s">
        <v>1143</v>
      </c>
      <c r="F317" s="2" t="s">
        <v>49</v>
      </c>
      <c r="G317" s="2" t="s">
        <v>49</v>
      </c>
      <c r="H317" s="2" t="s">
        <v>50</v>
      </c>
      <c r="I317" s="2" t="s">
        <v>40</v>
      </c>
      <c r="J317" s="6"/>
      <c r="K317" s="2" t="s">
        <v>1139</v>
      </c>
      <c r="L317" s="2" t="s">
        <v>42</v>
      </c>
      <c r="M317" s="2" t="s">
        <v>43</v>
      </c>
      <c r="N317" s="2" t="s">
        <v>1139</v>
      </c>
      <c r="O317" s="2"/>
      <c r="P317" s="7">
        <v>198.93212869220801</v>
      </c>
      <c r="Q317" s="8">
        <v>112.545961093708</v>
      </c>
      <c r="R317" s="9">
        <v>29</v>
      </c>
      <c r="S317" s="2" t="s">
        <v>1144</v>
      </c>
      <c r="T317" s="9">
        <v>10</v>
      </c>
      <c r="U317" s="9">
        <v>9</v>
      </c>
      <c r="V317" s="9">
        <v>63</v>
      </c>
      <c r="W317" s="9">
        <v>105</v>
      </c>
      <c r="X317" s="9">
        <v>105</v>
      </c>
      <c r="Y317" s="9">
        <v>91</v>
      </c>
      <c r="Z317" s="9">
        <v>73</v>
      </c>
      <c r="AA317" s="9">
        <v>57</v>
      </c>
      <c r="AB317" s="9">
        <v>4</v>
      </c>
      <c r="AC317" s="9">
        <v>66</v>
      </c>
      <c r="AD317" s="9">
        <v>127</v>
      </c>
      <c r="AE317" s="7">
        <v>0.0218152712917048</v>
      </c>
      <c r="AF317" s="7">
        <v>0.0072717570972349304</v>
      </c>
      <c r="AG317" s="7">
        <v>0.00695831929131963</v>
      </c>
      <c r="AH317" s="7">
        <v>0.047039178722738398</v>
      </c>
      <c r="AI317" s="7">
        <v>0.0793186466921076</v>
      </c>
      <c r="AJ317" s="7">
        <v>0.079091642193442793</v>
      </c>
      <c r="AK317" s="7">
        <v>0.068099042917571698</v>
      </c>
      <c r="AL317" s="7">
        <v>0.054689631377080203</v>
      </c>
      <c r="AM317" s="7">
        <v>0.042738897144473501</v>
      </c>
      <c r="AN317" s="7">
        <v>0.00333139610858546</v>
      </c>
      <c r="AO317" s="7">
        <v>0.049352580955004298</v>
      </c>
      <c r="AP317" s="7">
        <v>0.095353847097612798</v>
      </c>
      <c r="AQ317" s="9">
        <v>0</v>
      </c>
    </row>
    <row r="318" spans="1:43" ht="15">
      <c r="A318" s="2" t="s">
        <v>1145</v>
      </c>
      <c r="B318" s="5">
        <v>4994765</v>
      </c>
      <c r="C318" s="2" t="s">
        <v>23</v>
      </c>
      <c r="D318" s="2" t="s">
        <v>1146</v>
      </c>
      <c r="E318" s="2" t="s">
        <v>1147</v>
      </c>
      <c r="F318" s="2" t="s">
        <v>26</v>
      </c>
      <c r="G318" s="2" t="s">
        <v>26</v>
      </c>
      <c r="H318" s="2" t="s">
        <v>27</v>
      </c>
      <c r="I318" s="2" t="s">
        <v>28</v>
      </c>
      <c r="J318" s="6"/>
      <c r="K318" s="2" t="s">
        <v>1148</v>
      </c>
      <c r="L318" s="2" t="s">
        <v>182</v>
      </c>
      <c r="M318" s="2" t="s">
        <v>430</v>
      </c>
      <c r="N318" s="2" t="s">
        <v>1148</v>
      </c>
      <c r="O318" s="2"/>
      <c r="P318" s="7">
        <v>2435.9624877732299</v>
      </c>
      <c r="Q318" s="8">
        <v>2112.5864803047398</v>
      </c>
      <c r="R318" s="9">
        <v>20816214</v>
      </c>
      <c r="S318" s="2" t="s">
        <v>1149</v>
      </c>
      <c r="T318" s="9">
        <v>23576047</v>
      </c>
      <c r="U318" s="9">
        <v>48413146</v>
      </c>
      <c r="V318" s="9">
        <v>53273161</v>
      </c>
      <c r="W318" s="9">
        <v>51034085</v>
      </c>
      <c r="X318" s="9">
        <v>50980366</v>
      </c>
      <c r="Y318" s="9">
        <v>67865210</v>
      </c>
      <c r="Z318" s="9">
        <v>62602017</v>
      </c>
      <c r="AA318" s="9">
        <v>90633412</v>
      </c>
      <c r="AB318" s="9">
        <v>50102694</v>
      </c>
      <c r="AC318" s="9">
        <v>53005294</v>
      </c>
      <c r="AD318" s="9">
        <v>50987143</v>
      </c>
      <c r="AE318" s="7">
        <v>0.20280849785903601</v>
      </c>
      <c r="AF318" s="7">
        <v>0.22969703863178301</v>
      </c>
      <c r="AG318" s="7">
        <v>0.47168026483522302</v>
      </c>
      <c r="AH318" s="7">
        <v>0.51903049441038696</v>
      </c>
      <c r="AI318" s="7">
        <v>0.49721559314052799</v>
      </c>
      <c r="AJ318" s="7">
        <v>0.49669221286937398</v>
      </c>
      <c r="AK318" s="7">
        <v>0.66119811080189095</v>
      </c>
      <c r="AL318" s="7">
        <v>0.60991979604345503</v>
      </c>
      <c r="AM318" s="7">
        <v>0.88302446161318204</v>
      </c>
      <c r="AN318" s="7">
        <v>0.488141225172186</v>
      </c>
      <c r="AO318" s="7">
        <v>0.51642070831169395</v>
      </c>
      <c r="AP318" s="7">
        <v>0.49675824335515301</v>
      </c>
      <c r="AQ318" s="9">
        <v>22935406</v>
      </c>
    </row>
    <row r="319" spans="1:43" ht="15">
      <c r="A319" s="2" t="s">
        <v>1150</v>
      </c>
      <c r="B319" s="5">
        <v>6675448</v>
      </c>
      <c r="C319" s="2" t="s">
        <v>46</v>
      </c>
      <c r="D319" s="2" t="s">
        <v>1151</v>
      </c>
      <c r="E319" s="2" t="s">
        <v>1152</v>
      </c>
      <c r="F319" s="2" t="s">
        <v>49</v>
      </c>
      <c r="G319" s="2" t="s">
        <v>49</v>
      </c>
      <c r="H319" s="2" t="s">
        <v>50</v>
      </c>
      <c r="I319" s="2" t="s">
        <v>28</v>
      </c>
      <c r="J319" s="6"/>
      <c r="K319" s="2" t="s">
        <v>1153</v>
      </c>
      <c r="L319" s="2" t="s">
        <v>30</v>
      </c>
      <c r="M319" s="2" t="s">
        <v>189</v>
      </c>
      <c r="N319" s="2" t="s">
        <v>1154</v>
      </c>
      <c r="O319" s="2" t="s">
        <v>1153</v>
      </c>
      <c r="P319" s="7">
        <v>11.9079499489219</v>
      </c>
      <c r="Q319" s="8">
        <v>10.4161916985774</v>
      </c>
      <c r="R319" s="9">
        <v>0</v>
      </c>
      <c r="S319" s="2" t="s">
        <v>1155</v>
      </c>
      <c r="T319" s="9">
        <v>0</v>
      </c>
      <c r="U319" s="9">
        <v>688</v>
      </c>
      <c r="V319" s="9">
        <v>1039</v>
      </c>
      <c r="W319" s="9">
        <v>267</v>
      </c>
      <c r="X319" s="9">
        <v>266</v>
      </c>
      <c r="Y319" s="9">
        <v>838</v>
      </c>
      <c r="Z319" s="9">
        <v>1223</v>
      </c>
      <c r="AA319" s="9">
        <v>2840</v>
      </c>
      <c r="AB319" s="9">
        <v>786</v>
      </c>
      <c r="AC319" s="9">
        <v>1090</v>
      </c>
      <c r="AD319" s="9">
        <v>536</v>
      </c>
      <c r="AE319" s="7">
        <v>0</v>
      </c>
      <c r="AF319" s="7">
        <v>0</v>
      </c>
      <c r="AG319" s="7">
        <v>0.0080516378530461705</v>
      </c>
      <c r="AH319" s="7">
        <v>0.012168952664263001</v>
      </c>
      <c r="AI319" s="7">
        <v>0.0031277629337864601</v>
      </c>
      <c r="AJ319" s="7">
        <v>0.0031152518820513199</v>
      </c>
      <c r="AK319" s="7">
        <v>0.0098106706229613601</v>
      </c>
      <c r="AL319" s="7">
        <v>0.0143283472829081</v>
      </c>
      <c r="AM319" s="7">
        <v>0.033263072224209198</v>
      </c>
      <c r="AN319" s="7">
        <v>0.0092018718320527604</v>
      </c>
      <c r="AO319" s="7">
        <v>0.012767425746111999</v>
      </c>
      <c r="AP319" s="7">
        <v>0.0062807497622002304</v>
      </c>
      <c r="AQ319" s="9">
        <v>0</v>
      </c>
    </row>
    <row r="320" spans="1:43" ht="15">
      <c r="A320" s="2" t="s">
        <v>1156</v>
      </c>
      <c r="B320" s="5">
        <v>4913017</v>
      </c>
      <c r="C320" s="2" t="s">
        <v>23</v>
      </c>
      <c r="D320" s="2" t="s">
        <v>1157</v>
      </c>
      <c r="E320" s="2" t="s">
        <v>1158</v>
      </c>
      <c r="F320" s="2" t="s">
        <v>26</v>
      </c>
      <c r="G320" s="2" t="s">
        <v>26</v>
      </c>
      <c r="H320" s="2" t="s">
        <v>27</v>
      </c>
      <c r="I320" s="2" t="s">
        <v>28</v>
      </c>
      <c r="J320" s="6"/>
      <c r="K320" s="2" t="s">
        <v>1159</v>
      </c>
      <c r="L320" s="2" t="s">
        <v>30</v>
      </c>
      <c r="M320" s="2" t="s">
        <v>189</v>
      </c>
      <c r="N320" s="2" t="s">
        <v>1160</v>
      </c>
      <c r="O320" s="2" t="s">
        <v>1159</v>
      </c>
      <c r="P320" s="7">
        <v>37.137485522603598</v>
      </c>
      <c r="Q320" s="8">
        <v>58.12938115128</v>
      </c>
      <c r="R320" s="9">
        <v>10</v>
      </c>
      <c r="S320" s="2" t="s">
        <v>1161</v>
      </c>
      <c r="T320" s="9">
        <v>3</v>
      </c>
      <c r="U320" s="9">
        <v>178</v>
      </c>
      <c r="V320" s="9">
        <v>3292</v>
      </c>
      <c r="W320" s="9">
        <v>5092</v>
      </c>
      <c r="X320" s="9">
        <v>5072</v>
      </c>
      <c r="Y320" s="9">
        <v>5650</v>
      </c>
      <c r="Z320" s="9">
        <v>6487</v>
      </c>
      <c r="AA320" s="9">
        <v>9950</v>
      </c>
      <c r="AB320" s="9">
        <v>203</v>
      </c>
      <c r="AC320" s="9">
        <v>3454</v>
      </c>
      <c r="AD320" s="9">
        <v>3153</v>
      </c>
      <c r="AE320" s="7">
        <v>4.2321939083446402E-06</v>
      </c>
      <c r="AF320" s="7">
        <v>1.41073130278155E-06</v>
      </c>
      <c r="AG320" s="7">
        <v>7.5350685709819304E-05</v>
      </c>
      <c r="AH320" s="7">
        <v>0.00139327791144494</v>
      </c>
      <c r="AI320" s="7">
        <v>0.00215511812194251</v>
      </c>
      <c r="AJ320" s="7">
        <v>0.0021464976494547398</v>
      </c>
      <c r="AK320" s="7">
        <v>0.0023911503870034999</v>
      </c>
      <c r="AL320" s="7">
        <v>0.0027453407925650802</v>
      </c>
      <c r="AM320" s="7">
        <v>0.0042109357173203601</v>
      </c>
      <c r="AN320" s="7">
        <v>8.6115069382650597E-05</v>
      </c>
      <c r="AO320" s="7">
        <v>0.0014617997759422401</v>
      </c>
      <c r="AP320" s="7">
        <v>0.00133447217437393</v>
      </c>
      <c r="AQ320" s="9">
        <v>20</v>
      </c>
    </row>
    <row r="321" spans="1:43" ht="15">
      <c r="A321" s="2" t="s">
        <v>1162</v>
      </c>
      <c r="B321" s="5">
        <v>8863848</v>
      </c>
      <c r="C321" s="2" t="s">
        <v>23</v>
      </c>
      <c r="D321" s="2" t="s">
        <v>1163</v>
      </c>
      <c r="E321" s="2" t="s">
        <v>1164</v>
      </c>
      <c r="F321" s="2" t="s">
        <v>113</v>
      </c>
      <c r="G321" s="2" t="s">
        <v>113</v>
      </c>
      <c r="H321" s="2" t="s">
        <v>1165</v>
      </c>
      <c r="I321" s="2" t="s">
        <v>28</v>
      </c>
      <c r="J321" s="6"/>
      <c r="K321" s="2" t="s">
        <v>55</v>
      </c>
      <c r="L321" s="2" t="s">
        <v>56</v>
      </c>
      <c r="M321" s="2" t="s">
        <v>55</v>
      </c>
      <c r="N321" s="2"/>
      <c r="O321" s="2"/>
      <c r="P321" s="6" t="s">
        <v>57</v>
      </c>
      <c r="Q321" s="6" t="s">
        <v>57</v>
      </c>
      <c r="R321" s="6" t="s">
        <v>57</v>
      </c>
      <c r="S321" s="2"/>
      <c r="T321" s="6" t="s">
        <v>57</v>
      </c>
      <c r="U321" s="6" t="s">
        <v>57</v>
      </c>
      <c r="V321" s="6" t="s">
        <v>57</v>
      </c>
      <c r="W321" s="6" t="s">
        <v>57</v>
      </c>
      <c r="X321" s="6" t="s">
        <v>57</v>
      </c>
      <c r="Y321" s="6" t="s">
        <v>57</v>
      </c>
      <c r="Z321" s="6" t="s">
        <v>57</v>
      </c>
      <c r="AA321" s="6" t="s">
        <v>57</v>
      </c>
      <c r="AB321" s="6" t="s">
        <v>57</v>
      </c>
      <c r="AC321" s="6" t="s">
        <v>57</v>
      </c>
      <c r="AD321" s="6" t="s">
        <v>57</v>
      </c>
      <c r="AE321" s="6" t="s">
        <v>57</v>
      </c>
      <c r="AF321" s="6" t="s">
        <v>57</v>
      </c>
      <c r="AG321" s="6" t="s">
        <v>57</v>
      </c>
      <c r="AH321" s="6" t="s">
        <v>57</v>
      </c>
      <c r="AI321" s="6" t="s">
        <v>57</v>
      </c>
      <c r="AJ321" s="6" t="s">
        <v>57</v>
      </c>
      <c r="AK321" s="6" t="s">
        <v>57</v>
      </c>
      <c r="AL321" s="6" t="s">
        <v>57</v>
      </c>
      <c r="AM321" s="6" t="s">
        <v>57</v>
      </c>
      <c r="AN321" s="6" t="s">
        <v>57</v>
      </c>
      <c r="AO321" s="6" t="s">
        <v>57</v>
      </c>
      <c r="AP321" s="6" t="s">
        <v>57</v>
      </c>
      <c r="AQ321" s="6" t="s">
        <v>57</v>
      </c>
    </row>
    <row r="322" spans="1:43" ht="15">
      <c r="A322" s="2" t="s">
        <v>1166</v>
      </c>
      <c r="B322" s="5">
        <v>5731596</v>
      </c>
      <c r="C322" s="2" t="s">
        <v>23</v>
      </c>
      <c r="D322" s="2" t="s">
        <v>1167</v>
      </c>
      <c r="E322" s="2" t="s">
        <v>1168</v>
      </c>
      <c r="F322" s="2" t="s">
        <v>26</v>
      </c>
      <c r="G322" s="2" t="s">
        <v>26</v>
      </c>
      <c r="H322" s="2" t="s">
        <v>27</v>
      </c>
      <c r="I322" s="2" t="s">
        <v>28</v>
      </c>
      <c r="J322" s="6"/>
      <c r="K322" s="2" t="s">
        <v>55</v>
      </c>
      <c r="L322" s="2" t="s">
        <v>56</v>
      </c>
      <c r="M322" s="2" t="s">
        <v>55</v>
      </c>
      <c r="N322" s="2"/>
      <c r="O322" s="2"/>
      <c r="P322" s="7">
        <v>8.0415857790837499</v>
      </c>
      <c r="Q322" s="6" t="s">
        <v>57</v>
      </c>
      <c r="R322" s="9">
        <v>5</v>
      </c>
      <c r="S322" s="2"/>
      <c r="T322" s="9">
        <v>266</v>
      </c>
      <c r="U322" s="9">
        <v>470</v>
      </c>
      <c r="V322" s="9">
        <v>180</v>
      </c>
      <c r="W322" s="9">
        <v>65</v>
      </c>
      <c r="X322" s="9">
        <v>65</v>
      </c>
      <c r="Y322" s="9">
        <v>40</v>
      </c>
      <c r="Z322" s="9">
        <v>29</v>
      </c>
      <c r="AA322" s="9">
        <v>71</v>
      </c>
      <c r="AB322" s="9">
        <v>537</v>
      </c>
      <c r="AC322" s="9">
        <v>189</v>
      </c>
      <c r="AD322" s="9">
        <v>110</v>
      </c>
      <c r="AE322" s="6" t="s">
        <v>57</v>
      </c>
      <c r="AF322" s="6" t="s">
        <v>57</v>
      </c>
      <c r="AG322" s="6" t="s">
        <v>57</v>
      </c>
      <c r="AH322" s="6" t="s">
        <v>57</v>
      </c>
      <c r="AI322" s="6" t="s">
        <v>57</v>
      </c>
      <c r="AJ322" s="6" t="s">
        <v>57</v>
      </c>
      <c r="AK322" s="6" t="s">
        <v>57</v>
      </c>
      <c r="AL322" s="6" t="s">
        <v>57</v>
      </c>
      <c r="AM322" s="6" t="s">
        <v>57</v>
      </c>
      <c r="AN322" s="6" t="s">
        <v>57</v>
      </c>
      <c r="AO322" s="6" t="s">
        <v>57</v>
      </c>
      <c r="AP322" s="6" t="s">
        <v>57</v>
      </c>
      <c r="AQ322" s="9">
        <v>0</v>
      </c>
    </row>
    <row r="323" spans="1:43" ht="15">
      <c r="A323" s="2" t="s">
        <v>1169</v>
      </c>
      <c r="B323" s="5">
        <v>118819306</v>
      </c>
      <c r="C323" s="2" t="s">
        <v>23</v>
      </c>
      <c r="D323" s="2" t="s">
        <v>1170</v>
      </c>
      <c r="E323" s="2" t="s">
        <v>1171</v>
      </c>
      <c r="F323" s="2" t="s">
        <v>26</v>
      </c>
      <c r="G323" s="2"/>
      <c r="H323" s="2"/>
      <c r="I323" s="2" t="s">
        <v>28</v>
      </c>
      <c r="J323" s="6"/>
      <c r="K323" s="2" t="s">
        <v>55</v>
      </c>
      <c r="L323" s="2" t="s">
        <v>56</v>
      </c>
      <c r="M323" s="2" t="s">
        <v>55</v>
      </c>
      <c r="N323" s="2"/>
      <c r="O323" s="2"/>
      <c r="P323" s="6" t="s">
        <v>57</v>
      </c>
      <c r="Q323" s="6" t="s">
        <v>57</v>
      </c>
      <c r="R323" s="6" t="s">
        <v>57</v>
      </c>
      <c r="S323" s="2"/>
      <c r="T323" s="6" t="s">
        <v>57</v>
      </c>
      <c r="U323" s="6" t="s">
        <v>57</v>
      </c>
      <c r="V323" s="6" t="s">
        <v>57</v>
      </c>
      <c r="W323" s="6" t="s">
        <v>57</v>
      </c>
      <c r="X323" s="6" t="s">
        <v>57</v>
      </c>
      <c r="Y323" s="6" t="s">
        <v>57</v>
      </c>
      <c r="Z323" s="6" t="s">
        <v>57</v>
      </c>
      <c r="AA323" s="6" t="s">
        <v>57</v>
      </c>
      <c r="AB323" s="6" t="s">
        <v>57</v>
      </c>
      <c r="AC323" s="6" t="s">
        <v>57</v>
      </c>
      <c r="AD323" s="6" t="s">
        <v>57</v>
      </c>
      <c r="AE323" s="6" t="s">
        <v>57</v>
      </c>
      <c r="AF323" s="6" t="s">
        <v>57</v>
      </c>
      <c r="AG323" s="6" t="s">
        <v>57</v>
      </c>
      <c r="AH323" s="6" t="s">
        <v>57</v>
      </c>
      <c r="AI323" s="6" t="s">
        <v>57</v>
      </c>
      <c r="AJ323" s="6" t="s">
        <v>57</v>
      </c>
      <c r="AK323" s="6" t="s">
        <v>57</v>
      </c>
      <c r="AL323" s="6" t="s">
        <v>57</v>
      </c>
      <c r="AM323" s="6" t="s">
        <v>57</v>
      </c>
      <c r="AN323" s="6" t="s">
        <v>57</v>
      </c>
      <c r="AO323" s="6" t="s">
        <v>57</v>
      </c>
      <c r="AP323" s="6" t="s">
        <v>57</v>
      </c>
      <c r="AQ323" s="6" t="s">
        <v>57</v>
      </c>
    </row>
    <row r="324" spans="1:43" ht="15">
      <c r="A324" s="2" t="s">
        <v>1172</v>
      </c>
      <c r="B324" s="5">
        <v>115826663</v>
      </c>
      <c r="C324" s="2" t="s">
        <v>23</v>
      </c>
      <c r="D324" s="2" t="s">
        <v>1170</v>
      </c>
      <c r="E324" s="2" t="s">
        <v>1173</v>
      </c>
      <c r="F324" s="2" t="s">
        <v>26</v>
      </c>
      <c r="G324" s="2"/>
      <c r="H324" s="2"/>
      <c r="I324" s="2" t="s">
        <v>28</v>
      </c>
      <c r="J324" s="6"/>
      <c r="K324" s="2" t="s">
        <v>55</v>
      </c>
      <c r="L324" s="2" t="s">
        <v>56</v>
      </c>
      <c r="M324" s="2" t="s">
        <v>55</v>
      </c>
      <c r="N324" s="2"/>
      <c r="O324" s="2"/>
      <c r="P324" s="6" t="s">
        <v>57</v>
      </c>
      <c r="Q324" s="6" t="s">
        <v>57</v>
      </c>
      <c r="R324" s="6" t="s">
        <v>57</v>
      </c>
      <c r="S324" s="2"/>
      <c r="T324" s="6" t="s">
        <v>57</v>
      </c>
      <c r="U324" s="6" t="s">
        <v>57</v>
      </c>
      <c r="V324" s="6" t="s">
        <v>57</v>
      </c>
      <c r="W324" s="6" t="s">
        <v>57</v>
      </c>
      <c r="X324" s="6" t="s">
        <v>57</v>
      </c>
      <c r="Y324" s="6" t="s">
        <v>57</v>
      </c>
      <c r="Z324" s="6" t="s">
        <v>57</v>
      </c>
      <c r="AA324" s="6" t="s">
        <v>57</v>
      </c>
      <c r="AB324" s="6" t="s">
        <v>57</v>
      </c>
      <c r="AC324" s="6" t="s">
        <v>57</v>
      </c>
      <c r="AD324" s="6" t="s">
        <v>57</v>
      </c>
      <c r="AE324" s="6" t="s">
        <v>57</v>
      </c>
      <c r="AF324" s="6" t="s">
        <v>57</v>
      </c>
      <c r="AG324" s="6" t="s">
        <v>57</v>
      </c>
      <c r="AH324" s="6" t="s">
        <v>57</v>
      </c>
      <c r="AI324" s="6" t="s">
        <v>57</v>
      </c>
      <c r="AJ324" s="6" t="s">
        <v>57</v>
      </c>
      <c r="AK324" s="6" t="s">
        <v>57</v>
      </c>
      <c r="AL324" s="6" t="s">
        <v>57</v>
      </c>
      <c r="AM324" s="6" t="s">
        <v>57</v>
      </c>
      <c r="AN324" s="6" t="s">
        <v>57</v>
      </c>
      <c r="AO324" s="6" t="s">
        <v>57</v>
      </c>
      <c r="AP324" s="6" t="s">
        <v>57</v>
      </c>
      <c r="AQ324" s="6" t="s">
        <v>57</v>
      </c>
    </row>
    <row r="325" spans="1:43" ht="15">
      <c r="A325" s="2" t="s">
        <v>1174</v>
      </c>
      <c r="B325" s="5">
        <v>5738574</v>
      </c>
      <c r="C325" s="2" t="s">
        <v>23</v>
      </c>
      <c r="D325" s="2" t="s">
        <v>1175</v>
      </c>
      <c r="E325" s="2" t="s">
        <v>1176</v>
      </c>
      <c r="F325" s="2" t="s">
        <v>26</v>
      </c>
      <c r="G325" s="2" t="s">
        <v>26</v>
      </c>
      <c r="H325" s="2" t="s">
        <v>27</v>
      </c>
      <c r="I325" s="2" t="s">
        <v>28</v>
      </c>
      <c r="J325" s="6"/>
      <c r="K325" s="2" t="s">
        <v>55</v>
      </c>
      <c r="L325" s="2" t="s">
        <v>56</v>
      </c>
      <c r="M325" s="2" t="s">
        <v>55</v>
      </c>
      <c r="N325" s="2"/>
      <c r="O325" s="2"/>
      <c r="P325" s="7">
        <v>8.7908356812795407</v>
      </c>
      <c r="Q325" s="6" t="s">
        <v>57</v>
      </c>
      <c r="R325" s="9">
        <v>0</v>
      </c>
      <c r="S325" s="2"/>
      <c r="T325" s="9">
        <v>0</v>
      </c>
      <c r="U325" s="9">
        <v>0</v>
      </c>
      <c r="V325" s="9">
        <v>0</v>
      </c>
      <c r="W325" s="9">
        <v>776</v>
      </c>
      <c r="X325" s="9">
        <v>773</v>
      </c>
      <c r="Y325" s="9">
        <v>1265</v>
      </c>
      <c r="Z325" s="9">
        <v>1092</v>
      </c>
      <c r="AA325" s="9">
        <v>2015</v>
      </c>
      <c r="AB325" s="9">
        <v>0</v>
      </c>
      <c r="AC325" s="9">
        <v>0</v>
      </c>
      <c r="AD325" s="9">
        <v>0</v>
      </c>
      <c r="AE325" s="6" t="s">
        <v>57</v>
      </c>
      <c r="AF325" s="6" t="s">
        <v>57</v>
      </c>
      <c r="AG325" s="6" t="s">
        <v>57</v>
      </c>
      <c r="AH325" s="6" t="s">
        <v>57</v>
      </c>
      <c r="AI325" s="6" t="s">
        <v>57</v>
      </c>
      <c r="AJ325" s="6" t="s">
        <v>57</v>
      </c>
      <c r="AK325" s="6" t="s">
        <v>57</v>
      </c>
      <c r="AL325" s="6" t="s">
        <v>57</v>
      </c>
      <c r="AM325" s="6" t="s">
        <v>57</v>
      </c>
      <c r="AN325" s="6" t="s">
        <v>57</v>
      </c>
      <c r="AO325" s="6" t="s">
        <v>57</v>
      </c>
      <c r="AP325" s="6" t="s">
        <v>57</v>
      </c>
      <c r="AQ325" s="9">
        <v>0</v>
      </c>
    </row>
    <row r="326" spans="1:43" ht="15">
      <c r="A326" s="2" t="s">
        <v>1177</v>
      </c>
      <c r="B326" s="5">
        <v>6838111</v>
      </c>
      <c r="C326" s="2" t="s">
        <v>23</v>
      </c>
      <c r="D326" s="2" t="s">
        <v>1178</v>
      </c>
      <c r="E326" s="2" t="s">
        <v>1179</v>
      </c>
      <c r="F326" s="2" t="s">
        <v>26</v>
      </c>
      <c r="G326" s="2" t="s">
        <v>26</v>
      </c>
      <c r="H326" s="2" t="s">
        <v>27</v>
      </c>
      <c r="I326" s="2" t="s">
        <v>28</v>
      </c>
      <c r="J326" s="6"/>
      <c r="K326" s="2" t="s">
        <v>55</v>
      </c>
      <c r="L326" s="2" t="s">
        <v>56</v>
      </c>
      <c r="M326" s="2" t="s">
        <v>55</v>
      </c>
      <c r="N326" s="2"/>
      <c r="O326" s="2"/>
      <c r="P326" s="6" t="s">
        <v>57</v>
      </c>
      <c r="Q326" s="6" t="s">
        <v>57</v>
      </c>
      <c r="R326" s="9">
        <v>0</v>
      </c>
      <c r="S326" s="2"/>
      <c r="T326" s="9">
        <v>0</v>
      </c>
      <c r="U326" s="9">
        <v>0</v>
      </c>
      <c r="V326" s="9">
        <v>0</v>
      </c>
      <c r="W326" s="9">
        <v>0</v>
      </c>
      <c r="X326" s="9">
        <v>0</v>
      </c>
      <c r="Y326" s="9">
        <v>118</v>
      </c>
      <c r="Z326" s="9">
        <v>208</v>
      </c>
      <c r="AA326" s="9">
        <v>1396</v>
      </c>
      <c r="AB326" s="9">
        <v>0</v>
      </c>
      <c r="AC326" s="9">
        <v>0</v>
      </c>
      <c r="AD326" s="9">
        <v>0</v>
      </c>
      <c r="AE326" s="6" t="s">
        <v>57</v>
      </c>
      <c r="AF326" s="6" t="s">
        <v>57</v>
      </c>
      <c r="AG326" s="6" t="s">
        <v>57</v>
      </c>
      <c r="AH326" s="6" t="s">
        <v>57</v>
      </c>
      <c r="AI326" s="6" t="s">
        <v>57</v>
      </c>
      <c r="AJ326" s="6" t="s">
        <v>57</v>
      </c>
      <c r="AK326" s="6" t="s">
        <v>57</v>
      </c>
      <c r="AL326" s="6" t="s">
        <v>57</v>
      </c>
      <c r="AM326" s="6" t="s">
        <v>57</v>
      </c>
      <c r="AN326" s="6" t="s">
        <v>57</v>
      </c>
      <c r="AO326" s="6" t="s">
        <v>57</v>
      </c>
      <c r="AP326" s="6" t="s">
        <v>57</v>
      </c>
      <c r="AQ326" s="9">
        <v>0</v>
      </c>
    </row>
    <row r="327" spans="1:43" ht="15">
      <c r="A327" s="2" t="s">
        <v>1180</v>
      </c>
      <c r="B327" s="5">
        <v>6151847</v>
      </c>
      <c r="C327" s="2" t="s">
        <v>23</v>
      </c>
      <c r="D327" s="2" t="s">
        <v>1181</v>
      </c>
      <c r="E327" s="2" t="s">
        <v>1182</v>
      </c>
      <c r="F327" s="2" t="s">
        <v>26</v>
      </c>
      <c r="G327" s="2" t="s">
        <v>26</v>
      </c>
      <c r="H327" s="2" t="s">
        <v>27</v>
      </c>
      <c r="I327" s="2" t="s">
        <v>28</v>
      </c>
      <c r="J327" s="6"/>
      <c r="K327" s="2" t="s">
        <v>55</v>
      </c>
      <c r="L327" s="2" t="s">
        <v>56</v>
      </c>
      <c r="M327" s="2" t="s">
        <v>55</v>
      </c>
      <c r="N327" s="2"/>
      <c r="O327" s="2"/>
      <c r="P327" s="7">
        <v>71.599351277493298</v>
      </c>
      <c r="Q327" s="6" t="s">
        <v>57</v>
      </c>
      <c r="R327" s="9">
        <v>0</v>
      </c>
      <c r="S327" s="2" t="s">
        <v>1183</v>
      </c>
      <c r="T327" s="9">
        <v>0</v>
      </c>
      <c r="U327" s="9">
        <v>113</v>
      </c>
      <c r="V327" s="9">
        <v>42</v>
      </c>
      <c r="W327" s="9">
        <v>13</v>
      </c>
      <c r="X327" s="9">
        <v>13</v>
      </c>
      <c r="Y327" s="9">
        <v>257</v>
      </c>
      <c r="Z327" s="9">
        <v>217</v>
      </c>
      <c r="AA327" s="9">
        <v>6252</v>
      </c>
      <c r="AB327" s="9">
        <v>129</v>
      </c>
      <c r="AC327" s="9">
        <v>44</v>
      </c>
      <c r="AD327" s="9">
        <v>22</v>
      </c>
      <c r="AE327" s="6" t="s">
        <v>57</v>
      </c>
      <c r="AF327" s="6" t="s">
        <v>57</v>
      </c>
      <c r="AG327" s="6" t="s">
        <v>57</v>
      </c>
      <c r="AH327" s="6" t="s">
        <v>57</v>
      </c>
      <c r="AI327" s="6" t="s">
        <v>57</v>
      </c>
      <c r="AJ327" s="6" t="s">
        <v>57</v>
      </c>
      <c r="AK327" s="6" t="s">
        <v>57</v>
      </c>
      <c r="AL327" s="6" t="s">
        <v>57</v>
      </c>
      <c r="AM327" s="6" t="s">
        <v>57</v>
      </c>
      <c r="AN327" s="6" t="s">
        <v>57</v>
      </c>
      <c r="AO327" s="6" t="s">
        <v>57</v>
      </c>
      <c r="AP327" s="6" t="s">
        <v>57</v>
      </c>
      <c r="AQ327" s="9">
        <v>0</v>
      </c>
    </row>
    <row r="328" spans="1:43" ht="15">
      <c r="A328" s="2" t="s">
        <v>1184</v>
      </c>
      <c r="B328" s="5">
        <v>6832797</v>
      </c>
      <c r="C328" s="2" t="s">
        <v>23</v>
      </c>
      <c r="D328" s="2" t="s">
        <v>1185</v>
      </c>
      <c r="E328" s="2" t="s">
        <v>1186</v>
      </c>
      <c r="F328" s="2" t="s">
        <v>26</v>
      </c>
      <c r="G328" s="2" t="s">
        <v>26</v>
      </c>
      <c r="H328" s="2" t="s">
        <v>27</v>
      </c>
      <c r="I328" s="2" t="s">
        <v>28</v>
      </c>
      <c r="J328" s="6"/>
      <c r="K328" s="2" t="s">
        <v>55</v>
      </c>
      <c r="L328" s="2" t="s">
        <v>56</v>
      </c>
      <c r="M328" s="2" t="s">
        <v>55</v>
      </c>
      <c r="N328" s="2"/>
      <c r="O328" s="2"/>
      <c r="P328" s="7">
        <v>127.11850141227001</v>
      </c>
      <c r="Q328" s="6" t="s">
        <v>57</v>
      </c>
      <c r="R328" s="9">
        <v>0</v>
      </c>
      <c r="S328" s="2" t="s">
        <v>1187</v>
      </c>
      <c r="T328" s="9">
        <v>0</v>
      </c>
      <c r="U328" s="9">
        <v>0</v>
      </c>
      <c r="V328" s="9">
        <v>0</v>
      </c>
      <c r="W328" s="9">
        <v>0</v>
      </c>
      <c r="X328" s="9">
        <v>0</v>
      </c>
      <c r="Y328" s="9">
        <v>0</v>
      </c>
      <c r="Z328" s="9">
        <v>36554</v>
      </c>
      <c r="AA328" s="9">
        <v>36554</v>
      </c>
      <c r="AB328" s="9">
        <v>0</v>
      </c>
      <c r="AC328" s="9">
        <v>0</v>
      </c>
      <c r="AD328" s="9">
        <v>0</v>
      </c>
      <c r="AE328" s="6" t="s">
        <v>57</v>
      </c>
      <c r="AF328" s="6" t="s">
        <v>57</v>
      </c>
      <c r="AG328" s="6" t="s">
        <v>57</v>
      </c>
      <c r="AH328" s="6" t="s">
        <v>57</v>
      </c>
      <c r="AI328" s="6" t="s">
        <v>57</v>
      </c>
      <c r="AJ328" s="6" t="s">
        <v>57</v>
      </c>
      <c r="AK328" s="6" t="s">
        <v>57</v>
      </c>
      <c r="AL328" s="6" t="s">
        <v>57</v>
      </c>
      <c r="AM328" s="6" t="s">
        <v>57</v>
      </c>
      <c r="AN328" s="6" t="s">
        <v>57</v>
      </c>
      <c r="AO328" s="6" t="s">
        <v>57</v>
      </c>
      <c r="AP328" s="6" t="s">
        <v>57</v>
      </c>
      <c r="AQ328" s="9">
        <v>0</v>
      </c>
    </row>
    <row r="329" spans="1:43" ht="15">
      <c r="A329" s="2" t="s">
        <v>1188</v>
      </c>
      <c r="B329" s="5">
        <v>20266480</v>
      </c>
      <c r="C329" s="2" t="s">
        <v>23</v>
      </c>
      <c r="D329" s="2" t="s">
        <v>1189</v>
      </c>
      <c r="E329" s="2" t="s">
        <v>1190</v>
      </c>
      <c r="F329" s="2" t="s">
        <v>26</v>
      </c>
      <c r="G329" s="2" t="s">
        <v>26</v>
      </c>
      <c r="H329" s="2" t="s">
        <v>27</v>
      </c>
      <c r="I329" s="2" t="s">
        <v>28</v>
      </c>
      <c r="J329" s="6"/>
      <c r="K329" s="2" t="s">
        <v>55</v>
      </c>
      <c r="L329" s="2" t="s">
        <v>56</v>
      </c>
      <c r="M329" s="2" t="s">
        <v>55</v>
      </c>
      <c r="N329" s="2"/>
      <c r="O329" s="2"/>
      <c r="P329" s="6" t="s">
        <v>57</v>
      </c>
      <c r="Q329" s="6" t="s">
        <v>57</v>
      </c>
      <c r="R329" s="9">
        <v>0</v>
      </c>
      <c r="S329" s="2"/>
      <c r="T329" s="9">
        <v>0</v>
      </c>
      <c r="U329" s="9">
        <v>0</v>
      </c>
      <c r="V329" s="9">
        <v>0</v>
      </c>
      <c r="W329" s="9">
        <v>0</v>
      </c>
      <c r="X329" s="9">
        <v>0</v>
      </c>
      <c r="Y329" s="9">
        <v>0</v>
      </c>
      <c r="Z329" s="9">
        <v>0</v>
      </c>
      <c r="AA329" s="9">
        <v>10</v>
      </c>
      <c r="AB329" s="9">
        <v>0</v>
      </c>
      <c r="AC329" s="9">
        <v>0</v>
      </c>
      <c r="AD329" s="9">
        <v>0</v>
      </c>
      <c r="AE329" s="6" t="s">
        <v>57</v>
      </c>
      <c r="AF329" s="6" t="s">
        <v>57</v>
      </c>
      <c r="AG329" s="6" t="s">
        <v>57</v>
      </c>
      <c r="AH329" s="6" t="s">
        <v>57</v>
      </c>
      <c r="AI329" s="6" t="s">
        <v>57</v>
      </c>
      <c r="AJ329" s="6" t="s">
        <v>57</v>
      </c>
      <c r="AK329" s="6" t="s">
        <v>57</v>
      </c>
      <c r="AL329" s="6" t="s">
        <v>57</v>
      </c>
      <c r="AM329" s="6" t="s">
        <v>57</v>
      </c>
      <c r="AN329" s="6" t="s">
        <v>57</v>
      </c>
      <c r="AO329" s="6" t="s">
        <v>57</v>
      </c>
      <c r="AP329" s="6" t="s">
        <v>57</v>
      </c>
      <c r="AQ329" s="9">
        <v>0</v>
      </c>
    </row>
    <row r="330" spans="1:43" ht="15">
      <c r="A330" s="2" t="s">
        <v>1191</v>
      </c>
      <c r="B330" s="5">
        <v>15073226</v>
      </c>
      <c r="C330" s="2" t="s">
        <v>23</v>
      </c>
      <c r="D330" s="2" t="s">
        <v>1192</v>
      </c>
      <c r="E330" s="2" t="s">
        <v>1193</v>
      </c>
      <c r="F330" s="2" t="s">
        <v>26</v>
      </c>
      <c r="G330" s="2" t="s">
        <v>26</v>
      </c>
      <c r="H330" s="2" t="s">
        <v>27</v>
      </c>
      <c r="I330" s="2" t="s">
        <v>28</v>
      </c>
      <c r="J330" s="6"/>
      <c r="K330" s="2" t="s">
        <v>55</v>
      </c>
      <c r="L330" s="2" t="s">
        <v>56</v>
      </c>
      <c r="M330" s="2" t="s">
        <v>55</v>
      </c>
      <c r="N330" s="2"/>
      <c r="O330" s="2"/>
      <c r="P330" s="6" t="s">
        <v>57</v>
      </c>
      <c r="Q330" s="6" t="s">
        <v>57</v>
      </c>
      <c r="R330" s="9">
        <v>0</v>
      </c>
      <c r="S330" s="2"/>
      <c r="T330" s="9">
        <v>0</v>
      </c>
      <c r="U330" s="9">
        <v>0</v>
      </c>
      <c r="V330" s="9">
        <v>0</v>
      </c>
      <c r="W330" s="9">
        <v>0</v>
      </c>
      <c r="X330" s="9">
        <v>0</v>
      </c>
      <c r="Y330" s="9">
        <v>26</v>
      </c>
      <c r="Z330" s="9">
        <v>26</v>
      </c>
      <c r="AA330" s="9">
        <v>45</v>
      </c>
      <c r="AB330" s="9">
        <v>0</v>
      </c>
      <c r="AC330" s="9">
        <v>0</v>
      </c>
      <c r="AD330" s="9">
        <v>0</v>
      </c>
      <c r="AE330" s="6" t="s">
        <v>57</v>
      </c>
      <c r="AF330" s="6" t="s">
        <v>57</v>
      </c>
      <c r="AG330" s="6" t="s">
        <v>57</v>
      </c>
      <c r="AH330" s="6" t="s">
        <v>57</v>
      </c>
      <c r="AI330" s="6" t="s">
        <v>57</v>
      </c>
      <c r="AJ330" s="6" t="s">
        <v>57</v>
      </c>
      <c r="AK330" s="6" t="s">
        <v>57</v>
      </c>
      <c r="AL330" s="6" t="s">
        <v>57</v>
      </c>
      <c r="AM330" s="6" t="s">
        <v>57</v>
      </c>
      <c r="AN330" s="6" t="s">
        <v>57</v>
      </c>
      <c r="AO330" s="6" t="s">
        <v>57</v>
      </c>
      <c r="AP330" s="6" t="s">
        <v>57</v>
      </c>
      <c r="AQ330" s="9">
        <v>0</v>
      </c>
    </row>
    <row r="331" spans="1:43" ht="15">
      <c r="A331" s="2" t="s">
        <v>1194</v>
      </c>
      <c r="B331" s="5">
        <v>5737026</v>
      </c>
      <c r="C331" s="2" t="s">
        <v>23</v>
      </c>
      <c r="D331" s="2" t="s">
        <v>1195</v>
      </c>
      <c r="E331" s="2" t="s">
        <v>1196</v>
      </c>
      <c r="F331" s="2" t="s">
        <v>26</v>
      </c>
      <c r="G331" s="2" t="s">
        <v>26</v>
      </c>
      <c r="H331" s="2" t="s">
        <v>27</v>
      </c>
      <c r="I331" s="2" t="s">
        <v>28</v>
      </c>
      <c r="J331" s="6"/>
      <c r="K331" s="2" t="s">
        <v>55</v>
      </c>
      <c r="L331" s="2" t="s">
        <v>56</v>
      </c>
      <c r="M331" s="2" t="s">
        <v>55</v>
      </c>
      <c r="N331" s="2"/>
      <c r="O331" s="2"/>
      <c r="P331" s="7">
        <v>197.75986585406301</v>
      </c>
      <c r="Q331" s="6" t="s">
        <v>57</v>
      </c>
      <c r="R331" s="9">
        <v>0</v>
      </c>
      <c r="S331" s="2" t="s">
        <v>1197</v>
      </c>
      <c r="T331" s="9">
        <v>0</v>
      </c>
      <c r="U331" s="9">
        <v>0</v>
      </c>
      <c r="V331" s="9">
        <v>0</v>
      </c>
      <c r="W331" s="9">
        <v>0</v>
      </c>
      <c r="X331" s="9">
        <v>0</v>
      </c>
      <c r="Y331" s="9">
        <v>10769</v>
      </c>
      <c r="Z331" s="9">
        <v>81890</v>
      </c>
      <c r="AA331" s="9">
        <v>81890</v>
      </c>
      <c r="AB331" s="9">
        <v>0</v>
      </c>
      <c r="AC331" s="9">
        <v>0</v>
      </c>
      <c r="AD331" s="9">
        <v>0</v>
      </c>
      <c r="AE331" s="6" t="s">
        <v>57</v>
      </c>
      <c r="AF331" s="6" t="s">
        <v>57</v>
      </c>
      <c r="AG331" s="6" t="s">
        <v>57</v>
      </c>
      <c r="AH331" s="6" t="s">
        <v>57</v>
      </c>
      <c r="AI331" s="6" t="s">
        <v>57</v>
      </c>
      <c r="AJ331" s="6" t="s">
        <v>57</v>
      </c>
      <c r="AK331" s="6" t="s">
        <v>57</v>
      </c>
      <c r="AL331" s="6" t="s">
        <v>57</v>
      </c>
      <c r="AM331" s="6" t="s">
        <v>57</v>
      </c>
      <c r="AN331" s="6" t="s">
        <v>57</v>
      </c>
      <c r="AO331" s="6" t="s">
        <v>57</v>
      </c>
      <c r="AP331" s="6" t="s">
        <v>57</v>
      </c>
      <c r="AQ331" s="9">
        <v>0</v>
      </c>
    </row>
    <row r="332" spans="1:43" ht="15">
      <c r="A332" s="2" t="s">
        <v>1198</v>
      </c>
      <c r="B332" s="5">
        <v>20266595</v>
      </c>
      <c r="C332" s="2" t="s">
        <v>23</v>
      </c>
      <c r="D332" s="2" t="s">
        <v>1199</v>
      </c>
      <c r="E332" s="2" t="s">
        <v>1200</v>
      </c>
      <c r="F332" s="2" t="s">
        <v>26</v>
      </c>
      <c r="G332" s="2"/>
      <c r="H332" s="2"/>
      <c r="I332" s="2" t="s">
        <v>28</v>
      </c>
      <c r="J332" s="6"/>
      <c r="K332" s="2" t="s">
        <v>55</v>
      </c>
      <c r="L332" s="2" t="s">
        <v>56</v>
      </c>
      <c r="M332" s="2" t="s">
        <v>55</v>
      </c>
      <c r="N332" s="2"/>
      <c r="O332" s="2"/>
      <c r="P332" s="6" t="s">
        <v>57</v>
      </c>
      <c r="Q332" s="6" t="s">
        <v>57</v>
      </c>
      <c r="R332" s="9">
        <v>0</v>
      </c>
      <c r="S332" s="2"/>
      <c r="T332" s="9">
        <v>0</v>
      </c>
      <c r="U332" s="9">
        <v>0</v>
      </c>
      <c r="V332" s="9">
        <v>0</v>
      </c>
      <c r="W332" s="9">
        <v>7</v>
      </c>
      <c r="X332" s="9">
        <v>7</v>
      </c>
      <c r="Y332" s="9">
        <v>12</v>
      </c>
      <c r="Z332" s="9">
        <v>12</v>
      </c>
      <c r="AA332" s="9">
        <v>12</v>
      </c>
      <c r="AB332" s="9">
        <v>0</v>
      </c>
      <c r="AC332" s="9">
        <v>0</v>
      </c>
      <c r="AD332" s="9">
        <v>0</v>
      </c>
      <c r="AE332" s="6" t="s">
        <v>57</v>
      </c>
      <c r="AF332" s="6" t="s">
        <v>57</v>
      </c>
      <c r="AG332" s="6" t="s">
        <v>57</v>
      </c>
      <c r="AH332" s="6" t="s">
        <v>57</v>
      </c>
      <c r="AI332" s="6" t="s">
        <v>57</v>
      </c>
      <c r="AJ332" s="6" t="s">
        <v>57</v>
      </c>
      <c r="AK332" s="6" t="s">
        <v>57</v>
      </c>
      <c r="AL332" s="6" t="s">
        <v>57</v>
      </c>
      <c r="AM332" s="6" t="s">
        <v>57</v>
      </c>
      <c r="AN332" s="6" t="s">
        <v>57</v>
      </c>
      <c r="AO332" s="6" t="s">
        <v>57</v>
      </c>
      <c r="AP332" s="6" t="s">
        <v>57</v>
      </c>
      <c r="AQ332" s="9">
        <v>0</v>
      </c>
    </row>
    <row r="333" spans="1:43" ht="15">
      <c r="A333" s="2" t="s">
        <v>1201</v>
      </c>
      <c r="B333" s="5">
        <v>19186504</v>
      </c>
      <c r="C333" s="2" t="s">
        <v>23</v>
      </c>
      <c r="D333" s="2" t="s">
        <v>1202</v>
      </c>
      <c r="E333" s="2" t="s">
        <v>1203</v>
      </c>
      <c r="F333" s="2" t="s">
        <v>26</v>
      </c>
      <c r="G333" s="2" t="s">
        <v>26</v>
      </c>
      <c r="H333" s="2" t="s">
        <v>27</v>
      </c>
      <c r="I333" s="2" t="s">
        <v>28</v>
      </c>
      <c r="J333" s="6"/>
      <c r="K333" s="2" t="s">
        <v>55</v>
      </c>
      <c r="L333" s="2" t="s">
        <v>56</v>
      </c>
      <c r="M333" s="2" t="s">
        <v>55</v>
      </c>
      <c r="N333" s="2"/>
      <c r="O333" s="2"/>
      <c r="P333" s="7">
        <v>16.095422555803101</v>
      </c>
      <c r="Q333" s="6" t="s">
        <v>57</v>
      </c>
      <c r="R333" s="9">
        <v>0</v>
      </c>
      <c r="S333" s="2"/>
      <c r="T333" s="9">
        <v>0</v>
      </c>
      <c r="U333" s="9">
        <v>0</v>
      </c>
      <c r="V333" s="9">
        <v>147</v>
      </c>
      <c r="W333" s="9">
        <v>227</v>
      </c>
      <c r="X333" s="9">
        <v>226</v>
      </c>
      <c r="Y333" s="9">
        <v>337</v>
      </c>
      <c r="Z333" s="9">
        <v>426</v>
      </c>
      <c r="AA333" s="9">
        <v>894</v>
      </c>
      <c r="AB333" s="9">
        <v>0</v>
      </c>
      <c r="AC333" s="9">
        <v>155</v>
      </c>
      <c r="AD333" s="9">
        <v>76</v>
      </c>
      <c r="AE333" s="6" t="s">
        <v>57</v>
      </c>
      <c r="AF333" s="6" t="s">
        <v>57</v>
      </c>
      <c r="AG333" s="6" t="s">
        <v>57</v>
      </c>
      <c r="AH333" s="6" t="s">
        <v>57</v>
      </c>
      <c r="AI333" s="6" t="s">
        <v>57</v>
      </c>
      <c r="AJ333" s="6" t="s">
        <v>57</v>
      </c>
      <c r="AK333" s="6" t="s">
        <v>57</v>
      </c>
      <c r="AL333" s="6" t="s">
        <v>57</v>
      </c>
      <c r="AM333" s="6" t="s">
        <v>57</v>
      </c>
      <c r="AN333" s="6" t="s">
        <v>57</v>
      </c>
      <c r="AO333" s="6" t="s">
        <v>57</v>
      </c>
      <c r="AP333" s="6" t="s">
        <v>57</v>
      </c>
      <c r="AQ333" s="9">
        <v>0</v>
      </c>
    </row>
    <row r="334" spans="1:43" ht="15">
      <c r="A334" s="2" t="s">
        <v>1204</v>
      </c>
      <c r="B334" s="5">
        <v>111672040</v>
      </c>
      <c r="C334" s="2" t="s">
        <v>23</v>
      </c>
      <c r="D334" s="2" t="s">
        <v>1205</v>
      </c>
      <c r="E334" s="2" t="s">
        <v>1206</v>
      </c>
      <c r="F334" s="2" t="s">
        <v>26</v>
      </c>
      <c r="G334" s="2"/>
      <c r="H334" s="2"/>
      <c r="I334" s="2" t="s">
        <v>28</v>
      </c>
      <c r="J334" s="6"/>
      <c r="K334" s="2" t="s">
        <v>55</v>
      </c>
      <c r="L334" s="2" t="s">
        <v>56</v>
      </c>
      <c r="M334" s="2" t="s">
        <v>55</v>
      </c>
      <c r="N334" s="2"/>
      <c r="O334" s="2"/>
      <c r="P334" s="6" t="s">
        <v>57</v>
      </c>
      <c r="Q334" s="6" t="s">
        <v>57</v>
      </c>
      <c r="R334" s="9">
        <v>0</v>
      </c>
      <c r="S334" s="2"/>
      <c r="T334" s="9">
        <v>0</v>
      </c>
      <c r="U334" s="9">
        <v>0</v>
      </c>
      <c r="V334" s="9">
        <v>856</v>
      </c>
      <c r="W334" s="9">
        <v>986</v>
      </c>
      <c r="X334" s="9">
        <v>982</v>
      </c>
      <c r="Y334" s="9">
        <v>1116</v>
      </c>
      <c r="Z334" s="9">
        <v>1399</v>
      </c>
      <c r="AA334" s="9">
        <v>1399</v>
      </c>
      <c r="AB334" s="9">
        <v>0</v>
      </c>
      <c r="AC334" s="9">
        <v>898</v>
      </c>
      <c r="AD334" s="9">
        <v>503</v>
      </c>
      <c r="AE334" s="6" t="s">
        <v>57</v>
      </c>
      <c r="AF334" s="6" t="s">
        <v>57</v>
      </c>
      <c r="AG334" s="6" t="s">
        <v>57</v>
      </c>
      <c r="AH334" s="6" t="s">
        <v>57</v>
      </c>
      <c r="AI334" s="6" t="s">
        <v>57</v>
      </c>
      <c r="AJ334" s="6" t="s">
        <v>57</v>
      </c>
      <c r="AK334" s="6" t="s">
        <v>57</v>
      </c>
      <c r="AL334" s="6" t="s">
        <v>57</v>
      </c>
      <c r="AM334" s="6" t="s">
        <v>57</v>
      </c>
      <c r="AN334" s="6" t="s">
        <v>57</v>
      </c>
      <c r="AO334" s="6" t="s">
        <v>57</v>
      </c>
      <c r="AP334" s="6" t="s">
        <v>57</v>
      </c>
      <c r="AQ334" s="9">
        <v>0</v>
      </c>
    </row>
    <row r="335" spans="1:43" ht="15">
      <c r="A335" s="2" t="s">
        <v>1207</v>
      </c>
      <c r="B335" s="5">
        <v>116309238</v>
      </c>
      <c r="C335" s="2" t="s">
        <v>23</v>
      </c>
      <c r="D335" s="2" t="s">
        <v>1208</v>
      </c>
      <c r="E335" s="2" t="s">
        <v>1209</v>
      </c>
      <c r="F335" s="2" t="s">
        <v>26</v>
      </c>
      <c r="G335" s="2" t="s">
        <v>26</v>
      </c>
      <c r="H335" s="2" t="s">
        <v>27</v>
      </c>
      <c r="I335" s="2" t="s">
        <v>28</v>
      </c>
      <c r="J335" s="6"/>
      <c r="K335" s="2" t="s">
        <v>55</v>
      </c>
      <c r="L335" s="2" t="s">
        <v>56</v>
      </c>
      <c r="M335" s="2" t="s">
        <v>55</v>
      </c>
      <c r="N335" s="2"/>
      <c r="O335" s="2"/>
      <c r="P335" s="6" t="s">
        <v>57</v>
      </c>
      <c r="Q335" s="6" t="s">
        <v>57</v>
      </c>
      <c r="R335" s="6" t="s">
        <v>57</v>
      </c>
      <c r="S335" s="2"/>
      <c r="T335" s="6" t="s">
        <v>57</v>
      </c>
      <c r="U335" s="6" t="s">
        <v>57</v>
      </c>
      <c r="V335" s="6" t="s">
        <v>57</v>
      </c>
      <c r="W335" s="6" t="s">
        <v>57</v>
      </c>
      <c r="X335" s="6" t="s">
        <v>57</v>
      </c>
      <c r="Y335" s="6" t="s">
        <v>57</v>
      </c>
      <c r="Z335" s="6" t="s">
        <v>57</v>
      </c>
      <c r="AA335" s="6" t="s">
        <v>57</v>
      </c>
      <c r="AB335" s="6" t="s">
        <v>57</v>
      </c>
      <c r="AC335" s="6" t="s">
        <v>57</v>
      </c>
      <c r="AD335" s="6" t="s">
        <v>57</v>
      </c>
      <c r="AE335" s="6" t="s">
        <v>57</v>
      </c>
      <c r="AF335" s="6" t="s">
        <v>57</v>
      </c>
      <c r="AG335" s="6" t="s">
        <v>57</v>
      </c>
      <c r="AH335" s="6" t="s">
        <v>57</v>
      </c>
      <c r="AI335" s="6" t="s">
        <v>57</v>
      </c>
      <c r="AJ335" s="6" t="s">
        <v>57</v>
      </c>
      <c r="AK335" s="6" t="s">
        <v>57</v>
      </c>
      <c r="AL335" s="6" t="s">
        <v>57</v>
      </c>
      <c r="AM335" s="6" t="s">
        <v>57</v>
      </c>
      <c r="AN335" s="6" t="s">
        <v>57</v>
      </c>
      <c r="AO335" s="6" t="s">
        <v>57</v>
      </c>
      <c r="AP335" s="6" t="s">
        <v>57</v>
      </c>
      <c r="AQ335" s="6" t="s">
        <v>57</v>
      </c>
    </row>
    <row r="336" spans="1:43" ht="15">
      <c r="A336" s="2" t="s">
        <v>1210</v>
      </c>
      <c r="B336" s="5">
        <v>122970626</v>
      </c>
      <c r="C336" s="2" t="s">
        <v>23</v>
      </c>
      <c r="D336" s="2" t="s">
        <v>1211</v>
      </c>
      <c r="E336" s="2" t="s">
        <v>1212</v>
      </c>
      <c r="F336" s="2" t="s">
        <v>26</v>
      </c>
      <c r="G336" s="2" t="s">
        <v>26</v>
      </c>
      <c r="H336" s="2" t="s">
        <v>27</v>
      </c>
      <c r="I336" s="2" t="s">
        <v>28</v>
      </c>
      <c r="J336" s="6"/>
      <c r="K336" s="2" t="s">
        <v>55</v>
      </c>
      <c r="L336" s="2" t="s">
        <v>56</v>
      </c>
      <c r="M336" s="2" t="s">
        <v>55</v>
      </c>
      <c r="N336" s="2"/>
      <c r="O336" s="2"/>
      <c r="P336" s="6" t="s">
        <v>57</v>
      </c>
      <c r="Q336" s="6" t="s">
        <v>57</v>
      </c>
      <c r="R336" s="6" t="s">
        <v>57</v>
      </c>
      <c r="S336" s="2"/>
      <c r="T336" s="6" t="s">
        <v>57</v>
      </c>
      <c r="U336" s="6" t="s">
        <v>57</v>
      </c>
      <c r="V336" s="6" t="s">
        <v>57</v>
      </c>
      <c r="W336" s="6" t="s">
        <v>57</v>
      </c>
      <c r="X336" s="6" t="s">
        <v>57</v>
      </c>
      <c r="Y336" s="6" t="s">
        <v>57</v>
      </c>
      <c r="Z336" s="6" t="s">
        <v>57</v>
      </c>
      <c r="AA336" s="6" t="s">
        <v>57</v>
      </c>
      <c r="AB336" s="6" t="s">
        <v>57</v>
      </c>
      <c r="AC336" s="6" t="s">
        <v>57</v>
      </c>
      <c r="AD336" s="6" t="s">
        <v>57</v>
      </c>
      <c r="AE336" s="6" t="s">
        <v>57</v>
      </c>
      <c r="AF336" s="6" t="s">
        <v>57</v>
      </c>
      <c r="AG336" s="6" t="s">
        <v>57</v>
      </c>
      <c r="AH336" s="6" t="s">
        <v>57</v>
      </c>
      <c r="AI336" s="6" t="s">
        <v>57</v>
      </c>
      <c r="AJ336" s="6" t="s">
        <v>57</v>
      </c>
      <c r="AK336" s="6" t="s">
        <v>57</v>
      </c>
      <c r="AL336" s="6" t="s">
        <v>57</v>
      </c>
      <c r="AM336" s="6" t="s">
        <v>57</v>
      </c>
      <c r="AN336" s="6" t="s">
        <v>57</v>
      </c>
      <c r="AO336" s="6" t="s">
        <v>57</v>
      </c>
      <c r="AP336" s="6" t="s">
        <v>57</v>
      </c>
      <c r="AQ336" s="6" t="s">
        <v>57</v>
      </c>
    </row>
    <row r="337" spans="1:43" ht="15">
      <c r="A337" s="2" t="s">
        <v>1213</v>
      </c>
      <c r="B337" s="5">
        <v>20265778</v>
      </c>
      <c r="C337" s="2" t="s">
        <v>23</v>
      </c>
      <c r="D337" s="2" t="s">
        <v>1214</v>
      </c>
      <c r="E337" s="2" t="s">
        <v>1215</v>
      </c>
      <c r="F337" s="2" t="s">
        <v>26</v>
      </c>
      <c r="G337" s="2" t="s">
        <v>26</v>
      </c>
      <c r="H337" s="2" t="s">
        <v>27</v>
      </c>
      <c r="I337" s="2" t="s">
        <v>28</v>
      </c>
      <c r="J337" s="6"/>
      <c r="K337" s="2" t="s">
        <v>55</v>
      </c>
      <c r="L337" s="2" t="s">
        <v>56</v>
      </c>
      <c r="M337" s="2" t="s">
        <v>55</v>
      </c>
      <c r="N337" s="2"/>
      <c r="O337" s="2"/>
      <c r="P337" s="6" t="s">
        <v>57</v>
      </c>
      <c r="Q337" s="6" t="s">
        <v>57</v>
      </c>
      <c r="R337" s="9">
        <v>0</v>
      </c>
      <c r="S337" s="2"/>
      <c r="T337" s="9">
        <v>0</v>
      </c>
      <c r="U337" s="9">
        <v>0</v>
      </c>
      <c r="V337" s="9">
        <v>0</v>
      </c>
      <c r="W337" s="9">
        <v>0</v>
      </c>
      <c r="X337" s="9">
        <v>0</v>
      </c>
      <c r="Y337" s="9">
        <v>0</v>
      </c>
      <c r="Z337" s="9">
        <v>0</v>
      </c>
      <c r="AA337" s="9">
        <v>0</v>
      </c>
      <c r="AB337" s="9">
        <v>0</v>
      </c>
      <c r="AC337" s="9">
        <v>0</v>
      </c>
      <c r="AD337" s="9">
        <v>0</v>
      </c>
      <c r="AE337" s="6" t="s">
        <v>57</v>
      </c>
      <c r="AF337" s="6" t="s">
        <v>57</v>
      </c>
      <c r="AG337" s="6" t="s">
        <v>57</v>
      </c>
      <c r="AH337" s="6" t="s">
        <v>57</v>
      </c>
      <c r="AI337" s="6" t="s">
        <v>57</v>
      </c>
      <c r="AJ337" s="6" t="s">
        <v>57</v>
      </c>
      <c r="AK337" s="6" t="s">
        <v>57</v>
      </c>
      <c r="AL337" s="6" t="s">
        <v>57</v>
      </c>
      <c r="AM337" s="6" t="s">
        <v>57</v>
      </c>
      <c r="AN337" s="6" t="s">
        <v>57</v>
      </c>
      <c r="AO337" s="6" t="s">
        <v>57</v>
      </c>
      <c r="AP337" s="6" t="s">
        <v>57</v>
      </c>
      <c r="AQ337" s="9">
        <v>0</v>
      </c>
    </row>
    <row r="338" spans="1:43" ht="15">
      <c r="A338" s="2" t="s">
        <v>1216</v>
      </c>
      <c r="B338" s="5">
        <v>134317627</v>
      </c>
      <c r="C338" s="2" t="s">
        <v>23</v>
      </c>
      <c r="D338" s="2" t="s">
        <v>1217</v>
      </c>
      <c r="E338" s="2" t="s">
        <v>1218</v>
      </c>
      <c r="F338" s="2" t="s">
        <v>26</v>
      </c>
      <c r="G338" s="2" t="s">
        <v>26</v>
      </c>
      <c r="H338" s="2" t="s">
        <v>27</v>
      </c>
      <c r="I338" s="2" t="s">
        <v>28</v>
      </c>
      <c r="J338" s="6"/>
      <c r="K338" s="2" t="s">
        <v>55</v>
      </c>
      <c r="L338" s="2" t="s">
        <v>56</v>
      </c>
      <c r="M338" s="2" t="s">
        <v>55</v>
      </c>
      <c r="N338" s="2"/>
      <c r="O338" s="2"/>
      <c r="P338" s="6" t="s">
        <v>57</v>
      </c>
      <c r="Q338" s="6" t="s">
        <v>57</v>
      </c>
      <c r="R338" s="6" t="s">
        <v>57</v>
      </c>
      <c r="S338" s="2"/>
      <c r="T338" s="6" t="s">
        <v>57</v>
      </c>
      <c r="U338" s="6" t="s">
        <v>57</v>
      </c>
      <c r="V338" s="6" t="s">
        <v>57</v>
      </c>
      <c r="W338" s="6" t="s">
        <v>57</v>
      </c>
      <c r="X338" s="6" t="s">
        <v>57</v>
      </c>
      <c r="Y338" s="6" t="s">
        <v>57</v>
      </c>
      <c r="Z338" s="6" t="s">
        <v>57</v>
      </c>
      <c r="AA338" s="6" t="s">
        <v>57</v>
      </c>
      <c r="AB338" s="6" t="s">
        <v>57</v>
      </c>
      <c r="AC338" s="6" t="s">
        <v>57</v>
      </c>
      <c r="AD338" s="6" t="s">
        <v>57</v>
      </c>
      <c r="AE338" s="6" t="s">
        <v>57</v>
      </c>
      <c r="AF338" s="6" t="s">
        <v>57</v>
      </c>
      <c r="AG338" s="6" t="s">
        <v>57</v>
      </c>
      <c r="AH338" s="6" t="s">
        <v>57</v>
      </c>
      <c r="AI338" s="6" t="s">
        <v>57</v>
      </c>
      <c r="AJ338" s="6" t="s">
        <v>57</v>
      </c>
      <c r="AK338" s="6" t="s">
        <v>57</v>
      </c>
      <c r="AL338" s="6" t="s">
        <v>57</v>
      </c>
      <c r="AM338" s="6" t="s">
        <v>57</v>
      </c>
      <c r="AN338" s="6" t="s">
        <v>57</v>
      </c>
      <c r="AO338" s="6" t="s">
        <v>57</v>
      </c>
      <c r="AP338" s="6" t="s">
        <v>57</v>
      </c>
      <c r="AQ338" s="6" t="s">
        <v>57</v>
      </c>
    </row>
    <row r="339" spans="1:43" ht="15">
      <c r="A339" s="2" t="s">
        <v>1219</v>
      </c>
      <c r="B339" s="5">
        <v>8751594</v>
      </c>
      <c r="C339" s="2" t="s">
        <v>23</v>
      </c>
      <c r="D339" s="2" t="s">
        <v>1220</v>
      </c>
      <c r="E339" s="2" t="s">
        <v>1221</v>
      </c>
      <c r="F339" s="2" t="s">
        <v>26</v>
      </c>
      <c r="G339" s="2" t="s">
        <v>26</v>
      </c>
      <c r="H339" s="2" t="s">
        <v>27</v>
      </c>
      <c r="I339" s="2" t="s">
        <v>28</v>
      </c>
      <c r="J339" s="6"/>
      <c r="K339" s="2" t="s">
        <v>55</v>
      </c>
      <c r="L339" s="2" t="s">
        <v>56</v>
      </c>
      <c r="M339" s="2" t="s">
        <v>55</v>
      </c>
      <c r="N339" s="2"/>
      <c r="O339" s="2"/>
      <c r="P339" s="7">
        <v>3.2118836527436199</v>
      </c>
      <c r="Q339" s="6" t="s">
        <v>57</v>
      </c>
      <c r="R339" s="9">
        <v>26848</v>
      </c>
      <c r="S339" s="2"/>
      <c r="T339" s="9">
        <v>8949</v>
      </c>
      <c r="U339" s="9">
        <v>2237</v>
      </c>
      <c r="V339" s="9">
        <v>839</v>
      </c>
      <c r="W339" s="9">
        <v>216</v>
      </c>
      <c r="X339" s="9">
        <v>215</v>
      </c>
      <c r="Y339" s="9">
        <v>108</v>
      </c>
      <c r="Z339" s="9">
        <v>72</v>
      </c>
      <c r="AA339" s="9">
        <v>267</v>
      </c>
      <c r="AB339" s="9">
        <v>2557</v>
      </c>
      <c r="AC339" s="9">
        <v>880</v>
      </c>
      <c r="AD339" s="9">
        <v>433</v>
      </c>
      <c r="AE339" s="6" t="s">
        <v>57</v>
      </c>
      <c r="AF339" s="6" t="s">
        <v>57</v>
      </c>
      <c r="AG339" s="6" t="s">
        <v>57</v>
      </c>
      <c r="AH339" s="6" t="s">
        <v>57</v>
      </c>
      <c r="AI339" s="6" t="s">
        <v>57</v>
      </c>
      <c r="AJ339" s="6" t="s">
        <v>57</v>
      </c>
      <c r="AK339" s="6" t="s">
        <v>57</v>
      </c>
      <c r="AL339" s="6" t="s">
        <v>57</v>
      </c>
      <c r="AM339" s="6" t="s">
        <v>57</v>
      </c>
      <c r="AN339" s="6" t="s">
        <v>57</v>
      </c>
      <c r="AO339" s="6" t="s">
        <v>57</v>
      </c>
      <c r="AP339" s="6" t="s">
        <v>57</v>
      </c>
      <c r="AQ339" s="9">
        <v>53695</v>
      </c>
    </row>
    <row r="340" spans="1:43" ht="15">
      <c r="A340" s="2" t="s">
        <v>1222</v>
      </c>
      <c r="B340" s="5">
        <v>116245378</v>
      </c>
      <c r="C340" s="2" t="s">
        <v>23</v>
      </c>
      <c r="D340" s="2" t="s">
        <v>1223</v>
      </c>
      <c r="E340" s="2" t="s">
        <v>1224</v>
      </c>
      <c r="F340" s="2" t="s">
        <v>26</v>
      </c>
      <c r="G340" s="2"/>
      <c r="H340" s="2"/>
      <c r="I340" s="2" t="s">
        <v>28</v>
      </c>
      <c r="J340" s="6"/>
      <c r="K340" s="2" t="s">
        <v>55</v>
      </c>
      <c r="L340" s="2" t="s">
        <v>56</v>
      </c>
      <c r="M340" s="2" t="s">
        <v>55</v>
      </c>
      <c r="N340" s="2"/>
      <c r="O340" s="2"/>
      <c r="P340" s="6" t="s">
        <v>57</v>
      </c>
      <c r="Q340" s="6" t="s">
        <v>57</v>
      </c>
      <c r="R340" s="6" t="s">
        <v>57</v>
      </c>
      <c r="S340" s="2"/>
      <c r="T340" s="6" t="s">
        <v>57</v>
      </c>
      <c r="U340" s="6" t="s">
        <v>57</v>
      </c>
      <c r="V340" s="6" t="s">
        <v>57</v>
      </c>
      <c r="W340" s="6" t="s">
        <v>57</v>
      </c>
      <c r="X340" s="6" t="s">
        <v>57</v>
      </c>
      <c r="Y340" s="6" t="s">
        <v>57</v>
      </c>
      <c r="Z340" s="6" t="s">
        <v>57</v>
      </c>
      <c r="AA340" s="6" t="s">
        <v>57</v>
      </c>
      <c r="AB340" s="6" t="s">
        <v>57</v>
      </c>
      <c r="AC340" s="6" t="s">
        <v>57</v>
      </c>
      <c r="AD340" s="6" t="s">
        <v>57</v>
      </c>
      <c r="AE340" s="6" t="s">
        <v>57</v>
      </c>
      <c r="AF340" s="6" t="s">
        <v>57</v>
      </c>
      <c r="AG340" s="6" t="s">
        <v>57</v>
      </c>
      <c r="AH340" s="6" t="s">
        <v>57</v>
      </c>
      <c r="AI340" s="6" t="s">
        <v>57</v>
      </c>
      <c r="AJ340" s="6" t="s">
        <v>57</v>
      </c>
      <c r="AK340" s="6" t="s">
        <v>57</v>
      </c>
      <c r="AL340" s="6" t="s">
        <v>57</v>
      </c>
      <c r="AM340" s="6" t="s">
        <v>57</v>
      </c>
      <c r="AN340" s="6" t="s">
        <v>57</v>
      </c>
      <c r="AO340" s="6" t="s">
        <v>57</v>
      </c>
      <c r="AP340" s="6" t="s">
        <v>57</v>
      </c>
      <c r="AQ340" s="6" t="s">
        <v>57</v>
      </c>
    </row>
    <row r="341" spans="1:43" ht="15">
      <c r="A341" s="2" t="s">
        <v>1225</v>
      </c>
      <c r="B341" s="5">
        <v>10956381</v>
      </c>
      <c r="C341" s="2" t="s">
        <v>23</v>
      </c>
      <c r="D341" s="2" t="s">
        <v>1226</v>
      </c>
      <c r="E341" s="2" t="s">
        <v>1227</v>
      </c>
      <c r="F341" s="2" t="s">
        <v>26</v>
      </c>
      <c r="G341" s="2" t="s">
        <v>26</v>
      </c>
      <c r="H341" s="2" t="s">
        <v>27</v>
      </c>
      <c r="I341" s="2" t="s">
        <v>28</v>
      </c>
      <c r="J341" s="6"/>
      <c r="K341" s="2" t="s">
        <v>55</v>
      </c>
      <c r="L341" s="2" t="s">
        <v>56</v>
      </c>
      <c r="M341" s="2" t="s">
        <v>55</v>
      </c>
      <c r="N341" s="2"/>
      <c r="O341" s="2"/>
      <c r="P341" s="7">
        <v>0.55316621478439199</v>
      </c>
      <c r="Q341" s="6" t="s">
        <v>57</v>
      </c>
      <c r="R341" s="9">
        <v>0</v>
      </c>
      <c r="S341" s="2"/>
      <c r="T341" s="9">
        <v>0</v>
      </c>
      <c r="U341" s="9">
        <v>0</v>
      </c>
      <c r="V341" s="9">
        <v>0</v>
      </c>
      <c r="W341" s="9">
        <v>0</v>
      </c>
      <c r="X341" s="9">
        <v>0</v>
      </c>
      <c r="Y341" s="9">
        <v>0</v>
      </c>
      <c r="Z341" s="9">
        <v>0</v>
      </c>
      <c r="AA341" s="9">
        <v>0</v>
      </c>
      <c r="AB341" s="9">
        <v>0</v>
      </c>
      <c r="AC341" s="9">
        <v>0</v>
      </c>
      <c r="AD341" s="9">
        <v>0</v>
      </c>
      <c r="AE341" s="6" t="s">
        <v>57</v>
      </c>
      <c r="AF341" s="6" t="s">
        <v>57</v>
      </c>
      <c r="AG341" s="6" t="s">
        <v>57</v>
      </c>
      <c r="AH341" s="6" t="s">
        <v>57</v>
      </c>
      <c r="AI341" s="6" t="s">
        <v>57</v>
      </c>
      <c r="AJ341" s="6" t="s">
        <v>57</v>
      </c>
      <c r="AK341" s="6" t="s">
        <v>57</v>
      </c>
      <c r="AL341" s="6" t="s">
        <v>57</v>
      </c>
      <c r="AM341" s="6" t="s">
        <v>57</v>
      </c>
      <c r="AN341" s="6" t="s">
        <v>57</v>
      </c>
      <c r="AO341" s="6" t="s">
        <v>57</v>
      </c>
      <c r="AP341" s="6" t="s">
        <v>57</v>
      </c>
      <c r="AQ341" s="9">
        <v>0</v>
      </c>
    </row>
    <row r="342" spans="1:43" ht="15">
      <c r="A342" s="2" t="s">
        <v>1228</v>
      </c>
      <c r="B342" s="5">
        <v>110348499</v>
      </c>
      <c r="C342" s="2" t="s">
        <v>23</v>
      </c>
      <c r="D342" s="2" t="s">
        <v>1229</v>
      </c>
      <c r="E342" s="2" t="s">
        <v>1230</v>
      </c>
      <c r="F342" s="2" t="s">
        <v>26</v>
      </c>
      <c r="G342" s="2"/>
      <c r="H342" s="2"/>
      <c r="I342" s="2" t="s">
        <v>28</v>
      </c>
      <c r="J342" s="6"/>
      <c r="K342" s="2" t="s">
        <v>55</v>
      </c>
      <c r="L342" s="2" t="s">
        <v>56</v>
      </c>
      <c r="M342" s="2" t="s">
        <v>55</v>
      </c>
      <c r="N342" s="2"/>
      <c r="O342" s="2"/>
      <c r="P342" s="6" t="s">
        <v>57</v>
      </c>
      <c r="Q342" s="6" t="s">
        <v>57</v>
      </c>
      <c r="R342" s="9">
        <v>0</v>
      </c>
      <c r="S342" s="2"/>
      <c r="T342" s="9">
        <v>0</v>
      </c>
      <c r="U342" s="9">
        <v>152</v>
      </c>
      <c r="V342" s="9">
        <v>57</v>
      </c>
      <c r="W342" s="9">
        <v>15</v>
      </c>
      <c r="X342" s="9">
        <v>15</v>
      </c>
      <c r="Y342" s="9">
        <v>15</v>
      </c>
      <c r="Z342" s="9">
        <v>15</v>
      </c>
      <c r="AA342" s="9">
        <v>15</v>
      </c>
      <c r="AB342" s="9">
        <v>148</v>
      </c>
      <c r="AC342" s="9">
        <v>60</v>
      </c>
      <c r="AD342" s="9">
        <v>29</v>
      </c>
      <c r="AE342" s="6" t="s">
        <v>57</v>
      </c>
      <c r="AF342" s="6" t="s">
        <v>57</v>
      </c>
      <c r="AG342" s="6" t="s">
        <v>57</v>
      </c>
      <c r="AH342" s="6" t="s">
        <v>57</v>
      </c>
      <c r="AI342" s="6" t="s">
        <v>57</v>
      </c>
      <c r="AJ342" s="6" t="s">
        <v>57</v>
      </c>
      <c r="AK342" s="6" t="s">
        <v>57</v>
      </c>
      <c r="AL342" s="6" t="s">
        <v>57</v>
      </c>
      <c r="AM342" s="6" t="s">
        <v>57</v>
      </c>
      <c r="AN342" s="6" t="s">
        <v>57</v>
      </c>
      <c r="AO342" s="6" t="s">
        <v>57</v>
      </c>
      <c r="AP342" s="6" t="s">
        <v>57</v>
      </c>
      <c r="AQ342" s="9">
        <v>0</v>
      </c>
    </row>
    <row r="343" spans="1:43" ht="15">
      <c r="A343" s="2" t="s">
        <v>1231</v>
      </c>
      <c r="B343" s="5">
        <v>110348498</v>
      </c>
      <c r="C343" s="2" t="s">
        <v>23</v>
      </c>
      <c r="D343" s="2" t="s">
        <v>1232</v>
      </c>
      <c r="E343" s="2" t="s">
        <v>1233</v>
      </c>
      <c r="F343" s="2" t="s">
        <v>26</v>
      </c>
      <c r="G343" s="2" t="s">
        <v>26</v>
      </c>
      <c r="H343" s="2" t="s">
        <v>27</v>
      </c>
      <c r="I343" s="2" t="s">
        <v>28</v>
      </c>
      <c r="J343" s="6"/>
      <c r="K343" s="2" t="s">
        <v>55</v>
      </c>
      <c r="L343" s="2" t="s">
        <v>56</v>
      </c>
      <c r="M343" s="2" t="s">
        <v>55</v>
      </c>
      <c r="N343" s="2"/>
      <c r="O343" s="2"/>
      <c r="P343" s="6" t="s">
        <v>57</v>
      </c>
      <c r="Q343" s="6" t="s">
        <v>57</v>
      </c>
      <c r="R343" s="9">
        <v>0</v>
      </c>
      <c r="S343" s="2"/>
      <c r="T343" s="9">
        <v>0</v>
      </c>
      <c r="U343" s="9">
        <v>0</v>
      </c>
      <c r="V343" s="9">
        <v>0</v>
      </c>
      <c r="W343" s="9">
        <v>0</v>
      </c>
      <c r="X343" s="9">
        <v>0</v>
      </c>
      <c r="Y343" s="9">
        <v>0</v>
      </c>
      <c r="Z343" s="9">
        <v>0</v>
      </c>
      <c r="AA343" s="9">
        <v>167</v>
      </c>
      <c r="AB343" s="9">
        <v>0</v>
      </c>
      <c r="AC343" s="9">
        <v>0</v>
      </c>
      <c r="AD343" s="9">
        <v>0</v>
      </c>
      <c r="AE343" s="6" t="s">
        <v>57</v>
      </c>
      <c r="AF343" s="6" t="s">
        <v>57</v>
      </c>
      <c r="AG343" s="6" t="s">
        <v>57</v>
      </c>
      <c r="AH343" s="6" t="s">
        <v>57</v>
      </c>
      <c r="AI343" s="6" t="s">
        <v>57</v>
      </c>
      <c r="AJ343" s="6" t="s">
        <v>57</v>
      </c>
      <c r="AK343" s="6" t="s">
        <v>57</v>
      </c>
      <c r="AL343" s="6" t="s">
        <v>57</v>
      </c>
      <c r="AM343" s="6" t="s">
        <v>57</v>
      </c>
      <c r="AN343" s="6" t="s">
        <v>57</v>
      </c>
      <c r="AO343" s="6" t="s">
        <v>57</v>
      </c>
      <c r="AP343" s="6" t="s">
        <v>57</v>
      </c>
      <c r="AQ343" s="9">
        <v>0</v>
      </c>
    </row>
    <row r="344" spans="1:43" ht="15">
      <c r="A344" s="2" t="s">
        <v>1234</v>
      </c>
      <c r="B344" s="5">
        <v>27510471</v>
      </c>
      <c r="C344" s="2" t="s">
        <v>23</v>
      </c>
      <c r="D344" s="2" t="s">
        <v>1235</v>
      </c>
      <c r="E344" s="2" t="s">
        <v>1236</v>
      </c>
      <c r="F344" s="2" t="s">
        <v>26</v>
      </c>
      <c r="G344" s="2" t="s">
        <v>26</v>
      </c>
      <c r="H344" s="2" t="s">
        <v>27</v>
      </c>
      <c r="I344" s="2" t="s">
        <v>28</v>
      </c>
      <c r="J344" s="6"/>
      <c r="K344" s="2" t="s">
        <v>55</v>
      </c>
      <c r="L344" s="2" t="s">
        <v>56</v>
      </c>
      <c r="M344" s="2" t="s">
        <v>55</v>
      </c>
      <c r="N344" s="2"/>
      <c r="O344" s="2"/>
      <c r="P344" s="6" t="s">
        <v>57</v>
      </c>
      <c r="Q344" s="6" t="s">
        <v>57</v>
      </c>
      <c r="R344" s="9">
        <v>0</v>
      </c>
      <c r="S344" s="2"/>
      <c r="T344" s="9">
        <v>0</v>
      </c>
      <c r="U344" s="9">
        <v>0</v>
      </c>
      <c r="V344" s="9">
        <v>0</v>
      </c>
      <c r="W344" s="9">
        <v>0</v>
      </c>
      <c r="X344" s="9">
        <v>0</v>
      </c>
      <c r="Y344" s="9">
        <v>0</v>
      </c>
      <c r="Z344" s="9">
        <v>0</v>
      </c>
      <c r="AA344" s="9">
        <v>65</v>
      </c>
      <c r="AB344" s="9">
        <v>0</v>
      </c>
      <c r="AC344" s="9">
        <v>0</v>
      </c>
      <c r="AD344" s="9">
        <v>0</v>
      </c>
      <c r="AE344" s="6" t="s">
        <v>57</v>
      </c>
      <c r="AF344" s="6" t="s">
        <v>57</v>
      </c>
      <c r="AG344" s="6" t="s">
        <v>57</v>
      </c>
      <c r="AH344" s="6" t="s">
        <v>57</v>
      </c>
      <c r="AI344" s="6" t="s">
        <v>57</v>
      </c>
      <c r="AJ344" s="6" t="s">
        <v>57</v>
      </c>
      <c r="AK344" s="6" t="s">
        <v>57</v>
      </c>
      <c r="AL344" s="6" t="s">
        <v>57</v>
      </c>
      <c r="AM344" s="6" t="s">
        <v>57</v>
      </c>
      <c r="AN344" s="6" t="s">
        <v>57</v>
      </c>
      <c r="AO344" s="6" t="s">
        <v>57</v>
      </c>
      <c r="AP344" s="6" t="s">
        <v>57</v>
      </c>
      <c r="AQ344" s="9">
        <v>0</v>
      </c>
    </row>
    <row r="345" spans="1:43" ht="15">
      <c r="A345" s="2" t="s">
        <v>1237</v>
      </c>
      <c r="B345" s="5">
        <v>134318319</v>
      </c>
      <c r="C345" s="2" t="s">
        <v>23</v>
      </c>
      <c r="D345" s="2" t="s">
        <v>1238</v>
      </c>
      <c r="E345" s="2" t="s">
        <v>1239</v>
      </c>
      <c r="F345" s="2" t="s">
        <v>26</v>
      </c>
      <c r="G345" s="2" t="s">
        <v>26</v>
      </c>
      <c r="H345" s="2" t="s">
        <v>27</v>
      </c>
      <c r="I345" s="2" t="s">
        <v>28</v>
      </c>
      <c r="J345" s="6"/>
      <c r="K345" s="2" t="s">
        <v>55</v>
      </c>
      <c r="L345" s="2" t="s">
        <v>56</v>
      </c>
      <c r="M345" s="2" t="s">
        <v>55</v>
      </c>
      <c r="N345" s="2"/>
      <c r="O345" s="2"/>
      <c r="P345" s="6" t="s">
        <v>57</v>
      </c>
      <c r="Q345" s="6" t="s">
        <v>57</v>
      </c>
      <c r="R345" s="6" t="s">
        <v>57</v>
      </c>
      <c r="S345" s="2"/>
      <c r="T345" s="6" t="s">
        <v>57</v>
      </c>
      <c r="U345" s="6" t="s">
        <v>57</v>
      </c>
      <c r="V345" s="6" t="s">
        <v>57</v>
      </c>
      <c r="W345" s="6" t="s">
        <v>57</v>
      </c>
      <c r="X345" s="6" t="s">
        <v>57</v>
      </c>
      <c r="Y345" s="6" t="s">
        <v>57</v>
      </c>
      <c r="Z345" s="6" t="s">
        <v>57</v>
      </c>
      <c r="AA345" s="6" t="s">
        <v>57</v>
      </c>
      <c r="AB345" s="6" t="s">
        <v>57</v>
      </c>
      <c r="AC345" s="6" t="s">
        <v>57</v>
      </c>
      <c r="AD345" s="6" t="s">
        <v>57</v>
      </c>
      <c r="AE345" s="6" t="s">
        <v>57</v>
      </c>
      <c r="AF345" s="6" t="s">
        <v>57</v>
      </c>
      <c r="AG345" s="6" t="s">
        <v>57</v>
      </c>
      <c r="AH345" s="6" t="s">
        <v>57</v>
      </c>
      <c r="AI345" s="6" t="s">
        <v>57</v>
      </c>
      <c r="AJ345" s="6" t="s">
        <v>57</v>
      </c>
      <c r="AK345" s="6" t="s">
        <v>57</v>
      </c>
      <c r="AL345" s="6" t="s">
        <v>57</v>
      </c>
      <c r="AM345" s="6" t="s">
        <v>57</v>
      </c>
      <c r="AN345" s="6" t="s">
        <v>57</v>
      </c>
      <c r="AO345" s="6" t="s">
        <v>57</v>
      </c>
      <c r="AP345" s="6" t="s">
        <v>57</v>
      </c>
      <c r="AQ345" s="6" t="s">
        <v>57</v>
      </c>
    </row>
    <row r="346" spans="1:43" ht="15">
      <c r="A346" s="2" t="s">
        <v>1240</v>
      </c>
      <c r="B346" s="5">
        <v>5737119</v>
      </c>
      <c r="C346" s="2" t="s">
        <v>23</v>
      </c>
      <c r="D346" s="2" t="s">
        <v>1241</v>
      </c>
      <c r="E346" s="2" t="s">
        <v>1242</v>
      </c>
      <c r="F346" s="2" t="s">
        <v>26</v>
      </c>
      <c r="G346" s="2" t="s">
        <v>26</v>
      </c>
      <c r="H346" s="2" t="s">
        <v>27</v>
      </c>
      <c r="I346" s="2" t="s">
        <v>28</v>
      </c>
      <c r="J346" s="6"/>
      <c r="K346" s="2" t="s">
        <v>55</v>
      </c>
      <c r="L346" s="2" t="s">
        <v>56</v>
      </c>
      <c r="M346" s="2" t="s">
        <v>55</v>
      </c>
      <c r="N346" s="2"/>
      <c r="O346" s="2"/>
      <c r="P346" s="7">
        <v>50.707861726934397</v>
      </c>
      <c r="Q346" s="6" t="s">
        <v>57</v>
      </c>
      <c r="R346" s="9">
        <v>248</v>
      </c>
      <c r="S346" s="2"/>
      <c r="T346" s="9">
        <v>11213</v>
      </c>
      <c r="U346" s="9">
        <v>18495</v>
      </c>
      <c r="V346" s="9">
        <v>14778</v>
      </c>
      <c r="W346" s="9">
        <v>13785</v>
      </c>
      <c r="X346" s="9">
        <v>13837</v>
      </c>
      <c r="Y346" s="9">
        <v>13840</v>
      </c>
      <c r="Z346" s="9">
        <v>17218</v>
      </c>
      <c r="AA346" s="9">
        <v>31078</v>
      </c>
      <c r="AB346" s="9">
        <v>21065</v>
      </c>
      <c r="AC346" s="9">
        <v>14529</v>
      </c>
      <c r="AD346" s="9">
        <v>15821</v>
      </c>
      <c r="AE346" s="6" t="s">
        <v>57</v>
      </c>
      <c r="AF346" s="6" t="s">
        <v>57</v>
      </c>
      <c r="AG346" s="6" t="s">
        <v>57</v>
      </c>
      <c r="AH346" s="6" t="s">
        <v>57</v>
      </c>
      <c r="AI346" s="6" t="s">
        <v>57</v>
      </c>
      <c r="AJ346" s="6" t="s">
        <v>57</v>
      </c>
      <c r="AK346" s="6" t="s">
        <v>57</v>
      </c>
      <c r="AL346" s="6" t="s">
        <v>57</v>
      </c>
      <c r="AM346" s="6" t="s">
        <v>57</v>
      </c>
      <c r="AN346" s="6" t="s">
        <v>57</v>
      </c>
      <c r="AO346" s="6" t="s">
        <v>57</v>
      </c>
      <c r="AP346" s="6" t="s">
        <v>57</v>
      </c>
      <c r="AQ346" s="9">
        <v>163</v>
      </c>
    </row>
    <row r="347" spans="1:43" ht="15">
      <c r="A347" s="2" t="s">
        <v>1243</v>
      </c>
      <c r="B347" s="5">
        <v>118370911</v>
      </c>
      <c r="C347" s="2" t="s">
        <v>23</v>
      </c>
      <c r="D347" s="2" t="s">
        <v>1244</v>
      </c>
      <c r="E347" s="2" t="s">
        <v>1176</v>
      </c>
      <c r="F347" s="2" t="s">
        <v>26</v>
      </c>
      <c r="G347" s="2" t="s">
        <v>26</v>
      </c>
      <c r="H347" s="2" t="s">
        <v>27</v>
      </c>
      <c r="I347" s="2" t="s">
        <v>28</v>
      </c>
      <c r="J347" s="6"/>
      <c r="K347" s="2" t="s">
        <v>55</v>
      </c>
      <c r="L347" s="2" t="s">
        <v>56</v>
      </c>
      <c r="M347" s="2" t="s">
        <v>55</v>
      </c>
      <c r="N347" s="2"/>
      <c r="O347" s="2"/>
      <c r="P347" s="7">
        <v>8.8061462710674405</v>
      </c>
      <c r="Q347" s="6" t="s">
        <v>57</v>
      </c>
      <c r="R347" s="9">
        <v>101</v>
      </c>
      <c r="S347" s="2"/>
      <c r="T347" s="9">
        <v>953</v>
      </c>
      <c r="U347" s="9">
        <v>257</v>
      </c>
      <c r="V347" s="9">
        <v>204</v>
      </c>
      <c r="W347" s="9">
        <v>560</v>
      </c>
      <c r="X347" s="9">
        <v>560</v>
      </c>
      <c r="Y347" s="9">
        <v>560</v>
      </c>
      <c r="Z347" s="9">
        <v>560</v>
      </c>
      <c r="AA347" s="9">
        <v>560</v>
      </c>
      <c r="AB347" s="9">
        <v>294</v>
      </c>
      <c r="AC347" s="9">
        <v>207</v>
      </c>
      <c r="AD347" s="9">
        <v>338</v>
      </c>
      <c r="AE347" s="6" t="s">
        <v>57</v>
      </c>
      <c r="AF347" s="6" t="s">
        <v>57</v>
      </c>
      <c r="AG347" s="6" t="s">
        <v>57</v>
      </c>
      <c r="AH347" s="6" t="s">
        <v>57</v>
      </c>
      <c r="AI347" s="6" t="s">
        <v>57</v>
      </c>
      <c r="AJ347" s="6" t="s">
        <v>57</v>
      </c>
      <c r="AK347" s="6" t="s">
        <v>57</v>
      </c>
      <c r="AL347" s="6" t="s">
        <v>57</v>
      </c>
      <c r="AM347" s="6" t="s">
        <v>57</v>
      </c>
      <c r="AN347" s="6" t="s">
        <v>57</v>
      </c>
      <c r="AO347" s="6" t="s">
        <v>57</v>
      </c>
      <c r="AP347" s="6" t="s">
        <v>57</v>
      </c>
      <c r="AQ347" s="9">
        <v>201</v>
      </c>
    </row>
    <row r="348" spans="1:43" ht="15">
      <c r="A348" s="2" t="s">
        <v>1245</v>
      </c>
      <c r="B348" s="5">
        <v>139417743</v>
      </c>
      <c r="C348" s="2" t="s">
        <v>23</v>
      </c>
      <c r="D348" s="2" t="s">
        <v>1246</v>
      </c>
      <c r="E348" s="2" t="s">
        <v>1247</v>
      </c>
      <c r="F348" s="2" t="s">
        <v>26</v>
      </c>
      <c r="G348" s="2"/>
      <c r="H348" s="2"/>
      <c r="I348" s="2" t="s">
        <v>28</v>
      </c>
      <c r="J348" s="6"/>
      <c r="K348" s="2" t="s">
        <v>55</v>
      </c>
      <c r="L348" s="2" t="s">
        <v>56</v>
      </c>
      <c r="M348" s="2" t="s">
        <v>55</v>
      </c>
      <c r="N348" s="2"/>
      <c r="O348" s="2"/>
      <c r="P348" s="6" t="s">
        <v>57</v>
      </c>
      <c r="Q348" s="6" t="s">
        <v>57</v>
      </c>
      <c r="R348" s="9">
        <v>0</v>
      </c>
      <c r="S348" s="2"/>
      <c r="T348" s="9">
        <v>0</v>
      </c>
      <c r="U348" s="9">
        <v>5290</v>
      </c>
      <c r="V348" s="9">
        <v>11311</v>
      </c>
      <c r="W348" s="9">
        <v>16681</v>
      </c>
      <c r="X348" s="9">
        <v>16681</v>
      </c>
      <c r="Y348" s="9">
        <v>16681</v>
      </c>
      <c r="Z348" s="9">
        <v>16681</v>
      </c>
      <c r="AA348" s="9">
        <v>16681</v>
      </c>
      <c r="AB348" s="9">
        <v>6046</v>
      </c>
      <c r="AC348" s="9">
        <v>11867</v>
      </c>
      <c r="AD348" s="9">
        <v>13400</v>
      </c>
      <c r="AE348" s="6" t="s">
        <v>57</v>
      </c>
      <c r="AF348" s="6" t="s">
        <v>57</v>
      </c>
      <c r="AG348" s="6" t="s">
        <v>57</v>
      </c>
      <c r="AH348" s="6" t="s">
        <v>57</v>
      </c>
      <c r="AI348" s="6" t="s">
        <v>57</v>
      </c>
      <c r="AJ348" s="6" t="s">
        <v>57</v>
      </c>
      <c r="AK348" s="6" t="s">
        <v>57</v>
      </c>
      <c r="AL348" s="6" t="s">
        <v>57</v>
      </c>
      <c r="AM348" s="6" t="s">
        <v>57</v>
      </c>
      <c r="AN348" s="6" t="s">
        <v>57</v>
      </c>
      <c r="AO348" s="6" t="s">
        <v>57</v>
      </c>
      <c r="AP348" s="6" t="s">
        <v>57</v>
      </c>
      <c r="AQ348" s="9">
        <v>0</v>
      </c>
    </row>
    <row r="349" spans="1:43" ht="15">
      <c r="A349" s="2" t="s">
        <v>1248</v>
      </c>
      <c r="B349" s="5">
        <v>141707781</v>
      </c>
      <c r="C349" s="2" t="s">
        <v>23</v>
      </c>
      <c r="D349" s="2" t="s">
        <v>1249</v>
      </c>
      <c r="E349" s="2" t="s">
        <v>1250</v>
      </c>
      <c r="F349" s="2" t="s">
        <v>26</v>
      </c>
      <c r="G349" s="2"/>
      <c r="H349" s="2"/>
      <c r="I349" s="2" t="s">
        <v>28</v>
      </c>
      <c r="J349" s="6"/>
      <c r="K349" s="2" t="s">
        <v>55</v>
      </c>
      <c r="L349" s="2" t="s">
        <v>56</v>
      </c>
      <c r="M349" s="2" t="s">
        <v>55</v>
      </c>
      <c r="N349" s="2"/>
      <c r="O349" s="2"/>
      <c r="P349" s="6" t="s">
        <v>57</v>
      </c>
      <c r="Q349" s="6" t="s">
        <v>57</v>
      </c>
      <c r="R349" s="6" t="s">
        <v>57</v>
      </c>
      <c r="S349" s="2"/>
      <c r="T349" s="6" t="s">
        <v>57</v>
      </c>
      <c r="U349" s="6" t="s">
        <v>57</v>
      </c>
      <c r="V349" s="6" t="s">
        <v>57</v>
      </c>
      <c r="W349" s="6" t="s">
        <v>57</v>
      </c>
      <c r="X349" s="6" t="s">
        <v>57</v>
      </c>
      <c r="Y349" s="6" t="s">
        <v>57</v>
      </c>
      <c r="Z349" s="6" t="s">
        <v>57</v>
      </c>
      <c r="AA349" s="6" t="s">
        <v>57</v>
      </c>
      <c r="AB349" s="6" t="s">
        <v>57</v>
      </c>
      <c r="AC349" s="6" t="s">
        <v>57</v>
      </c>
      <c r="AD349" s="6" t="s">
        <v>57</v>
      </c>
      <c r="AE349" s="6" t="s">
        <v>57</v>
      </c>
      <c r="AF349" s="6" t="s">
        <v>57</v>
      </c>
      <c r="AG349" s="6" t="s">
        <v>57</v>
      </c>
      <c r="AH349" s="6" t="s">
        <v>57</v>
      </c>
      <c r="AI349" s="6" t="s">
        <v>57</v>
      </c>
      <c r="AJ349" s="6" t="s">
        <v>57</v>
      </c>
      <c r="AK349" s="6" t="s">
        <v>57</v>
      </c>
      <c r="AL349" s="6" t="s">
        <v>57</v>
      </c>
      <c r="AM349" s="6" t="s">
        <v>57</v>
      </c>
      <c r="AN349" s="6" t="s">
        <v>57</v>
      </c>
      <c r="AO349" s="6" t="s">
        <v>57</v>
      </c>
      <c r="AP349" s="6" t="s">
        <v>57</v>
      </c>
      <c r="AQ349" s="6" t="s">
        <v>57</v>
      </c>
    </row>
    <row r="350" spans="1:43" ht="15">
      <c r="A350" s="2" t="s">
        <v>1251</v>
      </c>
      <c r="B350" s="5">
        <v>139132706</v>
      </c>
      <c r="C350" s="2" t="s">
        <v>23</v>
      </c>
      <c r="D350" s="2" t="s">
        <v>1252</v>
      </c>
      <c r="E350" s="2" t="s">
        <v>1253</v>
      </c>
      <c r="F350" s="2" t="s">
        <v>26</v>
      </c>
      <c r="G350" s="2"/>
      <c r="H350" s="2"/>
      <c r="I350" s="2" t="s">
        <v>28</v>
      </c>
      <c r="J350" s="6"/>
      <c r="K350" s="2" t="s">
        <v>55</v>
      </c>
      <c r="L350" s="2" t="s">
        <v>56</v>
      </c>
      <c r="M350" s="2" t="s">
        <v>55</v>
      </c>
      <c r="N350" s="2"/>
      <c r="O350" s="2"/>
      <c r="P350" s="6" t="s">
        <v>57</v>
      </c>
      <c r="Q350" s="6" t="s">
        <v>57</v>
      </c>
      <c r="R350" s="6" t="s">
        <v>57</v>
      </c>
      <c r="S350" s="2"/>
      <c r="T350" s="6" t="s">
        <v>57</v>
      </c>
      <c r="U350" s="6" t="s">
        <v>57</v>
      </c>
      <c r="V350" s="6" t="s">
        <v>57</v>
      </c>
      <c r="W350" s="6" t="s">
        <v>57</v>
      </c>
      <c r="X350" s="6" t="s">
        <v>57</v>
      </c>
      <c r="Y350" s="6" t="s">
        <v>57</v>
      </c>
      <c r="Z350" s="6" t="s">
        <v>57</v>
      </c>
      <c r="AA350" s="6" t="s">
        <v>57</v>
      </c>
      <c r="AB350" s="6" t="s">
        <v>57</v>
      </c>
      <c r="AC350" s="6" t="s">
        <v>57</v>
      </c>
      <c r="AD350" s="6" t="s">
        <v>57</v>
      </c>
      <c r="AE350" s="6" t="s">
        <v>57</v>
      </c>
      <c r="AF350" s="6" t="s">
        <v>57</v>
      </c>
      <c r="AG350" s="6" t="s">
        <v>57</v>
      </c>
      <c r="AH350" s="6" t="s">
        <v>57</v>
      </c>
      <c r="AI350" s="6" t="s">
        <v>57</v>
      </c>
      <c r="AJ350" s="6" t="s">
        <v>57</v>
      </c>
      <c r="AK350" s="6" t="s">
        <v>57</v>
      </c>
      <c r="AL350" s="6" t="s">
        <v>57</v>
      </c>
      <c r="AM350" s="6" t="s">
        <v>57</v>
      </c>
      <c r="AN350" s="6" t="s">
        <v>57</v>
      </c>
      <c r="AO350" s="6" t="s">
        <v>57</v>
      </c>
      <c r="AP350" s="6" t="s">
        <v>57</v>
      </c>
      <c r="AQ350" s="6" t="s">
        <v>57</v>
      </c>
    </row>
    <row r="351" spans="1:43" ht="15">
      <c r="A351" s="2" t="s">
        <v>1254</v>
      </c>
      <c r="B351" s="5">
        <v>142464235</v>
      </c>
      <c r="C351" s="2" t="s">
        <v>23</v>
      </c>
      <c r="D351" s="2" t="s">
        <v>1255</v>
      </c>
      <c r="E351" s="2" t="s">
        <v>1256</v>
      </c>
      <c r="F351" s="2" t="s">
        <v>26</v>
      </c>
      <c r="G351" s="2"/>
      <c r="H351" s="2"/>
      <c r="I351" s="2" t="s">
        <v>28</v>
      </c>
      <c r="J351" s="6"/>
      <c r="K351" s="2" t="s">
        <v>55</v>
      </c>
      <c r="L351" s="2" t="s">
        <v>56</v>
      </c>
      <c r="M351" s="2" t="s">
        <v>55</v>
      </c>
      <c r="N351" s="2"/>
      <c r="O351" s="2"/>
      <c r="P351" s="6" t="s">
        <v>57</v>
      </c>
      <c r="Q351" s="6" t="s">
        <v>57</v>
      </c>
      <c r="R351" s="6" t="s">
        <v>57</v>
      </c>
      <c r="S351" s="2"/>
      <c r="T351" s="6" t="s">
        <v>57</v>
      </c>
      <c r="U351" s="6" t="s">
        <v>57</v>
      </c>
      <c r="V351" s="6" t="s">
        <v>57</v>
      </c>
      <c r="W351" s="6" t="s">
        <v>57</v>
      </c>
      <c r="X351" s="6" t="s">
        <v>57</v>
      </c>
      <c r="Y351" s="6" t="s">
        <v>57</v>
      </c>
      <c r="Z351" s="6" t="s">
        <v>57</v>
      </c>
      <c r="AA351" s="6" t="s">
        <v>57</v>
      </c>
      <c r="AB351" s="6" t="s">
        <v>57</v>
      </c>
      <c r="AC351" s="6" t="s">
        <v>57</v>
      </c>
      <c r="AD351" s="6" t="s">
        <v>57</v>
      </c>
      <c r="AE351" s="6" t="s">
        <v>57</v>
      </c>
      <c r="AF351" s="6" t="s">
        <v>57</v>
      </c>
      <c r="AG351" s="6" t="s">
        <v>57</v>
      </c>
      <c r="AH351" s="6" t="s">
        <v>57</v>
      </c>
      <c r="AI351" s="6" t="s">
        <v>57</v>
      </c>
      <c r="AJ351" s="6" t="s">
        <v>57</v>
      </c>
      <c r="AK351" s="6" t="s">
        <v>57</v>
      </c>
      <c r="AL351" s="6" t="s">
        <v>57</v>
      </c>
      <c r="AM351" s="6" t="s">
        <v>57</v>
      </c>
      <c r="AN351" s="6" t="s">
        <v>57</v>
      </c>
      <c r="AO351" s="6" t="s">
        <v>57</v>
      </c>
      <c r="AP351" s="6" t="s">
        <v>57</v>
      </c>
      <c r="AQ351" s="6" t="s">
        <v>57</v>
      </c>
    </row>
    <row r="352" spans="1:43" ht="15">
      <c r="A352" s="2" t="s">
        <v>1257</v>
      </c>
      <c r="B352" s="5">
        <v>142463537</v>
      </c>
      <c r="C352" s="2" t="s">
        <v>23</v>
      </c>
      <c r="D352" s="2" t="s">
        <v>1258</v>
      </c>
      <c r="E352" s="2" t="s">
        <v>1259</v>
      </c>
      <c r="F352" s="2" t="s">
        <v>26</v>
      </c>
      <c r="G352" s="2"/>
      <c r="H352" s="2"/>
      <c r="I352" s="2" t="s">
        <v>28</v>
      </c>
      <c r="J352" s="6"/>
      <c r="K352" s="2" t="s">
        <v>55</v>
      </c>
      <c r="L352" s="2" t="s">
        <v>56</v>
      </c>
      <c r="M352" s="2" t="s">
        <v>55</v>
      </c>
      <c r="N352" s="2"/>
      <c r="O352" s="2"/>
      <c r="P352" s="6" t="s">
        <v>57</v>
      </c>
      <c r="Q352" s="6" t="s">
        <v>57</v>
      </c>
      <c r="R352" s="6" t="s">
        <v>57</v>
      </c>
      <c r="S352" s="2"/>
      <c r="T352" s="6" t="s">
        <v>57</v>
      </c>
      <c r="U352" s="6" t="s">
        <v>57</v>
      </c>
      <c r="V352" s="6" t="s">
        <v>57</v>
      </c>
      <c r="W352" s="6" t="s">
        <v>57</v>
      </c>
      <c r="X352" s="6" t="s">
        <v>57</v>
      </c>
      <c r="Y352" s="6" t="s">
        <v>57</v>
      </c>
      <c r="Z352" s="6" t="s">
        <v>57</v>
      </c>
      <c r="AA352" s="6" t="s">
        <v>57</v>
      </c>
      <c r="AB352" s="6" t="s">
        <v>57</v>
      </c>
      <c r="AC352" s="6" t="s">
        <v>57</v>
      </c>
      <c r="AD352" s="6" t="s">
        <v>57</v>
      </c>
      <c r="AE352" s="6" t="s">
        <v>57</v>
      </c>
      <c r="AF352" s="6" t="s">
        <v>57</v>
      </c>
      <c r="AG352" s="6" t="s">
        <v>57</v>
      </c>
      <c r="AH352" s="6" t="s">
        <v>57</v>
      </c>
      <c r="AI352" s="6" t="s">
        <v>57</v>
      </c>
      <c r="AJ352" s="6" t="s">
        <v>57</v>
      </c>
      <c r="AK352" s="6" t="s">
        <v>57</v>
      </c>
      <c r="AL352" s="6" t="s">
        <v>57</v>
      </c>
      <c r="AM352" s="6" t="s">
        <v>57</v>
      </c>
      <c r="AN352" s="6" t="s">
        <v>57</v>
      </c>
      <c r="AO352" s="6" t="s">
        <v>57</v>
      </c>
      <c r="AP352" s="6" t="s">
        <v>57</v>
      </c>
      <c r="AQ352" s="6" t="s">
        <v>57</v>
      </c>
    </row>
    <row r="353" spans="1:43" ht="15">
      <c r="A353" s="2" t="s">
        <v>1260</v>
      </c>
      <c r="B353" s="5">
        <v>141779949</v>
      </c>
      <c r="C353" s="2" t="s">
        <v>23</v>
      </c>
      <c r="D353" s="2" t="s">
        <v>1261</v>
      </c>
      <c r="E353" s="2" t="s">
        <v>1262</v>
      </c>
      <c r="F353" s="2" t="s">
        <v>26</v>
      </c>
      <c r="G353" s="2"/>
      <c r="H353" s="2"/>
      <c r="I353" s="2" t="s">
        <v>28</v>
      </c>
      <c r="J353" s="6"/>
      <c r="K353" s="2" t="s">
        <v>55</v>
      </c>
      <c r="L353" s="2" t="s">
        <v>56</v>
      </c>
      <c r="M353" s="2" t="s">
        <v>55</v>
      </c>
      <c r="N353" s="2"/>
      <c r="O353" s="2"/>
      <c r="P353" s="6" t="s">
        <v>57</v>
      </c>
      <c r="Q353" s="6" t="s">
        <v>57</v>
      </c>
      <c r="R353" s="6" t="s">
        <v>57</v>
      </c>
      <c r="S353" s="2"/>
      <c r="T353" s="6" t="s">
        <v>57</v>
      </c>
      <c r="U353" s="6" t="s">
        <v>57</v>
      </c>
      <c r="V353" s="6" t="s">
        <v>57</v>
      </c>
      <c r="W353" s="6" t="s">
        <v>57</v>
      </c>
      <c r="X353" s="6" t="s">
        <v>57</v>
      </c>
      <c r="Y353" s="6" t="s">
        <v>57</v>
      </c>
      <c r="Z353" s="6" t="s">
        <v>57</v>
      </c>
      <c r="AA353" s="6" t="s">
        <v>57</v>
      </c>
      <c r="AB353" s="6" t="s">
        <v>57</v>
      </c>
      <c r="AC353" s="6" t="s">
        <v>57</v>
      </c>
      <c r="AD353" s="6" t="s">
        <v>57</v>
      </c>
      <c r="AE353" s="6" t="s">
        <v>57</v>
      </c>
      <c r="AF353" s="6" t="s">
        <v>57</v>
      </c>
      <c r="AG353" s="6" t="s">
        <v>57</v>
      </c>
      <c r="AH353" s="6" t="s">
        <v>57</v>
      </c>
      <c r="AI353" s="6" t="s">
        <v>57</v>
      </c>
      <c r="AJ353" s="6" t="s">
        <v>57</v>
      </c>
      <c r="AK353" s="6" t="s">
        <v>57</v>
      </c>
      <c r="AL353" s="6" t="s">
        <v>57</v>
      </c>
      <c r="AM353" s="6" t="s">
        <v>57</v>
      </c>
      <c r="AN353" s="6" t="s">
        <v>57</v>
      </c>
      <c r="AO353" s="6" t="s">
        <v>57</v>
      </c>
      <c r="AP353" s="6" t="s">
        <v>57</v>
      </c>
      <c r="AQ353" s="6" t="s">
        <v>57</v>
      </c>
    </row>
    <row r="354" spans="1:43" ht="15">
      <c r="A354" s="2" t="s">
        <v>1263</v>
      </c>
      <c r="B354" s="5">
        <v>106322129</v>
      </c>
      <c r="C354" s="2" t="s">
        <v>23</v>
      </c>
      <c r="D354" s="2" t="s">
        <v>1264</v>
      </c>
      <c r="E354" s="2" t="s">
        <v>1265</v>
      </c>
      <c r="F354" s="2" t="s">
        <v>26</v>
      </c>
      <c r="G354" s="2" t="s">
        <v>26</v>
      </c>
      <c r="H354" s="2" t="s">
        <v>27</v>
      </c>
      <c r="I354" s="2" t="s">
        <v>28</v>
      </c>
      <c r="J354" s="6"/>
      <c r="K354" s="2" t="s">
        <v>55</v>
      </c>
      <c r="L354" s="2" t="s">
        <v>56</v>
      </c>
      <c r="M354" s="2" t="s">
        <v>55</v>
      </c>
      <c r="N354" s="2"/>
      <c r="O354" s="2"/>
      <c r="P354" s="6" t="s">
        <v>57</v>
      </c>
      <c r="Q354" s="6" t="s">
        <v>57</v>
      </c>
      <c r="R354" s="9">
        <v>0</v>
      </c>
      <c r="S354" s="2"/>
      <c r="T354" s="9">
        <v>0</v>
      </c>
      <c r="U354" s="9">
        <v>0</v>
      </c>
      <c r="V354" s="9">
        <v>0</v>
      </c>
      <c r="W354" s="9">
        <v>0</v>
      </c>
      <c r="X354" s="9">
        <v>0</v>
      </c>
      <c r="Y354" s="9">
        <v>0</v>
      </c>
      <c r="Z354" s="9">
        <v>0</v>
      </c>
      <c r="AA354" s="9">
        <v>19</v>
      </c>
      <c r="AB354" s="9">
        <v>0</v>
      </c>
      <c r="AC354" s="9">
        <v>0</v>
      </c>
      <c r="AD354" s="9">
        <v>0</v>
      </c>
      <c r="AE354" s="6" t="s">
        <v>57</v>
      </c>
      <c r="AF354" s="6" t="s">
        <v>57</v>
      </c>
      <c r="AG354" s="6" t="s">
        <v>57</v>
      </c>
      <c r="AH354" s="6" t="s">
        <v>57</v>
      </c>
      <c r="AI354" s="6" t="s">
        <v>57</v>
      </c>
      <c r="AJ354" s="6" t="s">
        <v>57</v>
      </c>
      <c r="AK354" s="6" t="s">
        <v>57</v>
      </c>
      <c r="AL354" s="6" t="s">
        <v>57</v>
      </c>
      <c r="AM354" s="6" t="s">
        <v>57</v>
      </c>
      <c r="AN354" s="6" t="s">
        <v>57</v>
      </c>
      <c r="AO354" s="6" t="s">
        <v>57</v>
      </c>
      <c r="AP354" s="6" t="s">
        <v>57</v>
      </c>
      <c r="AQ354" s="9">
        <v>0</v>
      </c>
    </row>
    <row r="355" spans="1:43" ht="15">
      <c r="A355" s="2" t="s">
        <v>1266</v>
      </c>
      <c r="B355" s="5">
        <v>18047661</v>
      </c>
      <c r="C355" s="2" t="s">
        <v>23</v>
      </c>
      <c r="D355" s="2" t="s">
        <v>1267</v>
      </c>
      <c r="E355" s="2" t="s">
        <v>1268</v>
      </c>
      <c r="F355" s="2" t="s">
        <v>26</v>
      </c>
      <c r="G355" s="2" t="s">
        <v>26</v>
      </c>
      <c r="H355" s="2" t="s">
        <v>27</v>
      </c>
      <c r="I355" s="2" t="s">
        <v>28</v>
      </c>
      <c r="J355" s="6"/>
      <c r="K355" s="2" t="s">
        <v>55</v>
      </c>
      <c r="L355" s="2" t="s">
        <v>56</v>
      </c>
      <c r="M355" s="2" t="s">
        <v>55</v>
      </c>
      <c r="N355" s="2"/>
      <c r="O355" s="2"/>
      <c r="P355" s="7">
        <v>30.134600454418901</v>
      </c>
      <c r="Q355" s="6" t="s">
        <v>57</v>
      </c>
      <c r="R355" s="9">
        <v>0</v>
      </c>
      <c r="S355" s="2"/>
      <c r="T355" s="9">
        <v>0</v>
      </c>
      <c r="U355" s="9">
        <v>0</v>
      </c>
      <c r="V355" s="9">
        <v>328</v>
      </c>
      <c r="W355" s="9">
        <v>157</v>
      </c>
      <c r="X355" s="9">
        <v>156</v>
      </c>
      <c r="Y355" s="9">
        <v>541</v>
      </c>
      <c r="Z355" s="9">
        <v>780</v>
      </c>
      <c r="AA355" s="9">
        <v>1325</v>
      </c>
      <c r="AB355" s="9">
        <v>0</v>
      </c>
      <c r="AC355" s="9">
        <v>345</v>
      </c>
      <c r="AD355" s="9">
        <v>170</v>
      </c>
      <c r="AE355" s="6" t="s">
        <v>57</v>
      </c>
      <c r="AF355" s="6" t="s">
        <v>57</v>
      </c>
      <c r="AG355" s="6" t="s">
        <v>57</v>
      </c>
      <c r="AH355" s="6" t="s">
        <v>57</v>
      </c>
      <c r="AI355" s="6" t="s">
        <v>57</v>
      </c>
      <c r="AJ355" s="6" t="s">
        <v>57</v>
      </c>
      <c r="AK355" s="6" t="s">
        <v>57</v>
      </c>
      <c r="AL355" s="6" t="s">
        <v>57</v>
      </c>
      <c r="AM355" s="6" t="s">
        <v>57</v>
      </c>
      <c r="AN355" s="6" t="s">
        <v>57</v>
      </c>
      <c r="AO355" s="6" t="s">
        <v>57</v>
      </c>
      <c r="AP355" s="6" t="s">
        <v>57</v>
      </c>
      <c r="AQ355" s="9">
        <v>0</v>
      </c>
    </row>
    <row r="356" spans="1:43" ht="15">
      <c r="A356" s="2" t="s">
        <v>1269</v>
      </c>
      <c r="B356" s="5">
        <v>120315390</v>
      </c>
      <c r="C356" s="2" t="s">
        <v>23</v>
      </c>
      <c r="D356" s="2" t="s">
        <v>1270</v>
      </c>
      <c r="E356" s="2" t="s">
        <v>1271</v>
      </c>
      <c r="F356" s="2" t="s">
        <v>26</v>
      </c>
      <c r="G356" s="2"/>
      <c r="H356" s="2"/>
      <c r="I356" s="2" t="s">
        <v>28</v>
      </c>
      <c r="J356" s="6"/>
      <c r="K356" s="2" t="s">
        <v>55</v>
      </c>
      <c r="L356" s="2" t="s">
        <v>56</v>
      </c>
      <c r="M356" s="2" t="s">
        <v>55</v>
      </c>
      <c r="N356" s="2"/>
      <c r="O356" s="2"/>
      <c r="P356" s="6" t="s">
        <v>57</v>
      </c>
      <c r="Q356" s="6" t="s">
        <v>57</v>
      </c>
      <c r="R356" s="6" t="s">
        <v>57</v>
      </c>
      <c r="S356" s="2"/>
      <c r="T356" s="6" t="s">
        <v>57</v>
      </c>
      <c r="U356" s="6" t="s">
        <v>57</v>
      </c>
      <c r="V356" s="6" t="s">
        <v>57</v>
      </c>
      <c r="W356" s="6" t="s">
        <v>57</v>
      </c>
      <c r="X356" s="6" t="s">
        <v>57</v>
      </c>
      <c r="Y356" s="6" t="s">
        <v>57</v>
      </c>
      <c r="Z356" s="6" t="s">
        <v>57</v>
      </c>
      <c r="AA356" s="6" t="s">
        <v>57</v>
      </c>
      <c r="AB356" s="6" t="s">
        <v>57</v>
      </c>
      <c r="AC356" s="6" t="s">
        <v>57</v>
      </c>
      <c r="AD356" s="6" t="s">
        <v>57</v>
      </c>
      <c r="AE356" s="6" t="s">
        <v>57</v>
      </c>
      <c r="AF356" s="6" t="s">
        <v>57</v>
      </c>
      <c r="AG356" s="6" t="s">
        <v>57</v>
      </c>
      <c r="AH356" s="6" t="s">
        <v>57</v>
      </c>
      <c r="AI356" s="6" t="s">
        <v>57</v>
      </c>
      <c r="AJ356" s="6" t="s">
        <v>57</v>
      </c>
      <c r="AK356" s="6" t="s">
        <v>57</v>
      </c>
      <c r="AL356" s="6" t="s">
        <v>57</v>
      </c>
      <c r="AM356" s="6" t="s">
        <v>57</v>
      </c>
      <c r="AN356" s="6" t="s">
        <v>57</v>
      </c>
      <c r="AO356" s="6" t="s">
        <v>57</v>
      </c>
      <c r="AP356" s="6" t="s">
        <v>57</v>
      </c>
      <c r="AQ356" s="6" t="s">
        <v>57</v>
      </c>
    </row>
    <row r="357" spans="1:43" ht="15">
      <c r="A357" s="2" t="s">
        <v>1272</v>
      </c>
      <c r="B357" s="5">
        <v>29528735</v>
      </c>
      <c r="C357" s="2" t="s">
        <v>23</v>
      </c>
      <c r="D357" s="2" t="s">
        <v>1273</v>
      </c>
      <c r="E357" s="2" t="s">
        <v>1274</v>
      </c>
      <c r="F357" s="2" t="s">
        <v>26</v>
      </c>
      <c r="G357" s="2" t="s">
        <v>26</v>
      </c>
      <c r="H357" s="2" t="s">
        <v>27</v>
      </c>
      <c r="I357" s="2" t="s">
        <v>28</v>
      </c>
      <c r="J357" s="6"/>
      <c r="K357" s="2" t="s">
        <v>55</v>
      </c>
      <c r="L357" s="2" t="s">
        <v>56</v>
      </c>
      <c r="M357" s="2" t="s">
        <v>55</v>
      </c>
      <c r="N357" s="2"/>
      <c r="O357" s="2"/>
      <c r="P357" s="6" t="s">
        <v>57</v>
      </c>
      <c r="Q357" s="6" t="s">
        <v>57</v>
      </c>
      <c r="R357" s="9">
        <v>0</v>
      </c>
      <c r="S357" s="2"/>
      <c r="T357" s="9">
        <v>0</v>
      </c>
      <c r="U357" s="9">
        <v>0</v>
      </c>
      <c r="V357" s="9">
        <v>0</v>
      </c>
      <c r="W357" s="9">
        <v>105</v>
      </c>
      <c r="X357" s="9">
        <v>104</v>
      </c>
      <c r="Y357" s="9">
        <v>168</v>
      </c>
      <c r="Z357" s="9">
        <v>1311</v>
      </c>
      <c r="AA357" s="9">
        <v>1311</v>
      </c>
      <c r="AB357" s="9">
        <v>0</v>
      </c>
      <c r="AC357" s="9">
        <v>0</v>
      </c>
      <c r="AD357" s="9">
        <v>0</v>
      </c>
      <c r="AE357" s="6" t="s">
        <v>57</v>
      </c>
      <c r="AF357" s="6" t="s">
        <v>57</v>
      </c>
      <c r="AG357" s="6" t="s">
        <v>57</v>
      </c>
      <c r="AH357" s="6" t="s">
        <v>57</v>
      </c>
      <c r="AI357" s="6" t="s">
        <v>57</v>
      </c>
      <c r="AJ357" s="6" t="s">
        <v>57</v>
      </c>
      <c r="AK357" s="6" t="s">
        <v>57</v>
      </c>
      <c r="AL357" s="6" t="s">
        <v>57</v>
      </c>
      <c r="AM357" s="6" t="s">
        <v>57</v>
      </c>
      <c r="AN357" s="6" t="s">
        <v>57</v>
      </c>
      <c r="AO357" s="6" t="s">
        <v>57</v>
      </c>
      <c r="AP357" s="6" t="s">
        <v>57</v>
      </c>
      <c r="AQ357" s="9">
        <v>0</v>
      </c>
    </row>
    <row r="358" spans="1:43" ht="15">
      <c r="A358" s="2" t="s">
        <v>1275</v>
      </c>
      <c r="B358" s="5">
        <v>27708855</v>
      </c>
      <c r="C358" s="2" t="s">
        <v>23</v>
      </c>
      <c r="D358" s="2" t="s">
        <v>1276</v>
      </c>
      <c r="E358" s="2" t="s">
        <v>1277</v>
      </c>
      <c r="F358" s="2" t="s">
        <v>26</v>
      </c>
      <c r="G358" s="2" t="s">
        <v>26</v>
      </c>
      <c r="H358" s="2" t="s">
        <v>27</v>
      </c>
      <c r="I358" s="2" t="s">
        <v>28</v>
      </c>
      <c r="J358" s="6"/>
      <c r="K358" s="2" t="s">
        <v>55</v>
      </c>
      <c r="L358" s="2" t="s">
        <v>56</v>
      </c>
      <c r="M358" s="2" t="s">
        <v>55</v>
      </c>
      <c r="N358" s="2"/>
      <c r="O358" s="2"/>
      <c r="P358" s="6" t="s">
        <v>57</v>
      </c>
      <c r="Q358" s="6" t="s">
        <v>57</v>
      </c>
      <c r="R358" s="9">
        <v>0</v>
      </c>
      <c r="S358" s="2"/>
      <c r="T358" s="9">
        <v>0</v>
      </c>
      <c r="U358" s="9">
        <v>0</v>
      </c>
      <c r="V358" s="9">
        <v>0</v>
      </c>
      <c r="W358" s="9">
        <v>0</v>
      </c>
      <c r="X358" s="9">
        <v>0</v>
      </c>
      <c r="Y358" s="9">
        <v>0</v>
      </c>
      <c r="Z358" s="9">
        <v>49</v>
      </c>
      <c r="AA358" s="9">
        <v>46</v>
      </c>
      <c r="AB358" s="9">
        <v>0</v>
      </c>
      <c r="AC358" s="9">
        <v>0</v>
      </c>
      <c r="AD358" s="9">
        <v>0</v>
      </c>
      <c r="AE358" s="6" t="s">
        <v>57</v>
      </c>
      <c r="AF358" s="6" t="s">
        <v>57</v>
      </c>
      <c r="AG358" s="6" t="s">
        <v>57</v>
      </c>
      <c r="AH358" s="6" t="s">
        <v>57</v>
      </c>
      <c r="AI358" s="6" t="s">
        <v>57</v>
      </c>
      <c r="AJ358" s="6" t="s">
        <v>57</v>
      </c>
      <c r="AK358" s="6" t="s">
        <v>57</v>
      </c>
      <c r="AL358" s="6" t="s">
        <v>57</v>
      </c>
      <c r="AM358" s="6" t="s">
        <v>57</v>
      </c>
      <c r="AN358" s="6" t="s">
        <v>57</v>
      </c>
      <c r="AO358" s="6" t="s">
        <v>57</v>
      </c>
      <c r="AP358" s="6" t="s">
        <v>57</v>
      </c>
      <c r="AQ358" s="9">
        <v>0</v>
      </c>
    </row>
    <row r="359" spans="1:43" ht="15">
      <c r="A359" s="2" t="s">
        <v>1278</v>
      </c>
      <c r="B359" s="5">
        <v>105825887</v>
      </c>
      <c r="C359" s="2" t="s">
        <v>23</v>
      </c>
      <c r="D359" s="2" t="s">
        <v>1279</v>
      </c>
      <c r="E359" s="2" t="s">
        <v>1280</v>
      </c>
      <c r="F359" s="2" t="s">
        <v>26</v>
      </c>
      <c r="G359" s="2"/>
      <c r="H359" s="2"/>
      <c r="I359" s="2" t="s">
        <v>28</v>
      </c>
      <c r="J359" s="6"/>
      <c r="K359" s="2" t="s">
        <v>55</v>
      </c>
      <c r="L359" s="2" t="s">
        <v>56</v>
      </c>
      <c r="M359" s="2" t="s">
        <v>55</v>
      </c>
      <c r="N359" s="2"/>
      <c r="O359" s="2"/>
      <c r="P359" s="6" t="s">
        <v>57</v>
      </c>
      <c r="Q359" s="6" t="s">
        <v>57</v>
      </c>
      <c r="R359" s="9">
        <v>0</v>
      </c>
      <c r="S359" s="2"/>
      <c r="T359" s="9">
        <v>0</v>
      </c>
      <c r="U359" s="9">
        <v>0</v>
      </c>
      <c r="V359" s="9">
        <v>0</v>
      </c>
      <c r="W359" s="9">
        <v>305</v>
      </c>
      <c r="X359" s="9">
        <v>304</v>
      </c>
      <c r="Y359" s="9">
        <v>453</v>
      </c>
      <c r="Z359" s="9">
        <v>453</v>
      </c>
      <c r="AA359" s="9">
        <v>453</v>
      </c>
      <c r="AB359" s="9">
        <v>0</v>
      </c>
      <c r="AC359" s="9">
        <v>0</v>
      </c>
      <c r="AD359" s="9">
        <v>613</v>
      </c>
      <c r="AE359" s="6" t="s">
        <v>57</v>
      </c>
      <c r="AF359" s="6" t="s">
        <v>57</v>
      </c>
      <c r="AG359" s="6" t="s">
        <v>57</v>
      </c>
      <c r="AH359" s="6" t="s">
        <v>57</v>
      </c>
      <c r="AI359" s="6" t="s">
        <v>57</v>
      </c>
      <c r="AJ359" s="6" t="s">
        <v>57</v>
      </c>
      <c r="AK359" s="6" t="s">
        <v>57</v>
      </c>
      <c r="AL359" s="6" t="s">
        <v>57</v>
      </c>
      <c r="AM359" s="6" t="s">
        <v>57</v>
      </c>
      <c r="AN359" s="6" t="s">
        <v>57</v>
      </c>
      <c r="AO359" s="6" t="s">
        <v>57</v>
      </c>
      <c r="AP359" s="6" t="s">
        <v>57</v>
      </c>
      <c r="AQ359" s="9">
        <v>0</v>
      </c>
    </row>
    <row r="360" spans="1:43" ht="15">
      <c r="A360" s="2" t="s">
        <v>1281</v>
      </c>
      <c r="B360" s="5">
        <v>105825780</v>
      </c>
      <c r="C360" s="2" t="s">
        <v>23</v>
      </c>
      <c r="D360" s="2" t="s">
        <v>1282</v>
      </c>
      <c r="E360" s="2" t="s">
        <v>1283</v>
      </c>
      <c r="F360" s="2" t="s">
        <v>26</v>
      </c>
      <c r="G360" s="2" t="s">
        <v>26</v>
      </c>
      <c r="H360" s="2" t="s">
        <v>27</v>
      </c>
      <c r="I360" s="2" t="s">
        <v>28</v>
      </c>
      <c r="J360" s="6"/>
      <c r="K360" s="2" t="s">
        <v>55</v>
      </c>
      <c r="L360" s="2" t="s">
        <v>56</v>
      </c>
      <c r="M360" s="2" t="s">
        <v>55</v>
      </c>
      <c r="N360" s="2"/>
      <c r="O360" s="2"/>
      <c r="P360" s="6" t="s">
        <v>57</v>
      </c>
      <c r="Q360" s="6" t="s">
        <v>57</v>
      </c>
      <c r="R360" s="9">
        <v>0</v>
      </c>
      <c r="S360" s="2"/>
      <c r="T360" s="9">
        <v>0</v>
      </c>
      <c r="U360" s="9">
        <v>0</v>
      </c>
      <c r="V360" s="9">
        <v>0</v>
      </c>
      <c r="W360" s="9">
        <v>0</v>
      </c>
      <c r="X360" s="9">
        <v>0</v>
      </c>
      <c r="Y360" s="9">
        <v>0</v>
      </c>
      <c r="Z360" s="9">
        <v>0</v>
      </c>
      <c r="AA360" s="9">
        <v>0</v>
      </c>
      <c r="AB360" s="9">
        <v>0</v>
      </c>
      <c r="AC360" s="9">
        <v>0</v>
      </c>
      <c r="AD360" s="9">
        <v>0</v>
      </c>
      <c r="AE360" s="6" t="s">
        <v>57</v>
      </c>
      <c r="AF360" s="6" t="s">
        <v>57</v>
      </c>
      <c r="AG360" s="6" t="s">
        <v>57</v>
      </c>
      <c r="AH360" s="6" t="s">
        <v>57</v>
      </c>
      <c r="AI360" s="6" t="s">
        <v>57</v>
      </c>
      <c r="AJ360" s="6" t="s">
        <v>57</v>
      </c>
      <c r="AK360" s="6" t="s">
        <v>57</v>
      </c>
      <c r="AL360" s="6" t="s">
        <v>57</v>
      </c>
      <c r="AM360" s="6" t="s">
        <v>57</v>
      </c>
      <c r="AN360" s="6" t="s">
        <v>57</v>
      </c>
      <c r="AO360" s="6" t="s">
        <v>57</v>
      </c>
      <c r="AP360" s="6" t="s">
        <v>57</v>
      </c>
      <c r="AQ360" s="9">
        <v>0</v>
      </c>
    </row>
    <row r="361" spans="1:43" ht="15">
      <c r="A361" s="2" t="s">
        <v>1284</v>
      </c>
      <c r="B361" s="5">
        <v>105825889</v>
      </c>
      <c r="C361" s="2" t="s">
        <v>23</v>
      </c>
      <c r="D361" s="2" t="s">
        <v>1285</v>
      </c>
      <c r="E361" s="2" t="s">
        <v>1286</v>
      </c>
      <c r="F361" s="2" t="s">
        <v>26</v>
      </c>
      <c r="G361" s="2"/>
      <c r="H361" s="2"/>
      <c r="I361" s="2" t="s">
        <v>28</v>
      </c>
      <c r="J361" s="6"/>
      <c r="K361" s="2" t="s">
        <v>55</v>
      </c>
      <c r="L361" s="2" t="s">
        <v>56</v>
      </c>
      <c r="M361" s="2" t="s">
        <v>55</v>
      </c>
      <c r="N361" s="2"/>
      <c r="O361" s="2"/>
      <c r="P361" s="6" t="s">
        <v>57</v>
      </c>
      <c r="Q361" s="6" t="s">
        <v>57</v>
      </c>
      <c r="R361" s="9">
        <v>0</v>
      </c>
      <c r="S361" s="2"/>
      <c r="T361" s="9">
        <v>0</v>
      </c>
      <c r="U361" s="9">
        <v>0</v>
      </c>
      <c r="V361" s="9">
        <v>0</v>
      </c>
      <c r="W361" s="9">
        <v>0</v>
      </c>
      <c r="X361" s="9">
        <v>0</v>
      </c>
      <c r="Y361" s="9">
        <v>0</v>
      </c>
      <c r="Z361" s="9">
        <v>390</v>
      </c>
      <c r="AA361" s="9">
        <v>629</v>
      </c>
      <c r="AB361" s="9">
        <v>0</v>
      </c>
      <c r="AC361" s="9">
        <v>0</v>
      </c>
      <c r="AD361" s="9">
        <v>0</v>
      </c>
      <c r="AE361" s="6" t="s">
        <v>57</v>
      </c>
      <c r="AF361" s="6" t="s">
        <v>57</v>
      </c>
      <c r="AG361" s="6" t="s">
        <v>57</v>
      </c>
      <c r="AH361" s="6" t="s">
        <v>57</v>
      </c>
      <c r="AI361" s="6" t="s">
        <v>57</v>
      </c>
      <c r="AJ361" s="6" t="s">
        <v>57</v>
      </c>
      <c r="AK361" s="6" t="s">
        <v>57</v>
      </c>
      <c r="AL361" s="6" t="s">
        <v>57</v>
      </c>
      <c r="AM361" s="6" t="s">
        <v>57</v>
      </c>
      <c r="AN361" s="6" t="s">
        <v>57</v>
      </c>
      <c r="AO361" s="6" t="s">
        <v>57</v>
      </c>
      <c r="AP361" s="6" t="s">
        <v>57</v>
      </c>
      <c r="AQ361" s="9">
        <v>0</v>
      </c>
    </row>
    <row r="362" spans="1:43" ht="15">
      <c r="A362" s="2" t="s">
        <v>1287</v>
      </c>
      <c r="B362" s="5">
        <v>105825893</v>
      </c>
      <c r="C362" s="2" t="s">
        <v>23</v>
      </c>
      <c r="D362" s="2" t="s">
        <v>1288</v>
      </c>
      <c r="E362" s="2" t="s">
        <v>1289</v>
      </c>
      <c r="F362" s="2" t="s">
        <v>26</v>
      </c>
      <c r="G362" s="2"/>
      <c r="H362" s="2"/>
      <c r="I362" s="2" t="s">
        <v>28</v>
      </c>
      <c r="J362" s="6"/>
      <c r="K362" s="2" t="s">
        <v>55</v>
      </c>
      <c r="L362" s="2" t="s">
        <v>56</v>
      </c>
      <c r="M362" s="2" t="s">
        <v>55</v>
      </c>
      <c r="N362" s="2"/>
      <c r="O362" s="2"/>
      <c r="P362" s="6" t="s">
        <v>57</v>
      </c>
      <c r="Q362" s="6" t="s">
        <v>57</v>
      </c>
      <c r="R362" s="9">
        <v>0</v>
      </c>
      <c r="S362" s="2"/>
      <c r="T362" s="9">
        <v>0</v>
      </c>
      <c r="U362" s="9">
        <v>0</v>
      </c>
      <c r="V362" s="9">
        <v>0</v>
      </c>
      <c r="W362" s="9">
        <v>489</v>
      </c>
      <c r="X362" s="9">
        <v>487</v>
      </c>
      <c r="Y362" s="9">
        <v>1129</v>
      </c>
      <c r="Z362" s="9">
        <v>1012</v>
      </c>
      <c r="AA362" s="9">
        <v>1012</v>
      </c>
      <c r="AB362" s="9">
        <v>0</v>
      </c>
      <c r="AC362" s="9">
        <v>0</v>
      </c>
      <c r="AD362" s="9">
        <v>982</v>
      </c>
      <c r="AE362" s="6" t="s">
        <v>57</v>
      </c>
      <c r="AF362" s="6" t="s">
        <v>57</v>
      </c>
      <c r="AG362" s="6" t="s">
        <v>57</v>
      </c>
      <c r="AH362" s="6" t="s">
        <v>57</v>
      </c>
      <c r="AI362" s="6" t="s">
        <v>57</v>
      </c>
      <c r="AJ362" s="6" t="s">
        <v>57</v>
      </c>
      <c r="AK362" s="6" t="s">
        <v>57</v>
      </c>
      <c r="AL362" s="6" t="s">
        <v>57</v>
      </c>
      <c r="AM362" s="6" t="s">
        <v>57</v>
      </c>
      <c r="AN362" s="6" t="s">
        <v>57</v>
      </c>
      <c r="AO362" s="6" t="s">
        <v>57</v>
      </c>
      <c r="AP362" s="6" t="s">
        <v>57</v>
      </c>
      <c r="AQ362" s="9">
        <v>0</v>
      </c>
    </row>
    <row r="363" spans="1:43" ht="15">
      <c r="A363" s="2" t="s">
        <v>1290</v>
      </c>
      <c r="B363" s="5">
        <v>105826206</v>
      </c>
      <c r="C363" s="2" t="s">
        <v>23</v>
      </c>
      <c r="D363" s="2" t="s">
        <v>1291</v>
      </c>
      <c r="E363" s="2" t="s">
        <v>1292</v>
      </c>
      <c r="F363" s="2" t="s">
        <v>26</v>
      </c>
      <c r="G363" s="2" t="s">
        <v>26</v>
      </c>
      <c r="H363" s="2" t="s">
        <v>27</v>
      </c>
      <c r="I363" s="2" t="s">
        <v>28</v>
      </c>
      <c r="J363" s="6"/>
      <c r="K363" s="2" t="s">
        <v>55</v>
      </c>
      <c r="L363" s="2" t="s">
        <v>56</v>
      </c>
      <c r="M363" s="2" t="s">
        <v>55</v>
      </c>
      <c r="N363" s="2"/>
      <c r="O363" s="2"/>
      <c r="P363" s="6" t="s">
        <v>57</v>
      </c>
      <c r="Q363" s="6" t="s">
        <v>57</v>
      </c>
      <c r="R363" s="9">
        <v>0</v>
      </c>
      <c r="S363" s="2"/>
      <c r="T363" s="9">
        <v>0</v>
      </c>
      <c r="U363" s="9">
        <v>0</v>
      </c>
      <c r="V363" s="9">
        <v>0</v>
      </c>
      <c r="W363" s="9">
        <v>0</v>
      </c>
      <c r="X363" s="9">
        <v>0</v>
      </c>
      <c r="Y363" s="9">
        <v>0</v>
      </c>
      <c r="Z363" s="9">
        <v>0</v>
      </c>
      <c r="AA363" s="9">
        <v>0</v>
      </c>
      <c r="AB363" s="9">
        <v>0</v>
      </c>
      <c r="AC363" s="9">
        <v>0</v>
      </c>
      <c r="AD363" s="9">
        <v>0</v>
      </c>
      <c r="AE363" s="6" t="s">
        <v>57</v>
      </c>
      <c r="AF363" s="6" t="s">
        <v>57</v>
      </c>
      <c r="AG363" s="6" t="s">
        <v>57</v>
      </c>
      <c r="AH363" s="6" t="s">
        <v>57</v>
      </c>
      <c r="AI363" s="6" t="s">
        <v>57</v>
      </c>
      <c r="AJ363" s="6" t="s">
        <v>57</v>
      </c>
      <c r="AK363" s="6" t="s">
        <v>57</v>
      </c>
      <c r="AL363" s="6" t="s">
        <v>57</v>
      </c>
      <c r="AM363" s="6" t="s">
        <v>57</v>
      </c>
      <c r="AN363" s="6" t="s">
        <v>57</v>
      </c>
      <c r="AO363" s="6" t="s">
        <v>57</v>
      </c>
      <c r="AP363" s="6" t="s">
        <v>57</v>
      </c>
      <c r="AQ363" s="9">
        <v>0</v>
      </c>
    </row>
    <row r="364" spans="1:43" ht="15">
      <c r="A364" s="2" t="s">
        <v>1293</v>
      </c>
      <c r="B364" s="5">
        <v>105826108</v>
      </c>
      <c r="C364" s="2" t="s">
        <v>23</v>
      </c>
      <c r="D364" s="2" t="s">
        <v>1294</v>
      </c>
      <c r="E364" s="2" t="s">
        <v>1295</v>
      </c>
      <c r="F364" s="2" t="s">
        <v>26</v>
      </c>
      <c r="G364" s="2"/>
      <c r="H364" s="2"/>
      <c r="I364" s="2" t="s">
        <v>28</v>
      </c>
      <c r="J364" s="6"/>
      <c r="K364" s="2" t="s">
        <v>55</v>
      </c>
      <c r="L364" s="2" t="s">
        <v>56</v>
      </c>
      <c r="M364" s="2" t="s">
        <v>55</v>
      </c>
      <c r="N364" s="2"/>
      <c r="O364" s="2"/>
      <c r="P364" s="6" t="s">
        <v>57</v>
      </c>
      <c r="Q364" s="6" t="s">
        <v>57</v>
      </c>
      <c r="R364" s="9">
        <v>0</v>
      </c>
      <c r="S364" s="2"/>
      <c r="T364" s="9">
        <v>0</v>
      </c>
      <c r="U364" s="9">
        <v>0</v>
      </c>
      <c r="V364" s="9">
        <v>0</v>
      </c>
      <c r="W364" s="9">
        <v>212</v>
      </c>
      <c r="X364" s="9">
        <v>211</v>
      </c>
      <c r="Y364" s="9">
        <v>476</v>
      </c>
      <c r="Z364" s="9">
        <v>456</v>
      </c>
      <c r="AA364" s="9">
        <v>522</v>
      </c>
      <c r="AB364" s="9">
        <v>0</v>
      </c>
      <c r="AC364" s="9">
        <v>0</v>
      </c>
      <c r="AD364" s="9">
        <v>426</v>
      </c>
      <c r="AE364" s="6" t="s">
        <v>57</v>
      </c>
      <c r="AF364" s="6" t="s">
        <v>57</v>
      </c>
      <c r="AG364" s="6" t="s">
        <v>57</v>
      </c>
      <c r="AH364" s="6" t="s">
        <v>57</v>
      </c>
      <c r="AI364" s="6" t="s">
        <v>57</v>
      </c>
      <c r="AJ364" s="6" t="s">
        <v>57</v>
      </c>
      <c r="AK364" s="6" t="s">
        <v>57</v>
      </c>
      <c r="AL364" s="6" t="s">
        <v>57</v>
      </c>
      <c r="AM364" s="6" t="s">
        <v>57</v>
      </c>
      <c r="AN364" s="6" t="s">
        <v>57</v>
      </c>
      <c r="AO364" s="6" t="s">
        <v>57</v>
      </c>
      <c r="AP364" s="6" t="s">
        <v>57</v>
      </c>
      <c r="AQ364" s="9">
        <v>0</v>
      </c>
    </row>
    <row r="365" spans="1:43" ht="15">
      <c r="A365" s="2" t="s">
        <v>1296</v>
      </c>
      <c r="B365" s="5">
        <v>19739462</v>
      </c>
      <c r="C365" s="2" t="s">
        <v>23</v>
      </c>
      <c r="D365" s="2" t="s">
        <v>1297</v>
      </c>
      <c r="E365" s="2" t="s">
        <v>1298</v>
      </c>
      <c r="F365" s="2" t="s">
        <v>26</v>
      </c>
      <c r="G365" s="2" t="s">
        <v>26</v>
      </c>
      <c r="H365" s="2" t="s">
        <v>27</v>
      </c>
      <c r="I365" s="2" t="s">
        <v>28</v>
      </c>
      <c r="J365" s="6"/>
      <c r="K365" s="2" t="s">
        <v>55</v>
      </c>
      <c r="L365" s="2" t="s">
        <v>56</v>
      </c>
      <c r="M365" s="2" t="s">
        <v>55</v>
      </c>
      <c r="N365" s="2"/>
      <c r="O365" s="2"/>
      <c r="P365" s="6" t="s">
        <v>57</v>
      </c>
      <c r="Q365" s="6" t="s">
        <v>57</v>
      </c>
      <c r="R365" s="9">
        <v>0</v>
      </c>
      <c r="S365" s="2"/>
      <c r="T365" s="9">
        <v>0</v>
      </c>
      <c r="U365" s="9">
        <v>0</v>
      </c>
      <c r="V365" s="9">
        <v>0</v>
      </c>
      <c r="W365" s="9">
        <v>0</v>
      </c>
      <c r="X365" s="9">
        <v>0</v>
      </c>
      <c r="Y365" s="9">
        <v>0</v>
      </c>
      <c r="Z365" s="9">
        <v>0</v>
      </c>
      <c r="AA365" s="9">
        <v>287</v>
      </c>
      <c r="AB365" s="9">
        <v>0</v>
      </c>
      <c r="AC365" s="9">
        <v>0</v>
      </c>
      <c r="AD365" s="9">
        <v>0</v>
      </c>
      <c r="AE365" s="6" t="s">
        <v>57</v>
      </c>
      <c r="AF365" s="6" t="s">
        <v>57</v>
      </c>
      <c r="AG365" s="6" t="s">
        <v>57</v>
      </c>
      <c r="AH365" s="6" t="s">
        <v>57</v>
      </c>
      <c r="AI365" s="6" t="s">
        <v>57</v>
      </c>
      <c r="AJ365" s="6" t="s">
        <v>57</v>
      </c>
      <c r="AK365" s="6" t="s">
        <v>57</v>
      </c>
      <c r="AL365" s="6" t="s">
        <v>57</v>
      </c>
      <c r="AM365" s="6" t="s">
        <v>57</v>
      </c>
      <c r="AN365" s="6" t="s">
        <v>57</v>
      </c>
      <c r="AO365" s="6" t="s">
        <v>57</v>
      </c>
      <c r="AP365" s="6" t="s">
        <v>57</v>
      </c>
      <c r="AQ365" s="9">
        <v>0</v>
      </c>
    </row>
    <row r="366" spans="1:43" ht="15">
      <c r="A366" s="2" t="s">
        <v>1299</v>
      </c>
      <c r="B366" s="5">
        <v>10859807</v>
      </c>
      <c r="C366" s="2" t="s">
        <v>23</v>
      </c>
      <c r="D366" s="2" t="s">
        <v>1300</v>
      </c>
      <c r="E366" s="2" t="s">
        <v>1301</v>
      </c>
      <c r="F366" s="2" t="s">
        <v>26</v>
      </c>
      <c r="G366" s="2" t="s">
        <v>26</v>
      </c>
      <c r="H366" s="2" t="s">
        <v>27</v>
      </c>
      <c r="I366" s="2" t="s">
        <v>28</v>
      </c>
      <c r="J366" s="6"/>
      <c r="K366" s="2" t="s">
        <v>55</v>
      </c>
      <c r="L366" s="2" t="s">
        <v>56</v>
      </c>
      <c r="M366" s="2" t="s">
        <v>55</v>
      </c>
      <c r="N366" s="2"/>
      <c r="O366" s="2"/>
      <c r="P366" s="7">
        <v>0.13059854714881899</v>
      </c>
      <c r="Q366" s="6" t="s">
        <v>57</v>
      </c>
      <c r="R366" s="9">
        <v>0</v>
      </c>
      <c r="S366" s="2"/>
      <c r="T366" s="9">
        <v>0</v>
      </c>
      <c r="U366" s="9">
        <v>0</v>
      </c>
      <c r="V366" s="9">
        <v>0</v>
      </c>
      <c r="W366" s="9">
        <v>0</v>
      </c>
      <c r="X366" s="9">
        <v>0</v>
      </c>
      <c r="Y366" s="9">
        <v>0</v>
      </c>
      <c r="Z366" s="9">
        <v>0</v>
      </c>
      <c r="AA366" s="9">
        <v>321</v>
      </c>
      <c r="AB366" s="9">
        <v>0</v>
      </c>
      <c r="AC366" s="9">
        <v>0</v>
      </c>
      <c r="AD366" s="9">
        <v>0</v>
      </c>
      <c r="AE366" s="6" t="s">
        <v>57</v>
      </c>
      <c r="AF366" s="6" t="s">
        <v>57</v>
      </c>
      <c r="AG366" s="6" t="s">
        <v>57</v>
      </c>
      <c r="AH366" s="6" t="s">
        <v>57</v>
      </c>
      <c r="AI366" s="6" t="s">
        <v>57</v>
      </c>
      <c r="AJ366" s="6" t="s">
        <v>57</v>
      </c>
      <c r="AK366" s="6" t="s">
        <v>57</v>
      </c>
      <c r="AL366" s="6" t="s">
        <v>57</v>
      </c>
      <c r="AM366" s="6" t="s">
        <v>57</v>
      </c>
      <c r="AN366" s="6" t="s">
        <v>57</v>
      </c>
      <c r="AO366" s="6" t="s">
        <v>57</v>
      </c>
      <c r="AP366" s="6" t="s">
        <v>57</v>
      </c>
      <c r="AQ366" s="9">
        <v>0</v>
      </c>
    </row>
    <row r="367" spans="1:43" ht="15">
      <c r="A367" s="2" t="s">
        <v>1302</v>
      </c>
      <c r="B367" s="5">
        <v>5728715</v>
      </c>
      <c r="C367" s="2" t="s">
        <v>23</v>
      </c>
      <c r="D367" s="2" t="s">
        <v>1303</v>
      </c>
      <c r="E367" s="2" t="s">
        <v>1304</v>
      </c>
      <c r="F367" s="2" t="s">
        <v>26</v>
      </c>
      <c r="G367" s="2" t="s">
        <v>26</v>
      </c>
      <c r="H367" s="2" t="s">
        <v>27</v>
      </c>
      <c r="I367" s="2" t="s">
        <v>28</v>
      </c>
      <c r="J367" s="6"/>
      <c r="K367" s="2" t="s">
        <v>55</v>
      </c>
      <c r="L367" s="2" t="s">
        <v>56</v>
      </c>
      <c r="M367" s="2" t="s">
        <v>55</v>
      </c>
      <c r="N367" s="2"/>
      <c r="O367" s="2"/>
      <c r="P367" s="7">
        <v>633.38885588679898</v>
      </c>
      <c r="Q367" s="6" t="s">
        <v>57</v>
      </c>
      <c r="R367" s="9">
        <v>1192</v>
      </c>
      <c r="S367" s="2" t="s">
        <v>1305</v>
      </c>
      <c r="T367" s="9">
        <v>647</v>
      </c>
      <c r="U367" s="9">
        <v>602</v>
      </c>
      <c r="V367" s="9">
        <v>572</v>
      </c>
      <c r="W367" s="9">
        <v>466</v>
      </c>
      <c r="X367" s="9">
        <v>464</v>
      </c>
      <c r="Y367" s="9">
        <v>268</v>
      </c>
      <c r="Z367" s="9">
        <v>178</v>
      </c>
      <c r="AA367" s="9">
        <v>107</v>
      </c>
      <c r="AB367" s="9">
        <v>436</v>
      </c>
      <c r="AC367" s="9">
        <v>553</v>
      </c>
      <c r="AD367" s="9">
        <v>926</v>
      </c>
      <c r="AE367" s="6" t="s">
        <v>57</v>
      </c>
      <c r="AF367" s="6" t="s">
        <v>57</v>
      </c>
      <c r="AG367" s="6" t="s">
        <v>57</v>
      </c>
      <c r="AH367" s="6" t="s">
        <v>57</v>
      </c>
      <c r="AI367" s="6" t="s">
        <v>57</v>
      </c>
      <c r="AJ367" s="6" t="s">
        <v>57</v>
      </c>
      <c r="AK367" s="6" t="s">
        <v>57</v>
      </c>
      <c r="AL367" s="6" t="s">
        <v>57</v>
      </c>
      <c r="AM367" s="6" t="s">
        <v>57</v>
      </c>
      <c r="AN367" s="6" t="s">
        <v>57</v>
      </c>
      <c r="AO367" s="6" t="s">
        <v>57</v>
      </c>
      <c r="AP367" s="6" t="s">
        <v>57</v>
      </c>
      <c r="AQ367" s="9">
        <v>2332</v>
      </c>
    </row>
    <row r="368" spans="1:43" ht="15">
      <c r="A368" s="2" t="s">
        <v>1306</v>
      </c>
      <c r="B368" s="5">
        <v>4985051</v>
      </c>
      <c r="C368" s="2" t="s">
        <v>46</v>
      </c>
      <c r="D368" s="2" t="s">
        <v>1307</v>
      </c>
      <c r="E368" s="2" t="s">
        <v>1308</v>
      </c>
      <c r="F368" s="2" t="s">
        <v>49</v>
      </c>
      <c r="G368" s="2" t="s">
        <v>49</v>
      </c>
      <c r="H368" s="2" t="s">
        <v>50</v>
      </c>
      <c r="I368" s="2" t="s">
        <v>40</v>
      </c>
      <c r="J368" s="6"/>
      <c r="K368" s="2" t="s">
        <v>987</v>
      </c>
      <c r="L368" s="2" t="s">
        <v>42</v>
      </c>
      <c r="M368" s="2" t="s">
        <v>987</v>
      </c>
      <c r="N368" s="2"/>
      <c r="O368" s="2"/>
      <c r="P368" s="7">
        <v>323.77392163990902</v>
      </c>
      <c r="Q368" s="8">
        <v>958.12219361069299</v>
      </c>
      <c r="R368" s="9">
        <v>0</v>
      </c>
      <c r="S368" s="2" t="s">
        <v>1309</v>
      </c>
      <c r="T368" s="9">
        <v>0</v>
      </c>
      <c r="U368" s="9">
        <v>48</v>
      </c>
      <c r="V368" s="9">
        <v>37</v>
      </c>
      <c r="W368" s="9">
        <v>597</v>
      </c>
      <c r="X368" s="9">
        <v>595</v>
      </c>
      <c r="Y368" s="9">
        <v>549</v>
      </c>
      <c r="Z368" s="9">
        <v>592</v>
      </c>
      <c r="AA368" s="9">
        <v>570</v>
      </c>
      <c r="AB368" s="9">
        <v>55</v>
      </c>
      <c r="AC368" s="9">
        <v>38</v>
      </c>
      <c r="AD368" s="9">
        <v>44</v>
      </c>
      <c r="AE368" s="7">
        <v>0</v>
      </c>
      <c r="AF368" s="7">
        <v>0</v>
      </c>
      <c r="AG368" s="7">
        <v>9.4460326790228504E-05</v>
      </c>
      <c r="AH368" s="7">
        <v>7.21389408726245E-05</v>
      </c>
      <c r="AI368" s="7">
        <v>0.0011766956060914101</v>
      </c>
      <c r="AJ368" s="7">
        <v>0.0011719888236670401</v>
      </c>
      <c r="AK368" s="7">
        <v>0.00108200818762848</v>
      </c>
      <c r="AL368" s="7">
        <v>0.00116647956885098</v>
      </c>
      <c r="AM368" s="7">
        <v>0.0011240135943737599</v>
      </c>
      <c r="AN368" s="7">
        <v>0.000107954659188833</v>
      </c>
      <c r="AO368" s="7">
        <v>7.5686757636851904E-05</v>
      </c>
      <c r="AP368" s="7">
        <v>8.6675630012958001E-05</v>
      </c>
      <c r="AQ368" s="9">
        <v>0</v>
      </c>
    </row>
    <row r="369" spans="1:43" ht="15">
      <c r="A369" s="2" t="s">
        <v>1310</v>
      </c>
      <c r="B369" s="5">
        <v>6867300</v>
      </c>
      <c r="C369" s="2" t="s">
        <v>35</v>
      </c>
      <c r="D369" s="2" t="s">
        <v>1311</v>
      </c>
      <c r="E369" s="2" t="s">
        <v>1312</v>
      </c>
      <c r="F369" s="2" t="s">
        <v>38</v>
      </c>
      <c r="G369" s="2" t="s">
        <v>38</v>
      </c>
      <c r="H369" s="2" t="s">
        <v>39</v>
      </c>
      <c r="I369" s="2" t="s">
        <v>28</v>
      </c>
      <c r="J369" s="6"/>
      <c r="K369" s="2" t="s">
        <v>181</v>
      </c>
      <c r="L369" s="2" t="s">
        <v>182</v>
      </c>
      <c r="M369" s="2" t="s">
        <v>183</v>
      </c>
      <c r="N369" s="2" t="s">
        <v>181</v>
      </c>
      <c r="O369" s="2"/>
      <c r="P369" s="7">
        <v>4.7761202880000004</v>
      </c>
      <c r="Q369" s="8">
        <v>3.799780460289</v>
      </c>
      <c r="R369" s="9">
        <v>0</v>
      </c>
      <c r="S369" s="2" t="s">
        <v>1313</v>
      </c>
      <c r="T369" s="9">
        <v>0</v>
      </c>
      <c r="U369" s="9">
        <v>0</v>
      </c>
      <c r="V369" s="9">
        <v>0</v>
      </c>
      <c r="W369" s="9">
        <v>0</v>
      </c>
      <c r="X369" s="9">
        <v>0</v>
      </c>
      <c r="Y369" s="9">
        <v>0</v>
      </c>
      <c r="Z369" s="9">
        <v>0</v>
      </c>
      <c r="AA369" s="9">
        <v>0</v>
      </c>
      <c r="AB369" s="9">
        <v>0</v>
      </c>
      <c r="AC369" s="9">
        <v>0</v>
      </c>
      <c r="AD369" s="9">
        <v>0</v>
      </c>
      <c r="AE369" s="7">
        <v>0</v>
      </c>
      <c r="AF369" s="7">
        <v>0</v>
      </c>
      <c r="AG369" s="7">
        <v>0</v>
      </c>
      <c r="AH369" s="7">
        <v>0</v>
      </c>
      <c r="AI369" s="7">
        <v>0</v>
      </c>
      <c r="AJ369" s="7">
        <v>0</v>
      </c>
      <c r="AK369" s="7">
        <v>0</v>
      </c>
      <c r="AL369" s="7">
        <v>0</v>
      </c>
      <c r="AM369" s="7">
        <v>0</v>
      </c>
      <c r="AN369" s="7">
        <v>0</v>
      </c>
      <c r="AO369" s="7">
        <v>0</v>
      </c>
      <c r="AP369" s="7">
        <v>0</v>
      </c>
      <c r="AQ369" s="9">
        <v>0</v>
      </c>
    </row>
    <row r="370" spans="1:43" ht="15">
      <c r="A370" s="2" t="s">
        <v>1314</v>
      </c>
      <c r="B370" s="5">
        <v>4582313</v>
      </c>
      <c r="C370" s="2" t="s">
        <v>35</v>
      </c>
      <c r="D370" s="2" t="s">
        <v>1315</v>
      </c>
      <c r="E370" s="2" t="s">
        <v>1316</v>
      </c>
      <c r="F370" s="2" t="s">
        <v>38</v>
      </c>
      <c r="G370" s="2" t="s">
        <v>38</v>
      </c>
      <c r="H370" s="2" t="s">
        <v>39</v>
      </c>
      <c r="I370" s="2" t="s">
        <v>28</v>
      </c>
      <c r="J370" s="10">
        <v>41001</v>
      </c>
      <c r="K370" s="2" t="s">
        <v>181</v>
      </c>
      <c r="L370" s="2" t="s">
        <v>182</v>
      </c>
      <c r="M370" s="2" t="s">
        <v>183</v>
      </c>
      <c r="N370" s="2" t="s">
        <v>181</v>
      </c>
      <c r="O370" s="2"/>
      <c r="P370" s="7">
        <v>80.211703088764807</v>
      </c>
      <c r="Q370" s="8">
        <v>293.310330164307</v>
      </c>
      <c r="R370" s="9">
        <v>0</v>
      </c>
      <c r="S370" s="2" t="s">
        <v>1317</v>
      </c>
      <c r="T370" s="9">
        <v>0</v>
      </c>
      <c r="U370" s="9">
        <v>52</v>
      </c>
      <c r="V370" s="9">
        <v>739</v>
      </c>
      <c r="W370" s="9">
        <v>8594</v>
      </c>
      <c r="X370" s="9">
        <v>8558</v>
      </c>
      <c r="Y370" s="9">
        <v>5259</v>
      </c>
      <c r="Z370" s="9">
        <v>5206</v>
      </c>
      <c r="AA370" s="9">
        <v>82339</v>
      </c>
      <c r="AB370" s="9">
        <v>60</v>
      </c>
      <c r="AC370" s="9">
        <v>777</v>
      </c>
      <c r="AD370" s="9">
        <v>2731</v>
      </c>
      <c r="AE370" s="7">
        <v>0</v>
      </c>
      <c r="AF370" s="7">
        <v>0</v>
      </c>
      <c r="AG370" s="7">
        <v>4.52673176130153E-05</v>
      </c>
      <c r="AH370" s="7">
        <v>0.00064348947619434905</v>
      </c>
      <c r="AI370" s="7">
        <v>0.0074809329376005701</v>
      </c>
      <c r="AJ370" s="7">
        <v>0.0074502733763808903</v>
      </c>
      <c r="AK370" s="7">
        <v>0.0045784505795842699</v>
      </c>
      <c r="AL370" s="7">
        <v>0.0045316504673137102</v>
      </c>
      <c r="AM370" s="7">
        <v>0.071678342587249699</v>
      </c>
      <c r="AN370" s="7">
        <v>5.2414788815070402E-05</v>
      </c>
      <c r="AO370" s="7">
        <v>0.00067677341461819501</v>
      </c>
      <c r="AP370" s="7">
        <v>0.00237729496993731</v>
      </c>
      <c r="AQ370" s="9">
        <v>0</v>
      </c>
    </row>
    <row r="371" spans="1:43" ht="15">
      <c r="A371" s="2" t="s">
        <v>1318</v>
      </c>
      <c r="B371" s="5">
        <v>4990383</v>
      </c>
      <c r="C371" s="2" t="s">
        <v>35</v>
      </c>
      <c r="D371" s="2" t="s">
        <v>1319</v>
      </c>
      <c r="E371" s="2" t="s">
        <v>1320</v>
      </c>
      <c r="F371" s="2" t="s">
        <v>38</v>
      </c>
      <c r="G371" s="2" t="s">
        <v>38</v>
      </c>
      <c r="H371" s="2" t="s">
        <v>39</v>
      </c>
      <c r="I371" s="2" t="s">
        <v>28</v>
      </c>
      <c r="J371" s="10">
        <v>40534</v>
      </c>
      <c r="K371" s="2" t="s">
        <v>181</v>
      </c>
      <c r="L371" s="2" t="s">
        <v>182</v>
      </c>
      <c r="M371" s="2" t="s">
        <v>183</v>
      </c>
      <c r="N371" s="2" t="s">
        <v>181</v>
      </c>
      <c r="O371" s="2"/>
      <c r="P371" s="7">
        <v>139.59149518549299</v>
      </c>
      <c r="Q371" s="8">
        <v>169.10264080199701</v>
      </c>
      <c r="R371" s="9">
        <v>257612</v>
      </c>
      <c r="S371" s="2" t="s">
        <v>1321</v>
      </c>
      <c r="T371" s="9">
        <v>974979</v>
      </c>
      <c r="U371" s="9">
        <v>659149</v>
      </c>
      <c r="V371" s="9">
        <v>549516</v>
      </c>
      <c r="W371" s="9">
        <v>713182</v>
      </c>
      <c r="X371" s="9">
        <v>711316</v>
      </c>
      <c r="Y371" s="9">
        <v>755549</v>
      </c>
      <c r="Z371" s="9">
        <v>622684</v>
      </c>
      <c r="AA371" s="9">
        <v>567304</v>
      </c>
      <c r="AB371" s="9">
        <v>698799</v>
      </c>
      <c r="AC371" s="9">
        <v>543899</v>
      </c>
      <c r="AD371" s="9">
        <v>811559</v>
      </c>
      <c r="AE371" s="7">
        <v>0.11355978763783001</v>
      </c>
      <c r="AF371" s="7">
        <v>0.42978837170691198</v>
      </c>
      <c r="AG371" s="7">
        <v>0.29056490784051298</v>
      </c>
      <c r="AH371" s="7">
        <v>0.24223639538311301</v>
      </c>
      <c r="AI371" s="7">
        <v>0.314383490420024</v>
      </c>
      <c r="AJ371" s="7">
        <v>0.31356110278149402</v>
      </c>
      <c r="AK371" s="7">
        <v>0.33305966277539201</v>
      </c>
      <c r="AL371" s="7">
        <v>0.27449044844575599</v>
      </c>
      <c r="AM371" s="7">
        <v>0.25007761905801901</v>
      </c>
      <c r="AN371" s="7">
        <v>0.30804301905664799</v>
      </c>
      <c r="AO371" s="7">
        <v>0.23976059400790001</v>
      </c>
      <c r="AP371" s="7">
        <v>0.35774982717828102</v>
      </c>
      <c r="AQ371" s="9">
        <v>249585</v>
      </c>
    </row>
    <row r="372" spans="1:43" ht="15">
      <c r="A372" s="2" t="s">
        <v>1322</v>
      </c>
      <c r="B372" s="5">
        <v>25686035</v>
      </c>
      <c r="C372" s="2" t="s">
        <v>23</v>
      </c>
      <c r="D372" s="2" t="s">
        <v>1323</v>
      </c>
      <c r="E372" s="2" t="s">
        <v>1324</v>
      </c>
      <c r="F372" s="2" t="s">
        <v>26</v>
      </c>
      <c r="G372" s="2" t="s">
        <v>26</v>
      </c>
      <c r="H372" s="2" t="s">
        <v>27</v>
      </c>
      <c r="I372" s="2" t="s">
        <v>28</v>
      </c>
      <c r="J372" s="6"/>
      <c r="K372" s="2" t="s">
        <v>55</v>
      </c>
      <c r="L372" s="2" t="s">
        <v>56</v>
      </c>
      <c r="M372" s="2" t="s">
        <v>55</v>
      </c>
      <c r="N372" s="2"/>
      <c r="O372" s="2"/>
      <c r="P372" s="6" t="s">
        <v>57</v>
      </c>
      <c r="Q372" s="6" t="s">
        <v>57</v>
      </c>
      <c r="R372" s="9">
        <v>0</v>
      </c>
      <c r="S372" s="2"/>
      <c r="T372" s="9">
        <v>0</v>
      </c>
      <c r="U372" s="9">
        <v>0</v>
      </c>
      <c r="V372" s="9">
        <v>0</v>
      </c>
      <c r="W372" s="9">
        <v>0</v>
      </c>
      <c r="X372" s="9">
        <v>0</v>
      </c>
      <c r="Y372" s="9">
        <v>0</v>
      </c>
      <c r="Z372" s="9">
        <v>0</v>
      </c>
      <c r="AA372" s="9">
        <v>5</v>
      </c>
      <c r="AB372" s="9">
        <v>0</v>
      </c>
      <c r="AC372" s="9">
        <v>0</v>
      </c>
      <c r="AD372" s="9">
        <v>0</v>
      </c>
      <c r="AE372" s="6" t="s">
        <v>57</v>
      </c>
      <c r="AF372" s="6" t="s">
        <v>57</v>
      </c>
      <c r="AG372" s="6" t="s">
        <v>57</v>
      </c>
      <c r="AH372" s="6" t="s">
        <v>57</v>
      </c>
      <c r="AI372" s="6" t="s">
        <v>57</v>
      </c>
      <c r="AJ372" s="6" t="s">
        <v>57</v>
      </c>
      <c r="AK372" s="6" t="s">
        <v>57</v>
      </c>
      <c r="AL372" s="6" t="s">
        <v>57</v>
      </c>
      <c r="AM372" s="6" t="s">
        <v>57</v>
      </c>
      <c r="AN372" s="6" t="s">
        <v>57</v>
      </c>
      <c r="AO372" s="6" t="s">
        <v>57</v>
      </c>
      <c r="AP372" s="6" t="s">
        <v>57</v>
      </c>
      <c r="AQ372" s="9">
        <v>0</v>
      </c>
    </row>
    <row r="373" spans="1:43" ht="15">
      <c r="A373" s="2" t="s">
        <v>1325</v>
      </c>
      <c r="B373" s="5">
        <v>8802291</v>
      </c>
      <c r="C373" s="2" t="s">
        <v>46</v>
      </c>
      <c r="D373" s="2" t="s">
        <v>1326</v>
      </c>
      <c r="E373" s="2" t="s">
        <v>1327</v>
      </c>
      <c r="F373" s="2" t="s">
        <v>49</v>
      </c>
      <c r="G373" s="2" t="s">
        <v>49</v>
      </c>
      <c r="H373" s="2" t="s">
        <v>50</v>
      </c>
      <c r="I373" s="2" t="s">
        <v>28</v>
      </c>
      <c r="J373" s="6"/>
      <c r="K373" s="2" t="s">
        <v>55</v>
      </c>
      <c r="L373" s="2" t="s">
        <v>56</v>
      </c>
      <c r="M373" s="2" t="s">
        <v>55</v>
      </c>
      <c r="N373" s="2"/>
      <c r="O373" s="2"/>
      <c r="P373" s="7">
        <v>28.11712288</v>
      </c>
      <c r="Q373" s="6" t="s">
        <v>57</v>
      </c>
      <c r="R373" s="9">
        <v>2761</v>
      </c>
      <c r="S373" s="2"/>
      <c r="T373" s="9">
        <v>1031</v>
      </c>
      <c r="U373" s="9">
        <v>484</v>
      </c>
      <c r="V373" s="9">
        <v>319</v>
      </c>
      <c r="W373" s="9">
        <v>444</v>
      </c>
      <c r="X373" s="9">
        <v>444</v>
      </c>
      <c r="Y373" s="9">
        <v>409</v>
      </c>
      <c r="Z373" s="9">
        <v>334</v>
      </c>
      <c r="AA373" s="9">
        <v>343</v>
      </c>
      <c r="AB373" s="9">
        <v>464</v>
      </c>
      <c r="AC373" s="9">
        <v>333</v>
      </c>
      <c r="AD373" s="9">
        <v>363</v>
      </c>
      <c r="AE373" s="6" t="s">
        <v>57</v>
      </c>
      <c r="AF373" s="6" t="s">
        <v>57</v>
      </c>
      <c r="AG373" s="6" t="s">
        <v>57</v>
      </c>
      <c r="AH373" s="6" t="s">
        <v>57</v>
      </c>
      <c r="AI373" s="6" t="s">
        <v>57</v>
      </c>
      <c r="AJ373" s="6" t="s">
        <v>57</v>
      </c>
      <c r="AK373" s="6" t="s">
        <v>57</v>
      </c>
      <c r="AL373" s="6" t="s">
        <v>57</v>
      </c>
      <c r="AM373" s="6" t="s">
        <v>57</v>
      </c>
      <c r="AN373" s="6" t="s">
        <v>57</v>
      </c>
      <c r="AO373" s="6" t="s">
        <v>57</v>
      </c>
      <c r="AP373" s="6" t="s">
        <v>57</v>
      </c>
      <c r="AQ373" s="9">
        <v>4987</v>
      </c>
    </row>
    <row r="374" spans="1:43" ht="15">
      <c r="A374" s="2" t="s">
        <v>1328</v>
      </c>
      <c r="B374" s="5">
        <v>7098099</v>
      </c>
      <c r="C374" s="2" t="s">
        <v>46</v>
      </c>
      <c r="D374" s="2" t="s">
        <v>1329</v>
      </c>
      <c r="E374" s="2" t="s">
        <v>1330</v>
      </c>
      <c r="F374" s="2" t="s">
        <v>49</v>
      </c>
      <c r="G374" s="2" t="s">
        <v>49</v>
      </c>
      <c r="H374" s="2" t="s">
        <v>50</v>
      </c>
      <c r="I374" s="2" t="s">
        <v>28</v>
      </c>
      <c r="J374" s="6"/>
      <c r="K374" s="2" t="s">
        <v>55</v>
      </c>
      <c r="L374" s="2" t="s">
        <v>56</v>
      </c>
      <c r="M374" s="2" t="s">
        <v>55</v>
      </c>
      <c r="N374" s="2"/>
      <c r="O374" s="2"/>
      <c r="P374" s="7">
        <v>15.417854760000001</v>
      </c>
      <c r="Q374" s="6" t="s">
        <v>57</v>
      </c>
      <c r="R374" s="9">
        <v>284</v>
      </c>
      <c r="S374" s="2"/>
      <c r="T374" s="9">
        <v>195</v>
      </c>
      <c r="U374" s="9">
        <v>108</v>
      </c>
      <c r="V374" s="9">
        <v>181</v>
      </c>
      <c r="W374" s="9">
        <v>125</v>
      </c>
      <c r="X374" s="9">
        <v>125</v>
      </c>
      <c r="Y374" s="9">
        <v>113</v>
      </c>
      <c r="Z374" s="9">
        <v>109</v>
      </c>
      <c r="AA374" s="9">
        <v>127</v>
      </c>
      <c r="AB374" s="9">
        <v>123</v>
      </c>
      <c r="AC374" s="9">
        <v>184</v>
      </c>
      <c r="AD374" s="9">
        <v>142</v>
      </c>
      <c r="AE374" s="6" t="s">
        <v>57</v>
      </c>
      <c r="AF374" s="6" t="s">
        <v>57</v>
      </c>
      <c r="AG374" s="6" t="s">
        <v>57</v>
      </c>
      <c r="AH374" s="6" t="s">
        <v>57</v>
      </c>
      <c r="AI374" s="6" t="s">
        <v>57</v>
      </c>
      <c r="AJ374" s="6" t="s">
        <v>57</v>
      </c>
      <c r="AK374" s="6" t="s">
        <v>57</v>
      </c>
      <c r="AL374" s="6" t="s">
        <v>57</v>
      </c>
      <c r="AM374" s="6" t="s">
        <v>57</v>
      </c>
      <c r="AN374" s="6" t="s">
        <v>57</v>
      </c>
      <c r="AO374" s="6" t="s">
        <v>57</v>
      </c>
      <c r="AP374" s="6" t="s">
        <v>57</v>
      </c>
      <c r="AQ374" s="9">
        <v>535</v>
      </c>
    </row>
    <row r="375" spans="1:43" ht="15">
      <c r="A375" s="2" t="s">
        <v>1331</v>
      </c>
      <c r="B375" s="5">
        <v>105950880</v>
      </c>
      <c r="C375" s="2" t="s">
        <v>46</v>
      </c>
      <c r="D375" s="2" t="s">
        <v>1332</v>
      </c>
      <c r="E375" s="2" t="s">
        <v>1333</v>
      </c>
      <c r="F375" s="2" t="s">
        <v>49</v>
      </c>
      <c r="G375" s="2" t="s">
        <v>49</v>
      </c>
      <c r="H375" s="2" t="s">
        <v>50</v>
      </c>
      <c r="I375" s="2" t="s">
        <v>28</v>
      </c>
      <c r="J375" s="6"/>
      <c r="K375" s="2" t="s">
        <v>55</v>
      </c>
      <c r="L375" s="2" t="s">
        <v>56</v>
      </c>
      <c r="M375" s="2" t="s">
        <v>55</v>
      </c>
      <c r="N375" s="2"/>
      <c r="O375" s="2"/>
      <c r="P375" s="7">
        <v>13.205</v>
      </c>
      <c r="Q375" s="6" t="s">
        <v>57</v>
      </c>
      <c r="R375" s="9">
        <v>3473</v>
      </c>
      <c r="S375" s="2"/>
      <c r="T375" s="9">
        <v>1299</v>
      </c>
      <c r="U375" s="9">
        <v>992</v>
      </c>
      <c r="V375" s="9">
        <v>872</v>
      </c>
      <c r="W375" s="9">
        <v>758</v>
      </c>
      <c r="X375" s="9">
        <v>755</v>
      </c>
      <c r="Y375" s="9">
        <v>1045</v>
      </c>
      <c r="Z375" s="9">
        <v>1093</v>
      </c>
      <c r="AA375" s="9">
        <v>1156</v>
      </c>
      <c r="AB375" s="9">
        <v>1012</v>
      </c>
      <c r="AC375" s="9">
        <v>886</v>
      </c>
      <c r="AD375" s="9">
        <v>853</v>
      </c>
      <c r="AE375" s="6" t="s">
        <v>57</v>
      </c>
      <c r="AF375" s="6" t="s">
        <v>57</v>
      </c>
      <c r="AG375" s="6" t="s">
        <v>57</v>
      </c>
      <c r="AH375" s="6" t="s">
        <v>57</v>
      </c>
      <c r="AI375" s="6" t="s">
        <v>57</v>
      </c>
      <c r="AJ375" s="6" t="s">
        <v>57</v>
      </c>
      <c r="AK375" s="6" t="s">
        <v>57</v>
      </c>
      <c r="AL375" s="6" t="s">
        <v>57</v>
      </c>
      <c r="AM375" s="6" t="s">
        <v>57</v>
      </c>
      <c r="AN375" s="6" t="s">
        <v>57</v>
      </c>
      <c r="AO375" s="6" t="s">
        <v>57</v>
      </c>
      <c r="AP375" s="6" t="s">
        <v>57</v>
      </c>
      <c r="AQ375" s="9">
        <v>2857</v>
      </c>
    </row>
    <row r="376" spans="1:43" ht="15">
      <c r="A376" s="2" t="s">
        <v>1334</v>
      </c>
      <c r="B376" s="5">
        <v>141717695</v>
      </c>
      <c r="C376" s="2" t="s">
        <v>46</v>
      </c>
      <c r="D376" s="2" t="s">
        <v>1335</v>
      </c>
      <c r="E376" s="2" t="s">
        <v>1336</v>
      </c>
      <c r="F376" s="2" t="s">
        <v>49</v>
      </c>
      <c r="G376" s="2" t="s">
        <v>49</v>
      </c>
      <c r="H376" s="2" t="s">
        <v>50</v>
      </c>
      <c r="I376" s="2" t="s">
        <v>28</v>
      </c>
      <c r="J376" s="6"/>
      <c r="K376" s="2" t="s">
        <v>55</v>
      </c>
      <c r="L376" s="2" t="s">
        <v>56</v>
      </c>
      <c r="M376" s="2" t="s">
        <v>55</v>
      </c>
      <c r="N376" s="2"/>
      <c r="O376" s="2"/>
      <c r="P376" s="6" t="s">
        <v>57</v>
      </c>
      <c r="Q376" s="6" t="s">
        <v>57</v>
      </c>
      <c r="R376" s="9">
        <v>742</v>
      </c>
      <c r="S376" s="2"/>
      <c r="T376" s="9">
        <v>1201</v>
      </c>
      <c r="U376" s="9">
        <v>2446</v>
      </c>
      <c r="V376" s="9">
        <v>3216</v>
      </c>
      <c r="W376" s="9">
        <v>4520</v>
      </c>
      <c r="X376" s="9">
        <v>4520</v>
      </c>
      <c r="Y376" s="9">
        <v>4520</v>
      </c>
      <c r="Z376" s="9">
        <v>4520</v>
      </c>
      <c r="AA376" s="9">
        <v>4520</v>
      </c>
      <c r="AB376" s="9">
        <v>2663</v>
      </c>
      <c r="AC376" s="9">
        <v>2725</v>
      </c>
      <c r="AD376" s="9">
        <v>4099</v>
      </c>
      <c r="AE376" s="6" t="s">
        <v>57</v>
      </c>
      <c r="AF376" s="6" t="s">
        <v>57</v>
      </c>
      <c r="AG376" s="6" t="s">
        <v>57</v>
      </c>
      <c r="AH376" s="6" t="s">
        <v>57</v>
      </c>
      <c r="AI376" s="6" t="s">
        <v>57</v>
      </c>
      <c r="AJ376" s="6" t="s">
        <v>57</v>
      </c>
      <c r="AK376" s="6" t="s">
        <v>57</v>
      </c>
      <c r="AL376" s="6" t="s">
        <v>57</v>
      </c>
      <c r="AM376" s="6" t="s">
        <v>57</v>
      </c>
      <c r="AN376" s="6" t="s">
        <v>57</v>
      </c>
      <c r="AO376" s="6" t="s">
        <v>57</v>
      </c>
      <c r="AP376" s="6" t="s">
        <v>57</v>
      </c>
      <c r="AQ376" s="9">
        <v>1081</v>
      </c>
    </row>
    <row r="377" spans="1:43" ht="15">
      <c r="A377" s="2" t="s">
        <v>1337</v>
      </c>
      <c r="B377" s="5">
        <v>106607124</v>
      </c>
      <c r="C377" s="2" t="s">
        <v>46</v>
      </c>
      <c r="D377" s="2" t="s">
        <v>1338</v>
      </c>
      <c r="E377" s="2" t="s">
        <v>1339</v>
      </c>
      <c r="F377" s="2" t="s">
        <v>49</v>
      </c>
      <c r="G377" s="2" t="s">
        <v>49</v>
      </c>
      <c r="H377" s="2" t="s">
        <v>50</v>
      </c>
      <c r="I377" s="2" t="s">
        <v>28</v>
      </c>
      <c r="J377" s="6"/>
      <c r="K377" s="2" t="s">
        <v>55</v>
      </c>
      <c r="L377" s="2" t="s">
        <v>56</v>
      </c>
      <c r="M377" s="2" t="s">
        <v>55</v>
      </c>
      <c r="N377" s="2"/>
      <c r="O377" s="2"/>
      <c r="P377" s="7">
        <v>1297.2</v>
      </c>
      <c r="Q377" s="6" t="s">
        <v>57</v>
      </c>
      <c r="R377" s="9">
        <v>31</v>
      </c>
      <c r="S377" s="2"/>
      <c r="T377" s="9">
        <v>660</v>
      </c>
      <c r="U377" s="9">
        <v>527</v>
      </c>
      <c r="V377" s="9">
        <v>652</v>
      </c>
      <c r="W377" s="9">
        <v>815</v>
      </c>
      <c r="X377" s="9">
        <v>813</v>
      </c>
      <c r="Y377" s="9">
        <v>955</v>
      </c>
      <c r="Z377" s="9">
        <v>1069</v>
      </c>
      <c r="AA377" s="9">
        <v>1031</v>
      </c>
      <c r="AB377" s="9">
        <v>560</v>
      </c>
      <c r="AC377" s="9">
        <v>681</v>
      </c>
      <c r="AD377" s="9">
        <v>742</v>
      </c>
      <c r="AE377" s="6" t="s">
        <v>57</v>
      </c>
      <c r="AF377" s="6" t="s">
        <v>57</v>
      </c>
      <c r="AG377" s="6" t="s">
        <v>57</v>
      </c>
      <c r="AH377" s="6" t="s">
        <v>57</v>
      </c>
      <c r="AI377" s="6" t="s">
        <v>57</v>
      </c>
      <c r="AJ377" s="6" t="s">
        <v>57</v>
      </c>
      <c r="AK377" s="6" t="s">
        <v>57</v>
      </c>
      <c r="AL377" s="6" t="s">
        <v>57</v>
      </c>
      <c r="AM377" s="6" t="s">
        <v>57</v>
      </c>
      <c r="AN377" s="6" t="s">
        <v>57</v>
      </c>
      <c r="AO377" s="6" t="s">
        <v>57</v>
      </c>
      <c r="AP377" s="6" t="s">
        <v>57</v>
      </c>
      <c r="AQ377" s="9">
        <v>62</v>
      </c>
    </row>
    <row r="378" spans="1:43" ht="15">
      <c r="A378" s="2" t="s">
        <v>1340</v>
      </c>
      <c r="B378" s="5">
        <v>19493370</v>
      </c>
      <c r="C378" s="2" t="s">
        <v>46</v>
      </c>
      <c r="D378" s="2" t="s">
        <v>1341</v>
      </c>
      <c r="E378" s="2" t="s">
        <v>1342</v>
      </c>
      <c r="F378" s="2" t="s">
        <v>49</v>
      </c>
      <c r="G378" s="2" t="s">
        <v>49</v>
      </c>
      <c r="H378" s="2" t="s">
        <v>50</v>
      </c>
      <c r="I378" s="2" t="s">
        <v>28</v>
      </c>
      <c r="J378" s="6"/>
      <c r="K378" s="2" t="s">
        <v>55</v>
      </c>
      <c r="L378" s="2" t="s">
        <v>56</v>
      </c>
      <c r="M378" s="2" t="s">
        <v>55</v>
      </c>
      <c r="N378" s="2"/>
      <c r="O378" s="2"/>
      <c r="P378" s="7">
        <v>10.7807</v>
      </c>
      <c r="Q378" s="6" t="s">
        <v>57</v>
      </c>
      <c r="R378" s="9">
        <v>0</v>
      </c>
      <c r="S378" s="2"/>
      <c r="T378" s="9">
        <v>10</v>
      </c>
      <c r="U378" s="9">
        <v>70</v>
      </c>
      <c r="V378" s="9">
        <v>172</v>
      </c>
      <c r="W378" s="9">
        <v>371</v>
      </c>
      <c r="X378" s="9">
        <v>370</v>
      </c>
      <c r="Y378" s="9">
        <v>396</v>
      </c>
      <c r="Z378" s="9">
        <v>377</v>
      </c>
      <c r="AA378" s="9">
        <v>445</v>
      </c>
      <c r="AB378" s="9">
        <v>49</v>
      </c>
      <c r="AC378" s="9">
        <v>179</v>
      </c>
      <c r="AD378" s="9">
        <v>349</v>
      </c>
      <c r="AE378" s="6" t="s">
        <v>57</v>
      </c>
      <c r="AF378" s="6" t="s">
        <v>57</v>
      </c>
      <c r="AG378" s="6" t="s">
        <v>57</v>
      </c>
      <c r="AH378" s="6" t="s">
        <v>57</v>
      </c>
      <c r="AI378" s="6" t="s">
        <v>57</v>
      </c>
      <c r="AJ378" s="6" t="s">
        <v>57</v>
      </c>
      <c r="AK378" s="6" t="s">
        <v>57</v>
      </c>
      <c r="AL378" s="6" t="s">
        <v>57</v>
      </c>
      <c r="AM378" s="6" t="s">
        <v>57</v>
      </c>
      <c r="AN378" s="6" t="s">
        <v>57</v>
      </c>
      <c r="AO378" s="6" t="s">
        <v>57</v>
      </c>
      <c r="AP378" s="6" t="s">
        <v>57</v>
      </c>
      <c r="AQ378" s="9">
        <v>0</v>
      </c>
    </row>
    <row r="379" spans="1:43" ht="15">
      <c r="A379" s="2" t="s">
        <v>1343</v>
      </c>
      <c r="B379" s="5">
        <v>26479136</v>
      </c>
      <c r="C379" s="2" t="s">
        <v>46</v>
      </c>
      <c r="D379" s="2" t="s">
        <v>1344</v>
      </c>
      <c r="E379" s="2" t="s">
        <v>1345</v>
      </c>
      <c r="F379" s="2" t="s">
        <v>49</v>
      </c>
      <c r="G379" s="2" t="s">
        <v>49</v>
      </c>
      <c r="H379" s="2" t="s">
        <v>50</v>
      </c>
      <c r="I379" s="2" t="s">
        <v>28</v>
      </c>
      <c r="J379" s="6"/>
      <c r="K379" s="2" t="s">
        <v>55</v>
      </c>
      <c r="L379" s="2" t="s">
        <v>56</v>
      </c>
      <c r="M379" s="2" t="s">
        <v>55</v>
      </c>
      <c r="N379" s="2"/>
      <c r="O379" s="2"/>
      <c r="P379" s="6" t="s">
        <v>57</v>
      </c>
      <c r="Q379" s="6" t="s">
        <v>57</v>
      </c>
      <c r="R379" s="9">
        <v>391</v>
      </c>
      <c r="S379" s="2"/>
      <c r="T379" s="9">
        <v>913</v>
      </c>
      <c r="U379" s="9">
        <v>1377</v>
      </c>
      <c r="V379" s="9">
        <v>2125</v>
      </c>
      <c r="W379" s="9">
        <v>2085</v>
      </c>
      <c r="X379" s="9">
        <v>2077</v>
      </c>
      <c r="Y379" s="9">
        <v>1856</v>
      </c>
      <c r="Z379" s="9">
        <v>1425</v>
      </c>
      <c r="AA379" s="9">
        <v>1220</v>
      </c>
      <c r="AB379" s="9">
        <v>1220</v>
      </c>
      <c r="AC379" s="9">
        <v>2153</v>
      </c>
      <c r="AD379" s="9">
        <v>1865</v>
      </c>
      <c r="AE379" s="6" t="s">
        <v>57</v>
      </c>
      <c r="AF379" s="6" t="s">
        <v>57</v>
      </c>
      <c r="AG379" s="6" t="s">
        <v>57</v>
      </c>
      <c r="AH379" s="6" t="s">
        <v>57</v>
      </c>
      <c r="AI379" s="6" t="s">
        <v>57</v>
      </c>
      <c r="AJ379" s="6" t="s">
        <v>57</v>
      </c>
      <c r="AK379" s="6" t="s">
        <v>57</v>
      </c>
      <c r="AL379" s="6" t="s">
        <v>57</v>
      </c>
      <c r="AM379" s="6" t="s">
        <v>57</v>
      </c>
      <c r="AN379" s="6" t="s">
        <v>57</v>
      </c>
      <c r="AO379" s="6" t="s">
        <v>57</v>
      </c>
      <c r="AP379" s="6" t="s">
        <v>57</v>
      </c>
      <c r="AQ379" s="9">
        <v>781</v>
      </c>
    </row>
    <row r="380" spans="1:43" ht="15">
      <c r="A380" s="2" t="s">
        <v>1346</v>
      </c>
      <c r="B380" s="5">
        <v>19471591</v>
      </c>
      <c r="C380" s="2" t="s">
        <v>46</v>
      </c>
      <c r="D380" s="2" t="s">
        <v>1347</v>
      </c>
      <c r="E380" s="2" t="s">
        <v>1348</v>
      </c>
      <c r="F380" s="2" t="s">
        <v>49</v>
      </c>
      <c r="G380" s="2" t="s">
        <v>49</v>
      </c>
      <c r="H380" s="2" t="s">
        <v>50</v>
      </c>
      <c r="I380" s="2" t="s">
        <v>28</v>
      </c>
      <c r="J380" s="6"/>
      <c r="K380" s="2" t="s">
        <v>55</v>
      </c>
      <c r="L380" s="2" t="s">
        <v>56</v>
      </c>
      <c r="M380" s="2" t="s">
        <v>55</v>
      </c>
      <c r="N380" s="2"/>
      <c r="O380" s="2"/>
      <c r="P380" s="7">
        <v>7.1458321066200003</v>
      </c>
      <c r="Q380" s="6" t="s">
        <v>57</v>
      </c>
      <c r="R380" s="9">
        <v>77</v>
      </c>
      <c r="S380" s="2"/>
      <c r="T380" s="9">
        <v>65</v>
      </c>
      <c r="U380" s="9">
        <v>596</v>
      </c>
      <c r="V380" s="9">
        <v>2837</v>
      </c>
      <c r="W380" s="9">
        <v>1847</v>
      </c>
      <c r="X380" s="9">
        <v>1840</v>
      </c>
      <c r="Y380" s="9">
        <v>1672</v>
      </c>
      <c r="Z380" s="9">
        <v>1987</v>
      </c>
      <c r="AA380" s="9">
        <v>1964</v>
      </c>
      <c r="AB380" s="9">
        <v>626</v>
      </c>
      <c r="AC380" s="9">
        <v>2874</v>
      </c>
      <c r="AD380" s="9">
        <v>2842</v>
      </c>
      <c r="AE380" s="6" t="s">
        <v>57</v>
      </c>
      <c r="AF380" s="6" t="s">
        <v>57</v>
      </c>
      <c r="AG380" s="6" t="s">
        <v>57</v>
      </c>
      <c r="AH380" s="6" t="s">
        <v>57</v>
      </c>
      <c r="AI380" s="6" t="s">
        <v>57</v>
      </c>
      <c r="AJ380" s="6" t="s">
        <v>57</v>
      </c>
      <c r="AK380" s="6" t="s">
        <v>57</v>
      </c>
      <c r="AL380" s="6" t="s">
        <v>57</v>
      </c>
      <c r="AM380" s="6" t="s">
        <v>57</v>
      </c>
      <c r="AN380" s="6" t="s">
        <v>57</v>
      </c>
      <c r="AO380" s="6" t="s">
        <v>57</v>
      </c>
      <c r="AP380" s="6" t="s">
        <v>57</v>
      </c>
      <c r="AQ380" s="9">
        <v>99</v>
      </c>
    </row>
    <row r="381" spans="1:43" ht="15">
      <c r="A381" s="2" t="s">
        <v>1349</v>
      </c>
      <c r="B381" s="5">
        <v>113583375</v>
      </c>
      <c r="C381" s="2" t="s">
        <v>46</v>
      </c>
      <c r="D381" s="2" t="s">
        <v>1350</v>
      </c>
      <c r="E381" s="2" t="s">
        <v>1351</v>
      </c>
      <c r="F381" s="2" t="s">
        <v>49</v>
      </c>
      <c r="G381" s="2" t="s">
        <v>49</v>
      </c>
      <c r="H381" s="2" t="s">
        <v>50</v>
      </c>
      <c r="I381" s="2" t="s">
        <v>28</v>
      </c>
      <c r="J381" s="6"/>
      <c r="K381" s="2" t="s">
        <v>55</v>
      </c>
      <c r="L381" s="2" t="s">
        <v>56</v>
      </c>
      <c r="M381" s="2" t="s">
        <v>55</v>
      </c>
      <c r="N381" s="2"/>
      <c r="O381" s="2"/>
      <c r="P381" s="6" t="s">
        <v>57</v>
      </c>
      <c r="Q381" s="6" t="s">
        <v>57</v>
      </c>
      <c r="R381" s="9">
        <v>152</v>
      </c>
      <c r="S381" s="2"/>
      <c r="T381" s="9">
        <v>119</v>
      </c>
      <c r="U381" s="9">
        <v>150</v>
      </c>
      <c r="V381" s="9">
        <v>801</v>
      </c>
      <c r="W381" s="9">
        <v>683</v>
      </c>
      <c r="X381" s="9">
        <v>680</v>
      </c>
      <c r="Y381" s="9">
        <v>693</v>
      </c>
      <c r="Z381" s="9">
        <v>693</v>
      </c>
      <c r="AA381" s="9">
        <v>693</v>
      </c>
      <c r="AB381" s="9">
        <v>164</v>
      </c>
      <c r="AC381" s="9">
        <v>811</v>
      </c>
      <c r="AD381" s="9">
        <v>736</v>
      </c>
      <c r="AE381" s="6" t="s">
        <v>57</v>
      </c>
      <c r="AF381" s="6" t="s">
        <v>57</v>
      </c>
      <c r="AG381" s="6" t="s">
        <v>57</v>
      </c>
      <c r="AH381" s="6" t="s">
        <v>57</v>
      </c>
      <c r="AI381" s="6" t="s">
        <v>57</v>
      </c>
      <c r="AJ381" s="6" t="s">
        <v>57</v>
      </c>
      <c r="AK381" s="6" t="s">
        <v>57</v>
      </c>
      <c r="AL381" s="6" t="s">
        <v>57</v>
      </c>
      <c r="AM381" s="6" t="s">
        <v>57</v>
      </c>
      <c r="AN381" s="6" t="s">
        <v>57</v>
      </c>
      <c r="AO381" s="6" t="s">
        <v>57</v>
      </c>
      <c r="AP381" s="6" t="s">
        <v>57</v>
      </c>
      <c r="AQ381" s="9">
        <v>248</v>
      </c>
    </row>
    <row r="382" spans="1:43" ht="15">
      <c r="A382" s="2" t="s">
        <v>1352</v>
      </c>
      <c r="B382" s="5">
        <v>117240163</v>
      </c>
      <c r="C382" s="2" t="s">
        <v>46</v>
      </c>
      <c r="D382" s="2" t="s">
        <v>1353</v>
      </c>
      <c r="E382" s="2" t="s">
        <v>1354</v>
      </c>
      <c r="F382" s="2" t="s">
        <v>49</v>
      </c>
      <c r="G382" s="2" t="s">
        <v>49</v>
      </c>
      <c r="H382" s="2" t="s">
        <v>50</v>
      </c>
      <c r="I382" s="2" t="s">
        <v>28</v>
      </c>
      <c r="J382" s="6"/>
      <c r="K382" s="2" t="s">
        <v>55</v>
      </c>
      <c r="L382" s="2" t="s">
        <v>56</v>
      </c>
      <c r="M382" s="2" t="s">
        <v>55</v>
      </c>
      <c r="N382" s="2"/>
      <c r="O382" s="2"/>
      <c r="P382" s="6" t="s">
        <v>57</v>
      </c>
      <c r="Q382" s="6" t="s">
        <v>57</v>
      </c>
      <c r="R382" s="9">
        <v>411</v>
      </c>
      <c r="S382" s="2"/>
      <c r="T382" s="9">
        <v>383</v>
      </c>
      <c r="U382" s="9">
        <v>1108</v>
      </c>
      <c r="V382" s="9">
        <v>3719</v>
      </c>
      <c r="W382" s="9">
        <v>2077</v>
      </c>
      <c r="X382" s="9">
        <v>2085</v>
      </c>
      <c r="Y382" s="9">
        <v>2279</v>
      </c>
      <c r="Z382" s="9">
        <v>2442</v>
      </c>
      <c r="AA382" s="9">
        <v>2442</v>
      </c>
      <c r="AB382" s="9">
        <v>889</v>
      </c>
      <c r="AC382" s="9">
        <v>3861</v>
      </c>
      <c r="AD382" s="9">
        <v>2723</v>
      </c>
      <c r="AE382" s="6" t="s">
        <v>57</v>
      </c>
      <c r="AF382" s="6" t="s">
        <v>57</v>
      </c>
      <c r="AG382" s="6" t="s">
        <v>57</v>
      </c>
      <c r="AH382" s="6" t="s">
        <v>57</v>
      </c>
      <c r="AI382" s="6" t="s">
        <v>57</v>
      </c>
      <c r="AJ382" s="6" t="s">
        <v>57</v>
      </c>
      <c r="AK382" s="6" t="s">
        <v>57</v>
      </c>
      <c r="AL382" s="6" t="s">
        <v>57</v>
      </c>
      <c r="AM382" s="6" t="s">
        <v>57</v>
      </c>
      <c r="AN382" s="6" t="s">
        <v>57</v>
      </c>
      <c r="AO382" s="6" t="s">
        <v>57</v>
      </c>
      <c r="AP382" s="6" t="s">
        <v>57</v>
      </c>
      <c r="AQ382" s="9">
        <v>14</v>
      </c>
    </row>
    <row r="383" spans="1:43" ht="15">
      <c r="A383" s="2" t="s">
        <v>1355</v>
      </c>
      <c r="B383" s="5">
        <v>118363494</v>
      </c>
      <c r="C383" s="2" t="s">
        <v>46</v>
      </c>
      <c r="D383" s="2" t="s">
        <v>1356</v>
      </c>
      <c r="E383" s="2" t="s">
        <v>1357</v>
      </c>
      <c r="F383" s="2" t="s">
        <v>49</v>
      </c>
      <c r="G383" s="2" t="s">
        <v>49</v>
      </c>
      <c r="H383" s="2" t="s">
        <v>50</v>
      </c>
      <c r="I383" s="2" t="s">
        <v>28</v>
      </c>
      <c r="J383" s="6"/>
      <c r="K383" s="2" t="s">
        <v>55</v>
      </c>
      <c r="L383" s="2" t="s">
        <v>56</v>
      </c>
      <c r="M383" s="2" t="s">
        <v>55</v>
      </c>
      <c r="N383" s="2"/>
      <c r="O383" s="2"/>
      <c r="P383" s="7">
        <v>5.1286150022700001</v>
      </c>
      <c r="Q383" s="6" t="s">
        <v>57</v>
      </c>
      <c r="R383" s="9">
        <v>924</v>
      </c>
      <c r="S383" s="2"/>
      <c r="T383" s="9">
        <v>1669</v>
      </c>
      <c r="U383" s="9">
        <v>1331</v>
      </c>
      <c r="V383" s="9">
        <v>730</v>
      </c>
      <c r="W383" s="9">
        <v>1210</v>
      </c>
      <c r="X383" s="9">
        <v>1241</v>
      </c>
      <c r="Y383" s="9">
        <v>1842</v>
      </c>
      <c r="Z383" s="9">
        <v>1838</v>
      </c>
      <c r="AA383" s="9">
        <v>1838</v>
      </c>
      <c r="AB383" s="9">
        <v>1492</v>
      </c>
      <c r="AC383" s="9">
        <v>743</v>
      </c>
      <c r="AD383" s="9">
        <v>959</v>
      </c>
      <c r="AE383" s="6" t="s">
        <v>57</v>
      </c>
      <c r="AF383" s="6" t="s">
        <v>57</v>
      </c>
      <c r="AG383" s="6" t="s">
        <v>57</v>
      </c>
      <c r="AH383" s="6" t="s">
        <v>57</v>
      </c>
      <c r="AI383" s="6" t="s">
        <v>57</v>
      </c>
      <c r="AJ383" s="6" t="s">
        <v>57</v>
      </c>
      <c r="AK383" s="6" t="s">
        <v>57</v>
      </c>
      <c r="AL383" s="6" t="s">
        <v>57</v>
      </c>
      <c r="AM383" s="6" t="s">
        <v>57</v>
      </c>
      <c r="AN383" s="6" t="s">
        <v>57</v>
      </c>
      <c r="AO383" s="6" t="s">
        <v>57</v>
      </c>
      <c r="AP383" s="6" t="s">
        <v>57</v>
      </c>
      <c r="AQ383" s="9">
        <v>382</v>
      </c>
    </row>
    <row r="384" spans="1:43" ht="15">
      <c r="A384" s="2" t="s">
        <v>1358</v>
      </c>
      <c r="B384" s="5">
        <v>133160906</v>
      </c>
      <c r="C384" s="2" t="s">
        <v>46</v>
      </c>
      <c r="D384" s="2" t="s">
        <v>1359</v>
      </c>
      <c r="E384" s="2"/>
      <c r="F384" s="2" t="s">
        <v>49</v>
      </c>
      <c r="G384" s="2" t="s">
        <v>49</v>
      </c>
      <c r="H384" s="2" t="s">
        <v>50</v>
      </c>
      <c r="I384" s="2" t="s">
        <v>28</v>
      </c>
      <c r="J384" s="6"/>
      <c r="K384" s="2" t="s">
        <v>55</v>
      </c>
      <c r="L384" s="2" t="s">
        <v>56</v>
      </c>
      <c r="M384" s="2" t="s">
        <v>55</v>
      </c>
      <c r="N384" s="2"/>
      <c r="O384" s="2"/>
      <c r="P384" s="6" t="s">
        <v>57</v>
      </c>
      <c r="Q384" s="6" t="s">
        <v>57</v>
      </c>
      <c r="R384" s="6" t="s">
        <v>57</v>
      </c>
      <c r="S384" s="2"/>
      <c r="T384" s="6" t="s">
        <v>57</v>
      </c>
      <c r="U384" s="6" t="s">
        <v>57</v>
      </c>
      <c r="V384" s="6" t="s">
        <v>57</v>
      </c>
      <c r="W384" s="6" t="s">
        <v>57</v>
      </c>
      <c r="X384" s="6" t="s">
        <v>57</v>
      </c>
      <c r="Y384" s="6" t="s">
        <v>57</v>
      </c>
      <c r="Z384" s="6" t="s">
        <v>57</v>
      </c>
      <c r="AA384" s="6" t="s">
        <v>57</v>
      </c>
      <c r="AB384" s="6" t="s">
        <v>57</v>
      </c>
      <c r="AC384" s="6" t="s">
        <v>57</v>
      </c>
      <c r="AD384" s="6" t="s">
        <v>57</v>
      </c>
      <c r="AE384" s="6" t="s">
        <v>57</v>
      </c>
      <c r="AF384" s="6" t="s">
        <v>57</v>
      </c>
      <c r="AG384" s="6" t="s">
        <v>57</v>
      </c>
      <c r="AH384" s="6" t="s">
        <v>57</v>
      </c>
      <c r="AI384" s="6" t="s">
        <v>57</v>
      </c>
      <c r="AJ384" s="6" t="s">
        <v>57</v>
      </c>
      <c r="AK384" s="6" t="s">
        <v>57</v>
      </c>
      <c r="AL384" s="6" t="s">
        <v>57</v>
      </c>
      <c r="AM384" s="6" t="s">
        <v>57</v>
      </c>
      <c r="AN384" s="6" t="s">
        <v>57</v>
      </c>
      <c r="AO384" s="6" t="s">
        <v>57</v>
      </c>
      <c r="AP384" s="6" t="s">
        <v>57</v>
      </c>
      <c r="AQ384" s="6" t="s">
        <v>57</v>
      </c>
    </row>
    <row r="385" spans="1:43" ht="15">
      <c r="A385" s="2" t="s">
        <v>1360</v>
      </c>
      <c r="B385" s="5">
        <v>25807920</v>
      </c>
      <c r="C385" s="2" t="s">
        <v>46</v>
      </c>
      <c r="D385" s="2" t="s">
        <v>1361</v>
      </c>
      <c r="E385" s="2" t="s">
        <v>1362</v>
      </c>
      <c r="F385" s="2" t="s">
        <v>49</v>
      </c>
      <c r="G385" s="2" t="s">
        <v>49</v>
      </c>
      <c r="H385" s="2" t="s">
        <v>50</v>
      </c>
      <c r="I385" s="2" t="s">
        <v>28</v>
      </c>
      <c r="J385" s="6"/>
      <c r="K385" s="2" t="s">
        <v>55</v>
      </c>
      <c r="L385" s="2" t="s">
        <v>56</v>
      </c>
      <c r="M385" s="2" t="s">
        <v>55</v>
      </c>
      <c r="N385" s="2"/>
      <c r="O385" s="2"/>
      <c r="P385" s="7">
        <v>6.7168709993700002</v>
      </c>
      <c r="Q385" s="6" t="s">
        <v>57</v>
      </c>
      <c r="R385" s="9">
        <v>0</v>
      </c>
      <c r="S385" s="2"/>
      <c r="T385" s="9">
        <v>6</v>
      </c>
      <c r="U385" s="9">
        <v>4532</v>
      </c>
      <c r="V385" s="9">
        <v>4575</v>
      </c>
      <c r="W385" s="9">
        <v>1877</v>
      </c>
      <c r="X385" s="9">
        <v>1870</v>
      </c>
      <c r="Y385" s="9">
        <v>1640</v>
      </c>
      <c r="Z385" s="9">
        <v>1872</v>
      </c>
      <c r="AA385" s="9">
        <v>1892</v>
      </c>
      <c r="AB385" s="9">
        <v>5179</v>
      </c>
      <c r="AC385" s="9">
        <v>4471</v>
      </c>
      <c r="AD385" s="9">
        <v>3208</v>
      </c>
      <c r="AE385" s="6" t="s">
        <v>57</v>
      </c>
      <c r="AF385" s="6" t="s">
        <v>57</v>
      </c>
      <c r="AG385" s="6" t="s">
        <v>57</v>
      </c>
      <c r="AH385" s="6" t="s">
        <v>57</v>
      </c>
      <c r="AI385" s="6" t="s">
        <v>57</v>
      </c>
      <c r="AJ385" s="6" t="s">
        <v>57</v>
      </c>
      <c r="AK385" s="6" t="s">
        <v>57</v>
      </c>
      <c r="AL385" s="6" t="s">
        <v>57</v>
      </c>
      <c r="AM385" s="6" t="s">
        <v>57</v>
      </c>
      <c r="AN385" s="6" t="s">
        <v>57</v>
      </c>
      <c r="AO385" s="6" t="s">
        <v>57</v>
      </c>
      <c r="AP385" s="6" t="s">
        <v>57</v>
      </c>
      <c r="AQ385" s="9">
        <v>0</v>
      </c>
    </row>
    <row r="386" spans="1:43" ht="15">
      <c r="A386" s="2" t="s">
        <v>1363</v>
      </c>
      <c r="B386" s="5">
        <v>139915398</v>
      </c>
      <c r="C386" s="2" t="s">
        <v>46</v>
      </c>
      <c r="D386" s="2" t="s">
        <v>1364</v>
      </c>
      <c r="E386" s="2" t="s">
        <v>1365</v>
      </c>
      <c r="F386" s="2" t="s">
        <v>49</v>
      </c>
      <c r="G386" s="2" t="s">
        <v>49</v>
      </c>
      <c r="H386" s="2" t="s">
        <v>50</v>
      </c>
      <c r="I386" s="2" t="s">
        <v>28</v>
      </c>
      <c r="J386" s="6"/>
      <c r="K386" s="2" t="s">
        <v>55</v>
      </c>
      <c r="L386" s="2" t="s">
        <v>56</v>
      </c>
      <c r="M386" s="2" t="s">
        <v>55</v>
      </c>
      <c r="N386" s="2"/>
      <c r="O386" s="2"/>
      <c r="P386" s="6" t="s">
        <v>57</v>
      </c>
      <c r="Q386" s="6" t="s">
        <v>57</v>
      </c>
      <c r="R386" s="9">
        <v>849</v>
      </c>
      <c r="S386" s="2"/>
      <c r="T386" s="9">
        <v>1807</v>
      </c>
      <c r="U386" s="9">
        <v>4892</v>
      </c>
      <c r="V386" s="9">
        <v>2852</v>
      </c>
      <c r="W386" s="9">
        <v>5723</v>
      </c>
      <c r="X386" s="9">
        <v>5723</v>
      </c>
      <c r="Y386" s="9">
        <v>5723</v>
      </c>
      <c r="Z386" s="9">
        <v>5723</v>
      </c>
      <c r="AA386" s="9">
        <v>5723</v>
      </c>
      <c r="AB386" s="9">
        <v>5556</v>
      </c>
      <c r="AC386" s="9">
        <v>2812</v>
      </c>
      <c r="AD386" s="9">
        <v>4666</v>
      </c>
      <c r="AE386" s="6" t="s">
        <v>57</v>
      </c>
      <c r="AF386" s="6" t="s">
        <v>57</v>
      </c>
      <c r="AG386" s="6" t="s">
        <v>57</v>
      </c>
      <c r="AH386" s="6" t="s">
        <v>57</v>
      </c>
      <c r="AI386" s="6" t="s">
        <v>57</v>
      </c>
      <c r="AJ386" s="6" t="s">
        <v>57</v>
      </c>
      <c r="AK386" s="6" t="s">
        <v>57</v>
      </c>
      <c r="AL386" s="6" t="s">
        <v>57</v>
      </c>
      <c r="AM386" s="6" t="s">
        <v>57</v>
      </c>
      <c r="AN386" s="6" t="s">
        <v>57</v>
      </c>
      <c r="AO386" s="6" t="s">
        <v>57</v>
      </c>
      <c r="AP386" s="6" t="s">
        <v>57</v>
      </c>
      <c r="AQ386" s="9">
        <v>678</v>
      </c>
    </row>
    <row r="387" spans="1:43" ht="15">
      <c r="A387" s="2" t="s">
        <v>1366</v>
      </c>
      <c r="B387" s="5">
        <v>26209293</v>
      </c>
      <c r="C387" s="2" t="s">
        <v>46</v>
      </c>
      <c r="D387" s="2" t="s">
        <v>1367</v>
      </c>
      <c r="E387" s="2" t="s">
        <v>1368</v>
      </c>
      <c r="F387" s="2" t="s">
        <v>49</v>
      </c>
      <c r="G387" s="2" t="s">
        <v>49</v>
      </c>
      <c r="H387" s="2" t="s">
        <v>50</v>
      </c>
      <c r="I387" s="2" t="s">
        <v>28</v>
      </c>
      <c r="J387" s="6"/>
      <c r="K387" s="2" t="s">
        <v>55</v>
      </c>
      <c r="L387" s="2" t="s">
        <v>56</v>
      </c>
      <c r="M387" s="2" t="s">
        <v>55</v>
      </c>
      <c r="N387" s="2"/>
      <c r="O387" s="2"/>
      <c r="P387" s="6" t="s">
        <v>57</v>
      </c>
      <c r="Q387" s="6" t="s">
        <v>57</v>
      </c>
      <c r="R387" s="9">
        <v>0</v>
      </c>
      <c r="S387" s="2"/>
      <c r="T387" s="9">
        <v>0</v>
      </c>
      <c r="U387" s="9">
        <v>574</v>
      </c>
      <c r="V387" s="9">
        <v>3250</v>
      </c>
      <c r="W387" s="9">
        <v>1838</v>
      </c>
      <c r="X387" s="9">
        <v>1831</v>
      </c>
      <c r="Y387" s="9">
        <v>1920</v>
      </c>
      <c r="Z387" s="9">
        <v>1860</v>
      </c>
      <c r="AA387" s="9">
        <v>1929</v>
      </c>
      <c r="AB387" s="9">
        <v>656</v>
      </c>
      <c r="AC387" s="9">
        <v>3409</v>
      </c>
      <c r="AD387" s="9">
        <v>2273</v>
      </c>
      <c r="AE387" s="6" t="s">
        <v>57</v>
      </c>
      <c r="AF387" s="6" t="s">
        <v>57</v>
      </c>
      <c r="AG387" s="6" t="s">
        <v>57</v>
      </c>
      <c r="AH387" s="6" t="s">
        <v>57</v>
      </c>
      <c r="AI387" s="6" t="s">
        <v>57</v>
      </c>
      <c r="AJ387" s="6" t="s">
        <v>57</v>
      </c>
      <c r="AK387" s="6" t="s">
        <v>57</v>
      </c>
      <c r="AL387" s="6" t="s">
        <v>57</v>
      </c>
      <c r="AM387" s="6" t="s">
        <v>57</v>
      </c>
      <c r="AN387" s="6" t="s">
        <v>57</v>
      </c>
      <c r="AO387" s="6" t="s">
        <v>57</v>
      </c>
      <c r="AP387" s="6" t="s">
        <v>57</v>
      </c>
      <c r="AQ387" s="9">
        <v>0</v>
      </c>
    </row>
    <row r="388" spans="1:43" ht="15">
      <c r="A388" s="2" t="s">
        <v>1369</v>
      </c>
      <c r="B388" s="5">
        <v>26733828</v>
      </c>
      <c r="C388" s="2" t="s">
        <v>46</v>
      </c>
      <c r="D388" s="2" t="s">
        <v>1370</v>
      </c>
      <c r="E388" s="2" t="s">
        <v>1371</v>
      </c>
      <c r="F388" s="2" t="s">
        <v>49</v>
      </c>
      <c r="G388" s="2" t="s">
        <v>49</v>
      </c>
      <c r="H388" s="2" t="s">
        <v>50</v>
      </c>
      <c r="I388" s="2" t="s">
        <v>28</v>
      </c>
      <c r="J388" s="6"/>
      <c r="K388" s="2" t="s">
        <v>55</v>
      </c>
      <c r="L388" s="2" t="s">
        <v>56</v>
      </c>
      <c r="M388" s="2" t="s">
        <v>55</v>
      </c>
      <c r="N388" s="2"/>
      <c r="O388" s="2"/>
      <c r="P388" s="7">
        <v>6.5848829663700004</v>
      </c>
      <c r="Q388" s="6" t="s">
        <v>57</v>
      </c>
      <c r="R388" s="9">
        <v>0</v>
      </c>
      <c r="S388" s="2"/>
      <c r="T388" s="9">
        <v>0</v>
      </c>
      <c r="U388" s="9">
        <v>579</v>
      </c>
      <c r="V388" s="9">
        <v>3807</v>
      </c>
      <c r="W388" s="9">
        <v>2832</v>
      </c>
      <c r="X388" s="9">
        <v>2821</v>
      </c>
      <c r="Y388" s="9">
        <v>2437</v>
      </c>
      <c r="Z388" s="9">
        <v>2722</v>
      </c>
      <c r="AA388" s="9">
        <v>2387</v>
      </c>
      <c r="AB388" s="9">
        <v>652</v>
      </c>
      <c r="AC388" s="9">
        <v>3994</v>
      </c>
      <c r="AD388" s="9">
        <v>2300</v>
      </c>
      <c r="AE388" s="6" t="s">
        <v>57</v>
      </c>
      <c r="AF388" s="6" t="s">
        <v>57</v>
      </c>
      <c r="AG388" s="6" t="s">
        <v>57</v>
      </c>
      <c r="AH388" s="6" t="s">
        <v>57</v>
      </c>
      <c r="AI388" s="6" t="s">
        <v>57</v>
      </c>
      <c r="AJ388" s="6" t="s">
        <v>57</v>
      </c>
      <c r="AK388" s="6" t="s">
        <v>57</v>
      </c>
      <c r="AL388" s="6" t="s">
        <v>57</v>
      </c>
      <c r="AM388" s="6" t="s">
        <v>57</v>
      </c>
      <c r="AN388" s="6" t="s">
        <v>57</v>
      </c>
      <c r="AO388" s="6" t="s">
        <v>57</v>
      </c>
      <c r="AP388" s="6" t="s">
        <v>57</v>
      </c>
      <c r="AQ388" s="9">
        <v>0</v>
      </c>
    </row>
    <row r="389" spans="1:43" ht="15">
      <c r="A389" s="2" t="s">
        <v>1372</v>
      </c>
      <c r="B389" s="5">
        <v>28757444</v>
      </c>
      <c r="C389" s="2" t="s">
        <v>46</v>
      </c>
      <c r="D389" s="2" t="s">
        <v>1373</v>
      </c>
      <c r="E389" s="2" t="s">
        <v>1374</v>
      </c>
      <c r="F389" s="2" t="s">
        <v>49</v>
      </c>
      <c r="G389" s="2" t="s">
        <v>49</v>
      </c>
      <c r="H389" s="2" t="s">
        <v>50</v>
      </c>
      <c r="I389" s="2" t="s">
        <v>28</v>
      </c>
      <c r="J389" s="6"/>
      <c r="K389" s="2" t="s">
        <v>55</v>
      </c>
      <c r="L389" s="2" t="s">
        <v>56</v>
      </c>
      <c r="M389" s="2" t="s">
        <v>55</v>
      </c>
      <c r="N389" s="2"/>
      <c r="O389" s="2"/>
      <c r="P389" s="7">
        <v>636.930251247</v>
      </c>
      <c r="Q389" s="6" t="s">
        <v>57</v>
      </c>
      <c r="R389" s="9">
        <v>13443</v>
      </c>
      <c r="S389" s="2"/>
      <c r="T389" s="9">
        <v>5892</v>
      </c>
      <c r="U389" s="9">
        <v>1693</v>
      </c>
      <c r="V389" s="9">
        <v>4004</v>
      </c>
      <c r="W389" s="9">
        <v>2020</v>
      </c>
      <c r="X389" s="9">
        <v>2013</v>
      </c>
      <c r="Y389" s="9">
        <v>1862</v>
      </c>
      <c r="Z389" s="9">
        <v>1978</v>
      </c>
      <c r="AA389" s="9">
        <v>1942</v>
      </c>
      <c r="AB389" s="9">
        <v>1935</v>
      </c>
      <c r="AC389" s="9">
        <v>3378</v>
      </c>
      <c r="AD389" s="9">
        <v>2875</v>
      </c>
      <c r="AE389" s="6" t="s">
        <v>57</v>
      </c>
      <c r="AF389" s="6" t="s">
        <v>57</v>
      </c>
      <c r="AG389" s="6" t="s">
        <v>57</v>
      </c>
      <c r="AH389" s="6" t="s">
        <v>57</v>
      </c>
      <c r="AI389" s="6" t="s">
        <v>57</v>
      </c>
      <c r="AJ389" s="6" t="s">
        <v>57</v>
      </c>
      <c r="AK389" s="6" t="s">
        <v>57</v>
      </c>
      <c r="AL389" s="6" t="s">
        <v>57</v>
      </c>
      <c r="AM389" s="6" t="s">
        <v>57</v>
      </c>
      <c r="AN389" s="6" t="s">
        <v>57</v>
      </c>
      <c r="AO389" s="6" t="s">
        <v>57</v>
      </c>
      <c r="AP389" s="6" t="s">
        <v>57</v>
      </c>
      <c r="AQ389" s="9">
        <v>26885</v>
      </c>
    </row>
    <row r="390" spans="1:43" ht="15">
      <c r="A390" s="2" t="s">
        <v>1375</v>
      </c>
      <c r="B390" s="5">
        <v>4449626</v>
      </c>
      <c r="C390" s="2" t="s">
        <v>46</v>
      </c>
      <c r="D390" s="2" t="s">
        <v>1376</v>
      </c>
      <c r="E390" s="2" t="s">
        <v>1377</v>
      </c>
      <c r="F390" s="2" t="s">
        <v>49</v>
      </c>
      <c r="G390" s="2" t="s">
        <v>49</v>
      </c>
      <c r="H390" s="2" t="s">
        <v>50</v>
      </c>
      <c r="I390" s="2" t="s">
        <v>28</v>
      </c>
      <c r="J390" s="6"/>
      <c r="K390" s="2" t="s">
        <v>41</v>
      </c>
      <c r="L390" s="2" t="s">
        <v>42</v>
      </c>
      <c r="M390" s="2" t="s">
        <v>43</v>
      </c>
      <c r="N390" s="2" t="s">
        <v>41</v>
      </c>
      <c r="O390" s="2"/>
      <c r="P390" s="7">
        <v>587.77137746860399</v>
      </c>
      <c r="Q390" s="8">
        <v>1027.4865761553301</v>
      </c>
      <c r="R390" s="9">
        <v>58071</v>
      </c>
      <c r="S390" s="2" t="s">
        <v>1378</v>
      </c>
      <c r="T390" s="9">
        <v>37202</v>
      </c>
      <c r="U390" s="9">
        <v>150298</v>
      </c>
      <c r="V390" s="9">
        <v>111145</v>
      </c>
      <c r="W390" s="9">
        <v>133283</v>
      </c>
      <c r="X390" s="9">
        <v>132870</v>
      </c>
      <c r="Y390" s="9">
        <v>99666</v>
      </c>
      <c r="Z390" s="9">
        <v>84982</v>
      </c>
      <c r="AA390" s="9">
        <v>112709</v>
      </c>
      <c r="AB390" s="9">
        <v>159922</v>
      </c>
      <c r="AC390" s="9">
        <v>115158</v>
      </c>
      <c r="AD390" s="9">
        <v>145230</v>
      </c>
      <c r="AE390" s="7">
        <v>0.15917792903178199</v>
      </c>
      <c r="AF390" s="7">
        <v>0.101974510055631</v>
      </c>
      <c r="AG390" s="7">
        <v>0.411984700315778</v>
      </c>
      <c r="AH390" s="7">
        <v>0.304660647007783</v>
      </c>
      <c r="AI390" s="7">
        <v>0.365344637920958</v>
      </c>
      <c r="AJ390" s="7">
        <v>0.36421233572880501</v>
      </c>
      <c r="AK390" s="7">
        <v>0.27319726540063699</v>
      </c>
      <c r="AL390" s="7">
        <v>0.23294613363657199</v>
      </c>
      <c r="AM390" s="7">
        <v>0.30894767643563398</v>
      </c>
      <c r="AN390" s="7">
        <v>0.43836527438419898</v>
      </c>
      <c r="AO390" s="7">
        <v>0.31566224056839398</v>
      </c>
      <c r="AP390" s="7">
        <v>0.39809138381849002</v>
      </c>
      <c r="AQ390" s="9">
        <v>96000</v>
      </c>
    </row>
    <row r="391" spans="1:43" ht="15">
      <c r="A391" s="2" t="s">
        <v>1379</v>
      </c>
      <c r="B391" s="5">
        <v>4912913</v>
      </c>
      <c r="C391" s="2" t="s">
        <v>46</v>
      </c>
      <c r="D391" s="2" t="s">
        <v>1380</v>
      </c>
      <c r="E391" s="2" t="s">
        <v>1381</v>
      </c>
      <c r="F391" s="2" t="s">
        <v>49</v>
      </c>
      <c r="G391" s="2" t="s">
        <v>49</v>
      </c>
      <c r="H391" s="2" t="s">
        <v>50</v>
      </c>
      <c r="I391" s="2" t="s">
        <v>28</v>
      </c>
      <c r="J391" s="6"/>
      <c r="K391" s="2" t="s">
        <v>1153</v>
      </c>
      <c r="L391" s="2" t="s">
        <v>30</v>
      </c>
      <c r="M391" s="2" t="s">
        <v>189</v>
      </c>
      <c r="N391" s="2" t="s">
        <v>1154</v>
      </c>
      <c r="O391" s="2" t="s">
        <v>1153</v>
      </c>
      <c r="P391" s="7">
        <v>51.881685791073402</v>
      </c>
      <c r="Q391" s="8">
        <v>51.619176068124098</v>
      </c>
      <c r="R391" s="9">
        <v>0</v>
      </c>
      <c r="S391" s="2" t="s">
        <v>1382</v>
      </c>
      <c r="T391" s="9">
        <v>0</v>
      </c>
      <c r="U391" s="9">
        <v>0</v>
      </c>
      <c r="V391" s="9">
        <v>0</v>
      </c>
      <c r="W391" s="9">
        <v>132</v>
      </c>
      <c r="X391" s="9">
        <v>131</v>
      </c>
      <c r="Y391" s="9">
        <v>167</v>
      </c>
      <c r="Z391" s="9">
        <v>158</v>
      </c>
      <c r="AA391" s="9">
        <v>172</v>
      </c>
      <c r="AB391" s="9">
        <v>0</v>
      </c>
      <c r="AC391" s="9">
        <v>0</v>
      </c>
      <c r="AD391" s="9">
        <v>38</v>
      </c>
      <c r="AE391" s="7">
        <v>0</v>
      </c>
      <c r="AF391" s="7">
        <v>0</v>
      </c>
      <c r="AG391" s="7">
        <v>0</v>
      </c>
      <c r="AH391" s="7">
        <v>0</v>
      </c>
      <c r="AI391" s="7">
        <v>0.0029476783673113901</v>
      </c>
      <c r="AJ391" s="7">
        <v>0.00293588765384214</v>
      </c>
      <c r="AK391" s="7">
        <v>0.0037250949685206898</v>
      </c>
      <c r="AL391" s="7">
        <v>0.0035305381366551301</v>
      </c>
      <c r="AM391" s="7">
        <v>0.0038418041437999402</v>
      </c>
      <c r="AN391" s="7">
        <v>0</v>
      </c>
      <c r="AO391" s="7">
        <v>0</v>
      </c>
      <c r="AP391" s="7">
        <v>0.00084059905886183601</v>
      </c>
      <c r="AQ391" s="9">
        <v>0</v>
      </c>
    </row>
    <row r="392" spans="1:43" ht="15">
      <c r="A392" s="2" t="s">
        <v>1383</v>
      </c>
      <c r="B392" s="5">
        <v>4993418</v>
      </c>
      <c r="C392" s="2" t="s">
        <v>35</v>
      </c>
      <c r="D392" s="2" t="s">
        <v>1384</v>
      </c>
      <c r="E392" s="2" t="s">
        <v>1385</v>
      </c>
      <c r="F392" s="2" t="s">
        <v>38</v>
      </c>
      <c r="G392" s="2" t="s">
        <v>38</v>
      </c>
      <c r="H392" s="2" t="s">
        <v>39</v>
      </c>
      <c r="I392" s="2" t="s">
        <v>40</v>
      </c>
      <c r="J392" s="6"/>
      <c r="K392" s="2" t="s">
        <v>1386</v>
      </c>
      <c r="L392" s="2" t="s">
        <v>247</v>
      </c>
      <c r="M392" s="2" t="s">
        <v>470</v>
      </c>
      <c r="N392" s="2" t="s">
        <v>1386</v>
      </c>
      <c r="O392" s="2"/>
      <c r="P392" s="7">
        <v>73.006820283856499</v>
      </c>
      <c r="Q392" s="8">
        <v>77.497586732358002</v>
      </c>
      <c r="R392" s="9">
        <v>0</v>
      </c>
      <c r="S392" s="2" t="s">
        <v>1387</v>
      </c>
      <c r="T392" s="9">
        <v>0</v>
      </c>
      <c r="U392" s="9">
        <v>0</v>
      </c>
      <c r="V392" s="9">
        <v>1301</v>
      </c>
      <c r="W392" s="9">
        <v>2037</v>
      </c>
      <c r="X392" s="9">
        <v>2029</v>
      </c>
      <c r="Y392" s="9">
        <v>1368</v>
      </c>
      <c r="Z392" s="9">
        <v>923</v>
      </c>
      <c r="AA392" s="9">
        <v>555</v>
      </c>
      <c r="AB392" s="9">
        <v>0</v>
      </c>
      <c r="AC392" s="9">
        <v>1368</v>
      </c>
      <c r="AD392" s="9">
        <v>714</v>
      </c>
      <c r="AE392" s="7">
        <v>0</v>
      </c>
      <c r="AF392" s="7">
        <v>0</v>
      </c>
      <c r="AG392" s="7">
        <v>0</v>
      </c>
      <c r="AH392" s="7">
        <v>0.00388703844525286</v>
      </c>
      <c r="AI392" s="7">
        <v>0.0060891096847665903</v>
      </c>
      <c r="AJ392" s="7">
        <v>0.00606415431720607</v>
      </c>
      <c r="AK392" s="7">
        <v>0.0040872829249895496</v>
      </c>
      <c r="AL392" s="7">
        <v>0.0027576531557258499</v>
      </c>
      <c r="AM392" s="7">
        <v>0.0016592141791373499</v>
      </c>
      <c r="AN392" s="7">
        <v>0</v>
      </c>
      <c r="AO392" s="7">
        <v>0.0040880921579383497</v>
      </c>
      <c r="AP392" s="7">
        <v>0.0021348254834202898</v>
      </c>
      <c r="AQ392" s="9">
        <v>0</v>
      </c>
    </row>
    <row r="393" spans="1:43" ht="15">
      <c r="A393" s="2" t="s">
        <v>1388</v>
      </c>
      <c r="B393" s="5">
        <v>4396762</v>
      </c>
      <c r="C393" s="2" t="s">
        <v>35</v>
      </c>
      <c r="D393" s="2" t="s">
        <v>1389</v>
      </c>
      <c r="E393" s="2" t="s">
        <v>1390</v>
      </c>
      <c r="F393" s="2" t="s">
        <v>38</v>
      </c>
      <c r="G393" s="2" t="s">
        <v>38</v>
      </c>
      <c r="H393" s="2" t="s">
        <v>39</v>
      </c>
      <c r="I393" s="2" t="s">
        <v>28</v>
      </c>
      <c r="J393" s="6"/>
      <c r="K393" s="2" t="s">
        <v>1391</v>
      </c>
      <c r="L393" s="2" t="s">
        <v>56</v>
      </c>
      <c r="M393" s="2" t="s">
        <v>1391</v>
      </c>
      <c r="N393" s="2"/>
      <c r="O393" s="2"/>
      <c r="P393" s="7">
        <v>1950.29559068208</v>
      </c>
      <c r="Q393" s="6" t="s">
        <v>57</v>
      </c>
      <c r="R393" s="9">
        <v>109915</v>
      </c>
      <c r="S393" s="2" t="s">
        <v>1392</v>
      </c>
      <c r="T393" s="9">
        <v>139826</v>
      </c>
      <c r="U393" s="9">
        <v>102269</v>
      </c>
      <c r="V393" s="9">
        <v>71100</v>
      </c>
      <c r="W393" s="9">
        <v>76357</v>
      </c>
      <c r="X393" s="9">
        <v>76284</v>
      </c>
      <c r="Y393" s="9">
        <v>71769</v>
      </c>
      <c r="Z393" s="9">
        <v>68089</v>
      </c>
      <c r="AA393" s="9">
        <v>75364</v>
      </c>
      <c r="AB393" s="9">
        <v>105543</v>
      </c>
      <c r="AC393" s="9">
        <v>72438</v>
      </c>
      <c r="AD393" s="9">
        <v>79448</v>
      </c>
      <c r="AE393" s="7">
        <v>0.15865084445993</v>
      </c>
      <c r="AF393" s="7">
        <v>0.20182445129652499</v>
      </c>
      <c r="AG393" s="7">
        <v>0.14761465591939499</v>
      </c>
      <c r="AH393" s="7">
        <v>0.102626472950388</v>
      </c>
      <c r="AI393" s="7">
        <v>0.11021388293805801</v>
      </c>
      <c r="AJ393" s="7">
        <v>0.110108638747154</v>
      </c>
      <c r="AK393" s="7">
        <v>0.103591479220833</v>
      </c>
      <c r="AL393" s="7">
        <v>0.098279960666673993</v>
      </c>
      <c r="AM393" s="7">
        <v>0.10878051585635901</v>
      </c>
      <c r="AN393" s="7">
        <v>0.15234040346340899</v>
      </c>
      <c r="AO393" s="7">
        <v>0.104557227132973</v>
      </c>
      <c r="AP393" s="7">
        <v>0.114675730869556</v>
      </c>
      <c r="AQ393" s="9">
        <v>72565</v>
      </c>
    </row>
    <row r="394" spans="1:43" ht="15">
      <c r="A394" s="2" t="s">
        <v>1393</v>
      </c>
      <c r="B394" s="5">
        <v>19954856</v>
      </c>
      <c r="C394" s="2" t="s">
        <v>23</v>
      </c>
      <c r="D394" s="2" t="s">
        <v>1394</v>
      </c>
      <c r="E394" s="2" t="s">
        <v>1395</v>
      </c>
      <c r="F394" s="2" t="s">
        <v>26</v>
      </c>
      <c r="G394" s="2" t="s">
        <v>26</v>
      </c>
      <c r="H394" s="2" t="s">
        <v>27</v>
      </c>
      <c r="I394" s="2" t="s">
        <v>28</v>
      </c>
      <c r="J394" s="6"/>
      <c r="K394" s="2" t="s">
        <v>55</v>
      </c>
      <c r="L394" s="2" t="s">
        <v>56</v>
      </c>
      <c r="M394" s="2" t="s">
        <v>55</v>
      </c>
      <c r="N394" s="2"/>
      <c r="O394" s="2"/>
      <c r="P394" s="6" t="s">
        <v>57</v>
      </c>
      <c r="Q394" s="6" t="s">
        <v>57</v>
      </c>
      <c r="R394" s="9">
        <v>0</v>
      </c>
      <c r="S394" s="2"/>
      <c r="T394" s="9">
        <v>0</v>
      </c>
      <c r="U394" s="9">
        <v>12</v>
      </c>
      <c r="V394" s="9">
        <v>5</v>
      </c>
      <c r="W394" s="9">
        <v>1864</v>
      </c>
      <c r="X394" s="9">
        <v>1857</v>
      </c>
      <c r="Y394" s="9">
        <v>949</v>
      </c>
      <c r="Z394" s="9">
        <v>649</v>
      </c>
      <c r="AA394" s="9">
        <v>710</v>
      </c>
      <c r="AB394" s="9">
        <v>0</v>
      </c>
      <c r="AC394" s="9">
        <v>5</v>
      </c>
      <c r="AD394" s="9">
        <v>2</v>
      </c>
      <c r="AE394" s="6" t="s">
        <v>57</v>
      </c>
      <c r="AF394" s="6" t="s">
        <v>57</v>
      </c>
      <c r="AG394" s="6" t="s">
        <v>57</v>
      </c>
      <c r="AH394" s="6" t="s">
        <v>57</v>
      </c>
      <c r="AI394" s="6" t="s">
        <v>57</v>
      </c>
      <c r="AJ394" s="6" t="s">
        <v>57</v>
      </c>
      <c r="AK394" s="6" t="s">
        <v>57</v>
      </c>
      <c r="AL394" s="6" t="s">
        <v>57</v>
      </c>
      <c r="AM394" s="6" t="s">
        <v>57</v>
      </c>
      <c r="AN394" s="6" t="s">
        <v>57</v>
      </c>
      <c r="AO394" s="6" t="s">
        <v>57</v>
      </c>
      <c r="AP394" s="6" t="s">
        <v>57</v>
      </c>
      <c r="AQ394" s="9">
        <v>0</v>
      </c>
    </row>
    <row r="395" spans="1:43" ht="15">
      <c r="A395" s="2" t="s">
        <v>1396</v>
      </c>
      <c r="B395" s="5">
        <v>5738218</v>
      </c>
      <c r="C395" s="2" t="s">
        <v>23</v>
      </c>
      <c r="D395" s="2" t="s">
        <v>1397</v>
      </c>
      <c r="E395" s="2" t="s">
        <v>1398</v>
      </c>
      <c r="F395" s="2" t="s">
        <v>26</v>
      </c>
      <c r="G395" s="2" t="s">
        <v>26</v>
      </c>
      <c r="H395" s="2" t="s">
        <v>27</v>
      </c>
      <c r="I395" s="2" t="s">
        <v>28</v>
      </c>
      <c r="J395" s="6"/>
      <c r="K395" s="2" t="s">
        <v>55</v>
      </c>
      <c r="L395" s="2" t="s">
        <v>56</v>
      </c>
      <c r="M395" s="2" t="s">
        <v>55</v>
      </c>
      <c r="N395" s="2"/>
      <c r="O395" s="2"/>
      <c r="P395" s="7">
        <v>145.442389097042</v>
      </c>
      <c r="Q395" s="6" t="s">
        <v>57</v>
      </c>
      <c r="R395" s="9">
        <v>0</v>
      </c>
      <c r="S395" s="2"/>
      <c r="T395" s="9">
        <v>0</v>
      </c>
      <c r="U395" s="9">
        <v>0</v>
      </c>
      <c r="V395" s="9">
        <v>0</v>
      </c>
      <c r="W395" s="9">
        <v>0</v>
      </c>
      <c r="X395" s="9">
        <v>0</v>
      </c>
      <c r="Y395" s="9">
        <v>0</v>
      </c>
      <c r="Z395" s="9">
        <v>0</v>
      </c>
      <c r="AA395" s="9">
        <v>30000</v>
      </c>
      <c r="AB395" s="9">
        <v>0</v>
      </c>
      <c r="AC395" s="9">
        <v>0</v>
      </c>
      <c r="AD395" s="9">
        <v>0</v>
      </c>
      <c r="AE395" s="6" t="s">
        <v>57</v>
      </c>
      <c r="AF395" s="6" t="s">
        <v>57</v>
      </c>
      <c r="AG395" s="6" t="s">
        <v>57</v>
      </c>
      <c r="AH395" s="6" t="s">
        <v>57</v>
      </c>
      <c r="AI395" s="6" t="s">
        <v>57</v>
      </c>
      <c r="AJ395" s="6" t="s">
        <v>57</v>
      </c>
      <c r="AK395" s="6" t="s">
        <v>57</v>
      </c>
      <c r="AL395" s="6" t="s">
        <v>57</v>
      </c>
      <c r="AM395" s="6" t="s">
        <v>57</v>
      </c>
      <c r="AN395" s="6" t="s">
        <v>57</v>
      </c>
      <c r="AO395" s="6" t="s">
        <v>57</v>
      </c>
      <c r="AP395" s="6" t="s">
        <v>57</v>
      </c>
      <c r="AQ395" s="9">
        <v>0</v>
      </c>
    </row>
    <row r="396" spans="1:43" ht="15">
      <c r="A396" s="2" t="s">
        <v>1399</v>
      </c>
      <c r="B396" s="5">
        <v>10841451</v>
      </c>
      <c r="C396" s="2" t="s">
        <v>23</v>
      </c>
      <c r="D396" s="2" t="s">
        <v>1400</v>
      </c>
      <c r="E396" s="2" t="s">
        <v>1401</v>
      </c>
      <c r="F396" s="2" t="s">
        <v>26</v>
      </c>
      <c r="G396" s="2" t="s">
        <v>26</v>
      </c>
      <c r="H396" s="2" t="s">
        <v>27</v>
      </c>
      <c r="I396" s="2" t="s">
        <v>28</v>
      </c>
      <c r="J396" s="6"/>
      <c r="K396" s="2" t="s">
        <v>55</v>
      </c>
      <c r="L396" s="2" t="s">
        <v>56</v>
      </c>
      <c r="M396" s="2" t="s">
        <v>55</v>
      </c>
      <c r="N396" s="2"/>
      <c r="O396" s="2"/>
      <c r="P396" s="6" t="s">
        <v>57</v>
      </c>
      <c r="Q396" s="6" t="s">
        <v>57</v>
      </c>
      <c r="R396" s="9">
        <v>0</v>
      </c>
      <c r="S396" s="2"/>
      <c r="T396" s="9">
        <v>0</v>
      </c>
      <c r="U396" s="9">
        <v>0</v>
      </c>
      <c r="V396" s="9">
        <v>0</v>
      </c>
      <c r="W396" s="9">
        <v>0</v>
      </c>
      <c r="X396" s="9">
        <v>0</v>
      </c>
      <c r="Y396" s="9">
        <v>0</v>
      </c>
      <c r="Z396" s="9">
        <v>0</v>
      </c>
      <c r="AA396" s="9">
        <v>79</v>
      </c>
      <c r="AB396" s="9">
        <v>0</v>
      </c>
      <c r="AC396" s="9">
        <v>0</v>
      </c>
      <c r="AD396" s="9">
        <v>0</v>
      </c>
      <c r="AE396" s="6" t="s">
        <v>57</v>
      </c>
      <c r="AF396" s="6" t="s">
        <v>57</v>
      </c>
      <c r="AG396" s="6" t="s">
        <v>57</v>
      </c>
      <c r="AH396" s="6" t="s">
        <v>57</v>
      </c>
      <c r="AI396" s="6" t="s">
        <v>57</v>
      </c>
      <c r="AJ396" s="6" t="s">
        <v>57</v>
      </c>
      <c r="AK396" s="6" t="s">
        <v>57</v>
      </c>
      <c r="AL396" s="6" t="s">
        <v>57</v>
      </c>
      <c r="AM396" s="6" t="s">
        <v>57</v>
      </c>
      <c r="AN396" s="6" t="s">
        <v>57</v>
      </c>
      <c r="AO396" s="6" t="s">
        <v>57</v>
      </c>
      <c r="AP396" s="6" t="s">
        <v>57</v>
      </c>
      <c r="AQ396" s="9">
        <v>0</v>
      </c>
    </row>
    <row r="397" spans="1:43" ht="15">
      <c r="A397" s="2" t="s">
        <v>1402</v>
      </c>
      <c r="B397" s="5">
        <v>10841447</v>
      </c>
      <c r="C397" s="2" t="s">
        <v>23</v>
      </c>
      <c r="D397" s="2" t="s">
        <v>1400</v>
      </c>
      <c r="E397" s="2" t="s">
        <v>1403</v>
      </c>
      <c r="F397" s="2" t="s">
        <v>26</v>
      </c>
      <c r="G397" s="2"/>
      <c r="H397" s="2"/>
      <c r="I397" s="2" t="s">
        <v>28</v>
      </c>
      <c r="J397" s="6"/>
      <c r="K397" s="2" t="s">
        <v>55</v>
      </c>
      <c r="L397" s="2" t="s">
        <v>56</v>
      </c>
      <c r="M397" s="2" t="s">
        <v>55</v>
      </c>
      <c r="N397" s="2"/>
      <c r="O397" s="2"/>
      <c r="P397" s="6" t="s">
        <v>57</v>
      </c>
      <c r="Q397" s="6" t="s">
        <v>57</v>
      </c>
      <c r="R397" s="9">
        <v>0</v>
      </c>
      <c r="S397" s="2"/>
      <c r="T397" s="9">
        <v>0</v>
      </c>
      <c r="U397" s="9">
        <v>0</v>
      </c>
      <c r="V397" s="9">
        <v>81</v>
      </c>
      <c r="W397" s="9">
        <v>21</v>
      </c>
      <c r="X397" s="9">
        <v>21</v>
      </c>
      <c r="Y397" s="9">
        <v>10</v>
      </c>
      <c r="Z397" s="9">
        <v>18</v>
      </c>
      <c r="AA397" s="9">
        <v>12</v>
      </c>
      <c r="AB397" s="9">
        <v>0</v>
      </c>
      <c r="AC397" s="9">
        <v>85</v>
      </c>
      <c r="AD397" s="9">
        <v>42</v>
      </c>
      <c r="AE397" s="6" t="s">
        <v>57</v>
      </c>
      <c r="AF397" s="6" t="s">
        <v>57</v>
      </c>
      <c r="AG397" s="6" t="s">
        <v>57</v>
      </c>
      <c r="AH397" s="6" t="s">
        <v>57</v>
      </c>
      <c r="AI397" s="6" t="s">
        <v>57</v>
      </c>
      <c r="AJ397" s="6" t="s">
        <v>57</v>
      </c>
      <c r="AK397" s="6" t="s">
        <v>57</v>
      </c>
      <c r="AL397" s="6" t="s">
        <v>57</v>
      </c>
      <c r="AM397" s="6" t="s">
        <v>57</v>
      </c>
      <c r="AN397" s="6" t="s">
        <v>57</v>
      </c>
      <c r="AO397" s="6" t="s">
        <v>57</v>
      </c>
      <c r="AP397" s="6" t="s">
        <v>57</v>
      </c>
      <c r="AQ397" s="9">
        <v>0</v>
      </c>
    </row>
    <row r="398" spans="1:43" ht="15">
      <c r="A398" s="2" t="s">
        <v>1404</v>
      </c>
      <c r="B398" s="5">
        <v>108126172</v>
      </c>
      <c r="C398" s="2" t="s">
        <v>23</v>
      </c>
      <c r="D398" s="2" t="s">
        <v>1405</v>
      </c>
      <c r="E398" s="2" t="s">
        <v>1406</v>
      </c>
      <c r="F398" s="2" t="s">
        <v>26</v>
      </c>
      <c r="G398" s="2" t="s">
        <v>26</v>
      </c>
      <c r="H398" s="2" t="s">
        <v>27</v>
      </c>
      <c r="I398" s="2" t="s">
        <v>28</v>
      </c>
      <c r="J398" s="6"/>
      <c r="K398" s="2" t="s">
        <v>55</v>
      </c>
      <c r="L398" s="2" t="s">
        <v>56</v>
      </c>
      <c r="M398" s="2" t="s">
        <v>55</v>
      </c>
      <c r="N398" s="2"/>
      <c r="O398" s="2"/>
      <c r="P398" s="6" t="s">
        <v>57</v>
      </c>
      <c r="Q398" s="6" t="s">
        <v>57</v>
      </c>
      <c r="R398" s="9">
        <v>0</v>
      </c>
      <c r="S398" s="2"/>
      <c r="T398" s="9">
        <v>0</v>
      </c>
      <c r="U398" s="9">
        <v>0</v>
      </c>
      <c r="V398" s="9">
        <v>0</v>
      </c>
      <c r="W398" s="9">
        <v>0</v>
      </c>
      <c r="X398" s="9">
        <v>0</v>
      </c>
      <c r="Y398" s="9">
        <v>0</v>
      </c>
      <c r="Z398" s="9">
        <v>13</v>
      </c>
      <c r="AA398" s="9">
        <v>13</v>
      </c>
      <c r="AB398" s="9">
        <v>0</v>
      </c>
      <c r="AC398" s="9">
        <v>0</v>
      </c>
      <c r="AD398" s="9">
        <v>0</v>
      </c>
      <c r="AE398" s="6" t="s">
        <v>57</v>
      </c>
      <c r="AF398" s="6" t="s">
        <v>57</v>
      </c>
      <c r="AG398" s="6" t="s">
        <v>57</v>
      </c>
      <c r="AH398" s="6" t="s">
        <v>57</v>
      </c>
      <c r="AI398" s="6" t="s">
        <v>57</v>
      </c>
      <c r="AJ398" s="6" t="s">
        <v>57</v>
      </c>
      <c r="AK398" s="6" t="s">
        <v>57</v>
      </c>
      <c r="AL398" s="6" t="s">
        <v>57</v>
      </c>
      <c r="AM398" s="6" t="s">
        <v>57</v>
      </c>
      <c r="AN398" s="6" t="s">
        <v>57</v>
      </c>
      <c r="AO398" s="6" t="s">
        <v>57</v>
      </c>
      <c r="AP398" s="6" t="s">
        <v>57</v>
      </c>
      <c r="AQ398" s="9">
        <v>0</v>
      </c>
    </row>
    <row r="399" spans="1:43" ht="15">
      <c r="A399" s="2" t="s">
        <v>1407</v>
      </c>
      <c r="B399" s="5">
        <v>140733513</v>
      </c>
      <c r="C399" s="2" t="s">
        <v>23</v>
      </c>
      <c r="D399" s="2" t="s">
        <v>1408</v>
      </c>
      <c r="E399" s="2" t="s">
        <v>1409</v>
      </c>
      <c r="F399" s="2" t="s">
        <v>26</v>
      </c>
      <c r="G399" s="2"/>
      <c r="H399" s="2"/>
      <c r="I399" s="2" t="s">
        <v>28</v>
      </c>
      <c r="J399" s="6"/>
      <c r="K399" s="2" t="s">
        <v>55</v>
      </c>
      <c r="L399" s="2" t="s">
        <v>56</v>
      </c>
      <c r="M399" s="2" t="s">
        <v>55</v>
      </c>
      <c r="N399" s="2"/>
      <c r="O399" s="2"/>
      <c r="P399" s="6" t="s">
        <v>57</v>
      </c>
      <c r="Q399" s="6" t="s">
        <v>57</v>
      </c>
      <c r="R399" s="6" t="s">
        <v>57</v>
      </c>
      <c r="S399" s="2"/>
      <c r="T399" s="6" t="s">
        <v>57</v>
      </c>
      <c r="U399" s="6" t="s">
        <v>57</v>
      </c>
      <c r="V399" s="6" t="s">
        <v>57</v>
      </c>
      <c r="W399" s="6" t="s">
        <v>57</v>
      </c>
      <c r="X399" s="6" t="s">
        <v>57</v>
      </c>
      <c r="Y399" s="6" t="s">
        <v>57</v>
      </c>
      <c r="Z399" s="6" t="s">
        <v>57</v>
      </c>
      <c r="AA399" s="6" t="s">
        <v>57</v>
      </c>
      <c r="AB399" s="6" t="s">
        <v>57</v>
      </c>
      <c r="AC399" s="6" t="s">
        <v>57</v>
      </c>
      <c r="AD399" s="6" t="s">
        <v>57</v>
      </c>
      <c r="AE399" s="6" t="s">
        <v>57</v>
      </c>
      <c r="AF399" s="6" t="s">
        <v>57</v>
      </c>
      <c r="AG399" s="6" t="s">
        <v>57</v>
      </c>
      <c r="AH399" s="6" t="s">
        <v>57</v>
      </c>
      <c r="AI399" s="6" t="s">
        <v>57</v>
      </c>
      <c r="AJ399" s="6" t="s">
        <v>57</v>
      </c>
      <c r="AK399" s="6" t="s">
        <v>57</v>
      </c>
      <c r="AL399" s="6" t="s">
        <v>57</v>
      </c>
      <c r="AM399" s="6" t="s">
        <v>57</v>
      </c>
      <c r="AN399" s="6" t="s">
        <v>57</v>
      </c>
      <c r="AO399" s="6" t="s">
        <v>57</v>
      </c>
      <c r="AP399" s="6" t="s">
        <v>57</v>
      </c>
      <c r="AQ399" s="6" t="s">
        <v>57</v>
      </c>
    </row>
    <row r="400" spans="1:43" ht="15">
      <c r="A400" s="2" t="s">
        <v>1410</v>
      </c>
      <c r="B400" s="5">
        <v>29595546</v>
      </c>
      <c r="C400" s="2" t="s">
        <v>23</v>
      </c>
      <c r="D400" s="2" t="s">
        <v>1411</v>
      </c>
      <c r="E400" s="2" t="s">
        <v>1412</v>
      </c>
      <c r="F400" s="2" t="s">
        <v>26</v>
      </c>
      <c r="G400" s="2" t="s">
        <v>26</v>
      </c>
      <c r="H400" s="2" t="s">
        <v>27</v>
      </c>
      <c r="I400" s="2" t="s">
        <v>28</v>
      </c>
      <c r="J400" s="6"/>
      <c r="K400" s="2" t="s">
        <v>55</v>
      </c>
      <c r="L400" s="2" t="s">
        <v>56</v>
      </c>
      <c r="M400" s="2" t="s">
        <v>55</v>
      </c>
      <c r="N400" s="2"/>
      <c r="O400" s="2"/>
      <c r="P400" s="6" t="s">
        <v>57</v>
      </c>
      <c r="Q400" s="6" t="s">
        <v>57</v>
      </c>
      <c r="R400" s="9">
        <v>0</v>
      </c>
      <c r="S400" s="2"/>
      <c r="T400" s="9">
        <v>0</v>
      </c>
      <c r="U400" s="9">
        <v>0</v>
      </c>
      <c r="V400" s="9">
        <v>0</v>
      </c>
      <c r="W400" s="9">
        <v>150</v>
      </c>
      <c r="X400" s="9">
        <v>150</v>
      </c>
      <c r="Y400" s="9">
        <v>770</v>
      </c>
      <c r="Z400" s="9">
        <v>1498</v>
      </c>
      <c r="AA400" s="9">
        <v>1411</v>
      </c>
      <c r="AB400" s="9">
        <v>0</v>
      </c>
      <c r="AC400" s="9">
        <v>0</v>
      </c>
      <c r="AD400" s="9">
        <v>0</v>
      </c>
      <c r="AE400" s="6" t="s">
        <v>57</v>
      </c>
      <c r="AF400" s="6" t="s">
        <v>57</v>
      </c>
      <c r="AG400" s="6" t="s">
        <v>57</v>
      </c>
      <c r="AH400" s="6" t="s">
        <v>57</v>
      </c>
      <c r="AI400" s="6" t="s">
        <v>57</v>
      </c>
      <c r="AJ400" s="6" t="s">
        <v>57</v>
      </c>
      <c r="AK400" s="6" t="s">
        <v>57</v>
      </c>
      <c r="AL400" s="6" t="s">
        <v>57</v>
      </c>
      <c r="AM400" s="6" t="s">
        <v>57</v>
      </c>
      <c r="AN400" s="6" t="s">
        <v>57</v>
      </c>
      <c r="AO400" s="6" t="s">
        <v>57</v>
      </c>
      <c r="AP400" s="6" t="s">
        <v>57</v>
      </c>
      <c r="AQ400" s="9">
        <v>0</v>
      </c>
    </row>
    <row r="401" spans="1:43" ht="15">
      <c r="A401" s="2" t="s">
        <v>1413</v>
      </c>
      <c r="B401" s="5">
        <v>5738656</v>
      </c>
      <c r="C401" s="2" t="s">
        <v>23</v>
      </c>
      <c r="D401" s="2" t="s">
        <v>1414</v>
      </c>
      <c r="E401" s="2" t="s">
        <v>1415</v>
      </c>
      <c r="F401" s="2" t="s">
        <v>26</v>
      </c>
      <c r="G401" s="2"/>
      <c r="H401" s="2"/>
      <c r="I401" s="2" t="s">
        <v>28</v>
      </c>
      <c r="J401" s="6"/>
      <c r="K401" s="2" t="s">
        <v>55</v>
      </c>
      <c r="L401" s="2" t="s">
        <v>56</v>
      </c>
      <c r="M401" s="2" t="s">
        <v>55</v>
      </c>
      <c r="N401" s="2"/>
      <c r="O401" s="2"/>
      <c r="P401" s="7">
        <v>8.1927909052077208</v>
      </c>
      <c r="Q401" s="6" t="s">
        <v>57</v>
      </c>
      <c r="R401" s="9">
        <v>0</v>
      </c>
      <c r="S401" s="2"/>
      <c r="T401" s="9">
        <v>0</v>
      </c>
      <c r="U401" s="9">
        <v>0</v>
      </c>
      <c r="V401" s="9">
        <v>0</v>
      </c>
      <c r="W401" s="9">
        <v>0</v>
      </c>
      <c r="X401" s="9">
        <v>0</v>
      </c>
      <c r="Y401" s="9">
        <v>0</v>
      </c>
      <c r="Z401" s="9">
        <v>0</v>
      </c>
      <c r="AA401" s="9">
        <v>30</v>
      </c>
      <c r="AB401" s="9">
        <v>0</v>
      </c>
      <c r="AC401" s="9">
        <v>0</v>
      </c>
      <c r="AD401" s="9">
        <v>0</v>
      </c>
      <c r="AE401" s="6" t="s">
        <v>57</v>
      </c>
      <c r="AF401" s="6" t="s">
        <v>57</v>
      </c>
      <c r="AG401" s="6" t="s">
        <v>57</v>
      </c>
      <c r="AH401" s="6" t="s">
        <v>57</v>
      </c>
      <c r="AI401" s="6" t="s">
        <v>57</v>
      </c>
      <c r="AJ401" s="6" t="s">
        <v>57</v>
      </c>
      <c r="AK401" s="6" t="s">
        <v>57</v>
      </c>
      <c r="AL401" s="6" t="s">
        <v>57</v>
      </c>
      <c r="AM401" s="6" t="s">
        <v>57</v>
      </c>
      <c r="AN401" s="6" t="s">
        <v>57</v>
      </c>
      <c r="AO401" s="6" t="s">
        <v>57</v>
      </c>
      <c r="AP401" s="6" t="s">
        <v>57</v>
      </c>
      <c r="AQ401" s="9">
        <v>0</v>
      </c>
    </row>
    <row r="402" spans="1:43" ht="15">
      <c r="A402" s="2" t="s">
        <v>1416</v>
      </c>
      <c r="B402" s="5">
        <v>7144208</v>
      </c>
      <c r="C402" s="2" t="s">
        <v>23</v>
      </c>
      <c r="D402" s="2" t="s">
        <v>1417</v>
      </c>
      <c r="E402" s="2" t="s">
        <v>1418</v>
      </c>
      <c r="F402" s="2" t="s">
        <v>26</v>
      </c>
      <c r="G402" s="2"/>
      <c r="H402" s="2"/>
      <c r="I402" s="2" t="s">
        <v>28</v>
      </c>
      <c r="J402" s="6"/>
      <c r="K402" s="2" t="s">
        <v>55</v>
      </c>
      <c r="L402" s="2" t="s">
        <v>56</v>
      </c>
      <c r="M402" s="2" t="s">
        <v>55</v>
      </c>
      <c r="N402" s="2"/>
      <c r="O402" s="2"/>
      <c r="P402" s="7">
        <v>4.9508924637807397</v>
      </c>
      <c r="Q402" s="6" t="s">
        <v>57</v>
      </c>
      <c r="R402" s="9">
        <v>0</v>
      </c>
      <c r="S402" s="2"/>
      <c r="T402" s="9">
        <v>0</v>
      </c>
      <c r="U402" s="9">
        <v>0</v>
      </c>
      <c r="V402" s="9">
        <v>0</v>
      </c>
      <c r="W402" s="9">
        <v>0</v>
      </c>
      <c r="X402" s="9">
        <v>0</v>
      </c>
      <c r="Y402" s="9">
        <v>0</v>
      </c>
      <c r="Z402" s="9">
        <v>0</v>
      </c>
      <c r="AA402" s="9">
        <v>1</v>
      </c>
      <c r="AB402" s="9">
        <v>0</v>
      </c>
      <c r="AC402" s="9">
        <v>0</v>
      </c>
      <c r="AD402" s="9">
        <v>0</v>
      </c>
      <c r="AE402" s="6" t="s">
        <v>57</v>
      </c>
      <c r="AF402" s="6" t="s">
        <v>57</v>
      </c>
      <c r="AG402" s="6" t="s">
        <v>57</v>
      </c>
      <c r="AH402" s="6" t="s">
        <v>57</v>
      </c>
      <c r="AI402" s="6" t="s">
        <v>57</v>
      </c>
      <c r="AJ402" s="6" t="s">
        <v>57</v>
      </c>
      <c r="AK402" s="6" t="s">
        <v>57</v>
      </c>
      <c r="AL402" s="6" t="s">
        <v>57</v>
      </c>
      <c r="AM402" s="6" t="s">
        <v>57</v>
      </c>
      <c r="AN402" s="6" t="s">
        <v>57</v>
      </c>
      <c r="AO402" s="6" t="s">
        <v>57</v>
      </c>
      <c r="AP402" s="6" t="s">
        <v>57</v>
      </c>
      <c r="AQ402" s="9">
        <v>0</v>
      </c>
    </row>
    <row r="403" spans="1:43" ht="15">
      <c r="A403" s="2" t="s">
        <v>1419</v>
      </c>
      <c r="B403" s="5">
        <v>135614584</v>
      </c>
      <c r="C403" s="2" t="s">
        <v>23</v>
      </c>
      <c r="D403" s="2" t="s">
        <v>1420</v>
      </c>
      <c r="E403" s="2" t="s">
        <v>1421</v>
      </c>
      <c r="F403" s="2" t="s">
        <v>26</v>
      </c>
      <c r="G403" s="2"/>
      <c r="H403" s="2"/>
      <c r="I403" s="2" t="s">
        <v>28</v>
      </c>
      <c r="J403" s="6"/>
      <c r="K403" s="2" t="s">
        <v>55</v>
      </c>
      <c r="L403" s="2" t="s">
        <v>56</v>
      </c>
      <c r="M403" s="2" t="s">
        <v>55</v>
      </c>
      <c r="N403" s="2"/>
      <c r="O403" s="2"/>
      <c r="P403" s="6" t="s">
        <v>57</v>
      </c>
      <c r="Q403" s="6" t="s">
        <v>57</v>
      </c>
      <c r="R403" s="6" t="s">
        <v>57</v>
      </c>
      <c r="S403" s="2"/>
      <c r="T403" s="6" t="s">
        <v>57</v>
      </c>
      <c r="U403" s="6" t="s">
        <v>57</v>
      </c>
      <c r="V403" s="6" t="s">
        <v>57</v>
      </c>
      <c r="W403" s="6" t="s">
        <v>57</v>
      </c>
      <c r="X403" s="6" t="s">
        <v>57</v>
      </c>
      <c r="Y403" s="6" t="s">
        <v>57</v>
      </c>
      <c r="Z403" s="6" t="s">
        <v>57</v>
      </c>
      <c r="AA403" s="6" t="s">
        <v>57</v>
      </c>
      <c r="AB403" s="6" t="s">
        <v>57</v>
      </c>
      <c r="AC403" s="6" t="s">
        <v>57</v>
      </c>
      <c r="AD403" s="6" t="s">
        <v>57</v>
      </c>
      <c r="AE403" s="6" t="s">
        <v>57</v>
      </c>
      <c r="AF403" s="6" t="s">
        <v>57</v>
      </c>
      <c r="AG403" s="6" t="s">
        <v>57</v>
      </c>
      <c r="AH403" s="6" t="s">
        <v>57</v>
      </c>
      <c r="AI403" s="6" t="s">
        <v>57</v>
      </c>
      <c r="AJ403" s="6" t="s">
        <v>57</v>
      </c>
      <c r="AK403" s="6" t="s">
        <v>57</v>
      </c>
      <c r="AL403" s="6" t="s">
        <v>57</v>
      </c>
      <c r="AM403" s="6" t="s">
        <v>57</v>
      </c>
      <c r="AN403" s="6" t="s">
        <v>57</v>
      </c>
      <c r="AO403" s="6" t="s">
        <v>57</v>
      </c>
      <c r="AP403" s="6" t="s">
        <v>57</v>
      </c>
      <c r="AQ403" s="6" t="s">
        <v>57</v>
      </c>
    </row>
    <row r="404" spans="1:43" ht="15">
      <c r="A404" s="2" t="s">
        <v>1422</v>
      </c>
      <c r="B404" s="5">
        <v>9318690</v>
      </c>
      <c r="C404" s="2" t="s">
        <v>23</v>
      </c>
      <c r="D404" s="2" t="s">
        <v>1423</v>
      </c>
      <c r="E404" s="2" t="s">
        <v>1424</v>
      </c>
      <c r="F404" s="2" t="s">
        <v>26</v>
      </c>
      <c r="G404" s="2" t="s">
        <v>26</v>
      </c>
      <c r="H404" s="2" t="s">
        <v>27</v>
      </c>
      <c r="I404" s="2" t="s">
        <v>28</v>
      </c>
      <c r="J404" s="6"/>
      <c r="K404" s="2" t="s">
        <v>55</v>
      </c>
      <c r="L404" s="2" t="s">
        <v>56</v>
      </c>
      <c r="M404" s="2" t="s">
        <v>55</v>
      </c>
      <c r="N404" s="2"/>
      <c r="O404" s="2"/>
      <c r="P404" s="6" t="s">
        <v>57</v>
      </c>
      <c r="Q404" s="6" t="s">
        <v>57</v>
      </c>
      <c r="R404" s="9">
        <v>0</v>
      </c>
      <c r="S404" s="2"/>
      <c r="T404" s="9">
        <v>0</v>
      </c>
      <c r="U404" s="9">
        <v>0</v>
      </c>
      <c r="V404" s="9">
        <v>0</v>
      </c>
      <c r="W404" s="9">
        <v>0</v>
      </c>
      <c r="X404" s="9">
        <v>0</v>
      </c>
      <c r="Y404" s="9">
        <v>0</v>
      </c>
      <c r="Z404" s="9">
        <v>0</v>
      </c>
      <c r="AA404" s="9">
        <v>3</v>
      </c>
      <c r="AB404" s="9">
        <v>0</v>
      </c>
      <c r="AC404" s="9">
        <v>0</v>
      </c>
      <c r="AD404" s="9">
        <v>0</v>
      </c>
      <c r="AE404" s="6" t="s">
        <v>57</v>
      </c>
      <c r="AF404" s="6" t="s">
        <v>57</v>
      </c>
      <c r="AG404" s="6" t="s">
        <v>57</v>
      </c>
      <c r="AH404" s="6" t="s">
        <v>57</v>
      </c>
      <c r="AI404" s="6" t="s">
        <v>57</v>
      </c>
      <c r="AJ404" s="6" t="s">
        <v>57</v>
      </c>
      <c r="AK404" s="6" t="s">
        <v>57</v>
      </c>
      <c r="AL404" s="6" t="s">
        <v>57</v>
      </c>
      <c r="AM404" s="6" t="s">
        <v>57</v>
      </c>
      <c r="AN404" s="6" t="s">
        <v>57</v>
      </c>
      <c r="AO404" s="6" t="s">
        <v>57</v>
      </c>
      <c r="AP404" s="6" t="s">
        <v>57</v>
      </c>
      <c r="AQ404" s="9">
        <v>0</v>
      </c>
    </row>
    <row r="405" spans="1:43" ht="15">
      <c r="A405" s="2" t="s">
        <v>1425</v>
      </c>
      <c r="B405" s="5">
        <v>141732677</v>
      </c>
      <c r="C405" s="2" t="s">
        <v>23</v>
      </c>
      <c r="D405" s="2" t="s">
        <v>1426</v>
      </c>
      <c r="E405" s="2" t="s">
        <v>1427</v>
      </c>
      <c r="F405" s="2" t="s">
        <v>26</v>
      </c>
      <c r="G405" s="2"/>
      <c r="H405" s="2"/>
      <c r="I405" s="2" t="s">
        <v>28</v>
      </c>
      <c r="J405" s="6"/>
      <c r="K405" s="2" t="s">
        <v>55</v>
      </c>
      <c r="L405" s="2" t="s">
        <v>56</v>
      </c>
      <c r="M405" s="2" t="s">
        <v>55</v>
      </c>
      <c r="N405" s="2"/>
      <c r="O405" s="2"/>
      <c r="P405" s="6" t="s">
        <v>57</v>
      </c>
      <c r="Q405" s="6" t="s">
        <v>57</v>
      </c>
      <c r="R405" s="6" t="s">
        <v>57</v>
      </c>
      <c r="S405" s="2"/>
      <c r="T405" s="6" t="s">
        <v>57</v>
      </c>
      <c r="U405" s="6" t="s">
        <v>57</v>
      </c>
      <c r="V405" s="6" t="s">
        <v>57</v>
      </c>
      <c r="W405" s="6" t="s">
        <v>57</v>
      </c>
      <c r="X405" s="6" t="s">
        <v>57</v>
      </c>
      <c r="Y405" s="6" t="s">
        <v>57</v>
      </c>
      <c r="Z405" s="6" t="s">
        <v>57</v>
      </c>
      <c r="AA405" s="6" t="s">
        <v>57</v>
      </c>
      <c r="AB405" s="6" t="s">
        <v>57</v>
      </c>
      <c r="AC405" s="6" t="s">
        <v>57</v>
      </c>
      <c r="AD405" s="6" t="s">
        <v>57</v>
      </c>
      <c r="AE405" s="6" t="s">
        <v>57</v>
      </c>
      <c r="AF405" s="6" t="s">
        <v>57</v>
      </c>
      <c r="AG405" s="6" t="s">
        <v>57</v>
      </c>
      <c r="AH405" s="6" t="s">
        <v>57</v>
      </c>
      <c r="AI405" s="6" t="s">
        <v>57</v>
      </c>
      <c r="AJ405" s="6" t="s">
        <v>57</v>
      </c>
      <c r="AK405" s="6" t="s">
        <v>57</v>
      </c>
      <c r="AL405" s="6" t="s">
        <v>57</v>
      </c>
      <c r="AM405" s="6" t="s">
        <v>57</v>
      </c>
      <c r="AN405" s="6" t="s">
        <v>57</v>
      </c>
      <c r="AO405" s="6" t="s">
        <v>57</v>
      </c>
      <c r="AP405" s="6" t="s">
        <v>57</v>
      </c>
      <c r="AQ405" s="6" t="s">
        <v>57</v>
      </c>
    </row>
    <row r="406" spans="1:43" ht="15">
      <c r="A406" s="2" t="s">
        <v>1428</v>
      </c>
      <c r="B406" s="5">
        <v>114805196</v>
      </c>
      <c r="C406" s="2" t="s">
        <v>23</v>
      </c>
      <c r="D406" s="2" t="s">
        <v>1429</v>
      </c>
      <c r="E406" s="2" t="s">
        <v>1430</v>
      </c>
      <c r="F406" s="2" t="s">
        <v>26</v>
      </c>
      <c r="G406" s="2" t="s">
        <v>26</v>
      </c>
      <c r="H406" s="2" t="s">
        <v>27</v>
      </c>
      <c r="I406" s="2" t="s">
        <v>28</v>
      </c>
      <c r="J406" s="6"/>
      <c r="K406" s="2" t="s">
        <v>55</v>
      </c>
      <c r="L406" s="2" t="s">
        <v>56</v>
      </c>
      <c r="M406" s="2" t="s">
        <v>55</v>
      </c>
      <c r="N406" s="2"/>
      <c r="O406" s="2"/>
      <c r="P406" s="6" t="s">
        <v>57</v>
      </c>
      <c r="Q406" s="6" t="s">
        <v>57</v>
      </c>
      <c r="R406" s="9">
        <v>0</v>
      </c>
      <c r="S406" s="2"/>
      <c r="T406" s="9">
        <v>0</v>
      </c>
      <c r="U406" s="9">
        <v>0</v>
      </c>
      <c r="V406" s="9">
        <v>0</v>
      </c>
      <c r="W406" s="9">
        <v>0</v>
      </c>
      <c r="X406" s="9">
        <v>0</v>
      </c>
      <c r="Y406" s="9">
        <v>0</v>
      </c>
      <c r="Z406" s="9">
        <v>4</v>
      </c>
      <c r="AA406" s="9">
        <v>4</v>
      </c>
      <c r="AB406" s="9">
        <v>0</v>
      </c>
      <c r="AC406" s="9">
        <v>0</v>
      </c>
      <c r="AD406" s="9">
        <v>0</v>
      </c>
      <c r="AE406" s="6" t="s">
        <v>57</v>
      </c>
      <c r="AF406" s="6" t="s">
        <v>57</v>
      </c>
      <c r="AG406" s="6" t="s">
        <v>57</v>
      </c>
      <c r="AH406" s="6" t="s">
        <v>57</v>
      </c>
      <c r="AI406" s="6" t="s">
        <v>57</v>
      </c>
      <c r="AJ406" s="6" t="s">
        <v>57</v>
      </c>
      <c r="AK406" s="6" t="s">
        <v>57</v>
      </c>
      <c r="AL406" s="6" t="s">
        <v>57</v>
      </c>
      <c r="AM406" s="6" t="s">
        <v>57</v>
      </c>
      <c r="AN406" s="6" t="s">
        <v>57</v>
      </c>
      <c r="AO406" s="6" t="s">
        <v>57</v>
      </c>
      <c r="AP406" s="6" t="s">
        <v>57</v>
      </c>
      <c r="AQ406" s="9">
        <v>0</v>
      </c>
    </row>
    <row r="407" spans="1:43" ht="15">
      <c r="A407" s="2" t="s">
        <v>1431</v>
      </c>
      <c r="B407" s="5">
        <v>101440246</v>
      </c>
      <c r="C407" s="2" t="s">
        <v>23</v>
      </c>
      <c r="D407" s="2" t="s">
        <v>1432</v>
      </c>
      <c r="E407" s="2" t="s">
        <v>1433</v>
      </c>
      <c r="F407" s="2" t="s">
        <v>26</v>
      </c>
      <c r="G407" s="2" t="s">
        <v>26</v>
      </c>
      <c r="H407" s="2" t="s">
        <v>27</v>
      </c>
      <c r="I407" s="2" t="s">
        <v>28</v>
      </c>
      <c r="J407" s="6"/>
      <c r="K407" s="2" t="s">
        <v>55</v>
      </c>
      <c r="L407" s="2" t="s">
        <v>56</v>
      </c>
      <c r="M407" s="2" t="s">
        <v>55</v>
      </c>
      <c r="N407" s="2"/>
      <c r="O407" s="2"/>
      <c r="P407" s="6" t="s">
        <v>57</v>
      </c>
      <c r="Q407" s="6" t="s">
        <v>57</v>
      </c>
      <c r="R407" s="9">
        <v>0</v>
      </c>
      <c r="S407" s="2"/>
      <c r="T407" s="9">
        <v>0</v>
      </c>
      <c r="U407" s="9">
        <v>0</v>
      </c>
      <c r="V407" s="9">
        <v>0</v>
      </c>
      <c r="W407" s="9">
        <v>0</v>
      </c>
      <c r="X407" s="9">
        <v>0</v>
      </c>
      <c r="Y407" s="9">
        <v>0</v>
      </c>
      <c r="Z407" s="9">
        <v>0</v>
      </c>
      <c r="AA407" s="9">
        <v>375</v>
      </c>
      <c r="AB407" s="9">
        <v>0</v>
      </c>
      <c r="AC407" s="9">
        <v>0</v>
      </c>
      <c r="AD407" s="9">
        <v>0</v>
      </c>
      <c r="AE407" s="6" t="s">
        <v>57</v>
      </c>
      <c r="AF407" s="6" t="s">
        <v>57</v>
      </c>
      <c r="AG407" s="6" t="s">
        <v>57</v>
      </c>
      <c r="AH407" s="6" t="s">
        <v>57</v>
      </c>
      <c r="AI407" s="6" t="s">
        <v>57</v>
      </c>
      <c r="AJ407" s="6" t="s">
        <v>57</v>
      </c>
      <c r="AK407" s="6" t="s">
        <v>57</v>
      </c>
      <c r="AL407" s="6" t="s">
        <v>57</v>
      </c>
      <c r="AM407" s="6" t="s">
        <v>57</v>
      </c>
      <c r="AN407" s="6" t="s">
        <v>57</v>
      </c>
      <c r="AO407" s="6" t="s">
        <v>57</v>
      </c>
      <c r="AP407" s="6" t="s">
        <v>57</v>
      </c>
      <c r="AQ407" s="9">
        <v>0</v>
      </c>
    </row>
    <row r="408" spans="1:43" ht="15">
      <c r="A408" s="2" t="s">
        <v>1434</v>
      </c>
      <c r="B408" s="5">
        <v>114872977</v>
      </c>
      <c r="C408" s="2" t="s">
        <v>23</v>
      </c>
      <c r="D408" s="2" t="s">
        <v>1435</v>
      </c>
      <c r="E408" s="2" t="s">
        <v>1436</v>
      </c>
      <c r="F408" s="2" t="s">
        <v>26</v>
      </c>
      <c r="G408" s="2" t="s">
        <v>26</v>
      </c>
      <c r="H408" s="2" t="s">
        <v>27</v>
      </c>
      <c r="I408" s="2" t="s">
        <v>28</v>
      </c>
      <c r="J408" s="6"/>
      <c r="K408" s="2" t="s">
        <v>55</v>
      </c>
      <c r="L408" s="2" t="s">
        <v>56</v>
      </c>
      <c r="M408" s="2" t="s">
        <v>55</v>
      </c>
      <c r="N408" s="2"/>
      <c r="O408" s="2"/>
      <c r="P408" s="6" t="s">
        <v>57</v>
      </c>
      <c r="Q408" s="6" t="s">
        <v>57</v>
      </c>
      <c r="R408" s="9">
        <v>0</v>
      </c>
      <c r="S408" s="2"/>
      <c r="T408" s="9">
        <v>0</v>
      </c>
      <c r="U408" s="9">
        <v>0</v>
      </c>
      <c r="V408" s="9">
        <v>0</v>
      </c>
      <c r="W408" s="9">
        <v>0</v>
      </c>
      <c r="X408" s="9">
        <v>0</v>
      </c>
      <c r="Y408" s="9">
        <v>0</v>
      </c>
      <c r="Z408" s="9">
        <v>1352</v>
      </c>
      <c r="AA408" s="9">
        <v>1352</v>
      </c>
      <c r="AB408" s="9">
        <v>0</v>
      </c>
      <c r="AC408" s="9">
        <v>0</v>
      </c>
      <c r="AD408" s="9">
        <v>0</v>
      </c>
      <c r="AE408" s="6" t="s">
        <v>57</v>
      </c>
      <c r="AF408" s="6" t="s">
        <v>57</v>
      </c>
      <c r="AG408" s="6" t="s">
        <v>57</v>
      </c>
      <c r="AH408" s="6" t="s">
        <v>57</v>
      </c>
      <c r="AI408" s="6" t="s">
        <v>57</v>
      </c>
      <c r="AJ408" s="6" t="s">
        <v>57</v>
      </c>
      <c r="AK408" s="6" t="s">
        <v>57</v>
      </c>
      <c r="AL408" s="6" t="s">
        <v>57</v>
      </c>
      <c r="AM408" s="6" t="s">
        <v>57</v>
      </c>
      <c r="AN408" s="6" t="s">
        <v>57</v>
      </c>
      <c r="AO408" s="6" t="s">
        <v>57</v>
      </c>
      <c r="AP408" s="6" t="s">
        <v>57</v>
      </c>
      <c r="AQ408" s="9">
        <v>0</v>
      </c>
    </row>
    <row r="409" spans="1:43" ht="15">
      <c r="A409" s="2" t="s">
        <v>1437</v>
      </c>
      <c r="B409" s="5">
        <v>4424570</v>
      </c>
      <c r="C409" s="2" t="s">
        <v>46</v>
      </c>
      <c r="D409" s="2" t="s">
        <v>1438</v>
      </c>
      <c r="E409" s="2" t="s">
        <v>1439</v>
      </c>
      <c r="F409" s="2" t="s">
        <v>49</v>
      </c>
      <c r="G409" s="2" t="s">
        <v>49</v>
      </c>
      <c r="H409" s="2" t="s">
        <v>50</v>
      </c>
      <c r="I409" s="2" t="s">
        <v>40</v>
      </c>
      <c r="J409" s="6"/>
      <c r="K409" s="2" t="s">
        <v>1440</v>
      </c>
      <c r="L409" s="2" t="s">
        <v>56</v>
      </c>
      <c r="M409" s="2" t="s">
        <v>1440</v>
      </c>
      <c r="N409" s="2"/>
      <c r="O409" s="2"/>
      <c r="P409" s="7">
        <v>74.412115661587606</v>
      </c>
      <c r="Q409" s="6" t="s">
        <v>57</v>
      </c>
      <c r="R409" s="9">
        <v>0</v>
      </c>
      <c r="S409" s="2" t="s">
        <v>1441</v>
      </c>
      <c r="T409" s="9">
        <v>18</v>
      </c>
      <c r="U409" s="9">
        <v>7</v>
      </c>
      <c r="V409" s="9">
        <v>685</v>
      </c>
      <c r="W409" s="9">
        <v>921</v>
      </c>
      <c r="X409" s="9">
        <v>917</v>
      </c>
      <c r="Y409" s="9">
        <v>636</v>
      </c>
      <c r="Z409" s="9">
        <v>468</v>
      </c>
      <c r="AA409" s="9">
        <v>377</v>
      </c>
      <c r="AB409" s="9">
        <v>8</v>
      </c>
      <c r="AC409" s="9">
        <v>464</v>
      </c>
      <c r="AD409" s="9">
        <v>392</v>
      </c>
      <c r="AE409" s="7">
        <v>0</v>
      </c>
      <c r="AF409" s="7">
        <v>6.7402266545004102E-05</v>
      </c>
      <c r="AG409" s="7">
        <v>2.7616206431633599E-05</v>
      </c>
      <c r="AH409" s="7">
        <v>0.00256421157430673</v>
      </c>
      <c r="AI409" s="7">
        <v>0.00344775676816316</v>
      </c>
      <c r="AJ409" s="7">
        <v>0.0034339657410904999</v>
      </c>
      <c r="AK409" s="7">
        <v>0.0023825448030771702</v>
      </c>
      <c r="AL409" s="7">
        <v>0.0017526186985056199</v>
      </c>
      <c r="AM409" s="7">
        <v>0.0014109941906787801</v>
      </c>
      <c r="AN409" s="7">
        <v>3.1561378779009899E-05</v>
      </c>
      <c r="AO409" s="7">
        <v>0.00173784896711208</v>
      </c>
      <c r="AP409" s="7">
        <v>0.0014685359417937001</v>
      </c>
      <c r="AQ409" s="9">
        <v>0</v>
      </c>
    </row>
    <row r="410" spans="1:43" ht="15">
      <c r="A410" s="2" t="s">
        <v>1442</v>
      </c>
      <c r="B410" s="5">
        <v>7157941</v>
      </c>
      <c r="C410" s="2" t="s">
        <v>35</v>
      </c>
      <c r="D410" s="2" t="s">
        <v>1443</v>
      </c>
      <c r="E410" s="2" t="s">
        <v>1444</v>
      </c>
      <c r="F410" s="2" t="s">
        <v>38</v>
      </c>
      <c r="G410" s="2" t="s">
        <v>38</v>
      </c>
      <c r="H410" s="2" t="s">
        <v>39</v>
      </c>
      <c r="I410" s="2" t="s">
        <v>28</v>
      </c>
      <c r="J410" s="6"/>
      <c r="K410" s="2" t="s">
        <v>1445</v>
      </c>
      <c r="L410" s="2" t="s">
        <v>56</v>
      </c>
      <c r="M410" s="2" t="s">
        <v>1445</v>
      </c>
      <c r="N410" s="2"/>
      <c r="O410" s="2"/>
      <c r="P410" s="7">
        <v>26.229409736512501</v>
      </c>
      <c r="Q410" s="6" t="s">
        <v>57</v>
      </c>
      <c r="R410" s="9">
        <v>0</v>
      </c>
      <c r="S410" s="2" t="s">
        <v>1446</v>
      </c>
      <c r="T410" s="9">
        <v>0</v>
      </c>
      <c r="U410" s="9">
        <v>0</v>
      </c>
      <c r="V410" s="9">
        <v>0</v>
      </c>
      <c r="W410" s="9">
        <v>0</v>
      </c>
      <c r="X410" s="9">
        <v>0</v>
      </c>
      <c r="Y410" s="9">
        <v>0</v>
      </c>
      <c r="Z410" s="9">
        <v>1</v>
      </c>
      <c r="AA410" s="9">
        <v>1593</v>
      </c>
      <c r="AB410" s="9">
        <v>0</v>
      </c>
      <c r="AC410" s="9">
        <v>0</v>
      </c>
      <c r="AD410" s="9">
        <v>0</v>
      </c>
      <c r="AE410" s="7">
        <v>0</v>
      </c>
      <c r="AF410" s="7">
        <v>0</v>
      </c>
      <c r="AG410" s="7">
        <v>0</v>
      </c>
      <c r="AH410" s="7">
        <v>0</v>
      </c>
      <c r="AI410" s="7">
        <v>0</v>
      </c>
      <c r="AJ410" s="7">
        <v>0</v>
      </c>
      <c r="AK410" s="7">
        <v>0</v>
      </c>
      <c r="AL410" s="7">
        <v>1.34485875926221E-05</v>
      </c>
      <c r="AM410" s="7">
        <v>0.0220825509420241</v>
      </c>
      <c r="AN410" s="7">
        <v>0</v>
      </c>
      <c r="AO410" s="7">
        <v>0</v>
      </c>
      <c r="AP410" s="7">
        <v>0</v>
      </c>
      <c r="AQ410" s="9">
        <v>0</v>
      </c>
    </row>
    <row r="411" spans="1:43" ht="15">
      <c r="A411" s="2" t="s">
        <v>1447</v>
      </c>
      <c r="B411" s="5">
        <v>4916882</v>
      </c>
      <c r="C411" s="2" t="s">
        <v>46</v>
      </c>
      <c r="D411" s="2" t="s">
        <v>1448</v>
      </c>
      <c r="E411" s="2" t="s">
        <v>1449</v>
      </c>
      <c r="F411" s="2" t="s">
        <v>49</v>
      </c>
      <c r="G411" s="2" t="s">
        <v>49</v>
      </c>
      <c r="H411" s="2" t="s">
        <v>50</v>
      </c>
      <c r="I411" s="2" t="s">
        <v>40</v>
      </c>
      <c r="J411" s="6"/>
      <c r="K411" s="2" t="s">
        <v>1153</v>
      </c>
      <c r="L411" s="2" t="s">
        <v>30</v>
      </c>
      <c r="M411" s="2" t="s">
        <v>189</v>
      </c>
      <c r="N411" s="2" t="s">
        <v>1154</v>
      </c>
      <c r="O411" s="2" t="s">
        <v>1153</v>
      </c>
      <c r="P411" s="7">
        <v>43.6228397325686</v>
      </c>
      <c r="Q411" s="8">
        <v>68.621666231398706</v>
      </c>
      <c r="R411" s="9">
        <v>0</v>
      </c>
      <c r="S411" s="2" t="s">
        <v>1450</v>
      </c>
      <c r="T411" s="9">
        <v>0</v>
      </c>
      <c r="U411" s="9">
        <v>0</v>
      </c>
      <c r="V411" s="9">
        <v>106</v>
      </c>
      <c r="W411" s="9">
        <v>27</v>
      </c>
      <c r="X411" s="9">
        <v>27</v>
      </c>
      <c r="Y411" s="9">
        <v>47</v>
      </c>
      <c r="Z411" s="9">
        <v>568</v>
      </c>
      <c r="AA411" s="9">
        <v>376</v>
      </c>
      <c r="AB411" s="9">
        <v>0</v>
      </c>
      <c r="AC411" s="9">
        <v>111</v>
      </c>
      <c r="AD411" s="9">
        <v>55</v>
      </c>
      <c r="AE411" s="7">
        <v>0</v>
      </c>
      <c r="AF411" s="7">
        <v>0</v>
      </c>
      <c r="AG411" s="7">
        <v>0</v>
      </c>
      <c r="AH411" s="7">
        <v>0.0050630866110493696</v>
      </c>
      <c r="AI411" s="7">
        <v>0.00130135559480787</v>
      </c>
      <c r="AJ411" s="7">
        <v>0.00129615017242864</v>
      </c>
      <c r="AK411" s="7">
        <v>0.0022556390853744699</v>
      </c>
      <c r="AL411" s="7">
        <v>0.027118475584335101</v>
      </c>
      <c r="AM411" s="7">
        <v>0.017966262970584901</v>
      </c>
      <c r="AN411" s="7">
        <v>0</v>
      </c>
      <c r="AO411" s="7">
        <v>0.0053120908706091796</v>
      </c>
      <c r="AP411" s="7">
        <v>0.0026132059927996701</v>
      </c>
      <c r="AQ411" s="9">
        <v>0</v>
      </c>
    </row>
    <row r="412" spans="1:43" ht="15">
      <c r="A412" s="2" t="s">
        <v>1451</v>
      </c>
      <c r="B412" s="5">
        <v>4211059</v>
      </c>
      <c r="C412" s="2" t="s">
        <v>23</v>
      </c>
      <c r="D412" s="2" t="s">
        <v>1452</v>
      </c>
      <c r="E412" s="2" t="s">
        <v>1453</v>
      </c>
      <c r="F412" s="2" t="s">
        <v>26</v>
      </c>
      <c r="G412" s="2" t="s">
        <v>26</v>
      </c>
      <c r="H412" s="2" t="s">
        <v>27</v>
      </c>
      <c r="I412" s="2" t="s">
        <v>40</v>
      </c>
      <c r="J412" s="6"/>
      <c r="K412" s="2" t="s">
        <v>1454</v>
      </c>
      <c r="L412" s="2" t="s">
        <v>42</v>
      </c>
      <c r="M412" s="2" t="s">
        <v>1454</v>
      </c>
      <c r="N412" s="2"/>
      <c r="O412" s="2"/>
      <c r="P412" s="7">
        <v>145.6831488</v>
      </c>
      <c r="Q412" s="8">
        <v>521.42387660542397</v>
      </c>
      <c r="R412" s="9">
        <v>0</v>
      </c>
      <c r="S412" s="2" t="s">
        <v>1455</v>
      </c>
      <c r="T412" s="9">
        <v>10030</v>
      </c>
      <c r="U412" s="9">
        <v>6813</v>
      </c>
      <c r="V412" s="9">
        <v>3000</v>
      </c>
      <c r="W412" s="9">
        <v>2959</v>
      </c>
      <c r="X412" s="9">
        <v>2948</v>
      </c>
      <c r="Y412" s="9">
        <v>4076</v>
      </c>
      <c r="Z412" s="9">
        <v>6373</v>
      </c>
      <c r="AA412" s="9">
        <v>16300</v>
      </c>
      <c r="AB412" s="9">
        <v>7786</v>
      </c>
      <c r="AC412" s="9">
        <v>3148</v>
      </c>
      <c r="AD412" s="9">
        <v>2121</v>
      </c>
      <c r="AE412" s="7">
        <v>0</v>
      </c>
      <c r="AF412" s="7">
        <v>0.078356770833333297</v>
      </c>
      <c r="AG412" s="7">
        <v>0.053227864583333298</v>
      </c>
      <c r="AH412" s="7">
        <v>0.023437866210937498</v>
      </c>
      <c r="AI412" s="7">
        <v>0.023120356425702801</v>
      </c>
      <c r="AJ412" s="7">
        <v>0.023027875</v>
      </c>
      <c r="AK412" s="7">
        <v>0.031844551685110703</v>
      </c>
      <c r="AL412" s="7">
        <v>0.049786119721849903</v>
      </c>
      <c r="AM412" s="7">
        <v>0.127342639307229</v>
      </c>
      <c r="AN412" s="7">
        <v>0.060831845238095199</v>
      </c>
      <c r="AO412" s="7">
        <v>0.024590548155737701</v>
      </c>
      <c r="AP412" s="7">
        <v>0.016568485383064501</v>
      </c>
      <c r="AQ412" s="9">
        <v>0</v>
      </c>
    </row>
    <row r="413" spans="1:43" ht="15">
      <c r="A413" s="2" t="s">
        <v>1456</v>
      </c>
      <c r="B413" s="5">
        <v>4995770</v>
      </c>
      <c r="C413" s="2" t="s">
        <v>23</v>
      </c>
      <c r="D413" s="2" t="s">
        <v>1457</v>
      </c>
      <c r="E413" s="2" t="s">
        <v>1458</v>
      </c>
      <c r="F413" s="2" t="s">
        <v>26</v>
      </c>
      <c r="G413" s="2" t="s">
        <v>26</v>
      </c>
      <c r="H413" s="2" t="s">
        <v>27</v>
      </c>
      <c r="I413" s="2" t="s">
        <v>28</v>
      </c>
      <c r="J413" s="10">
        <v>40150</v>
      </c>
      <c r="K413" s="2" t="s">
        <v>469</v>
      </c>
      <c r="L413" s="2" t="s">
        <v>247</v>
      </c>
      <c r="M413" s="2" t="s">
        <v>470</v>
      </c>
      <c r="N413" s="2" t="s">
        <v>469</v>
      </c>
      <c r="O413" s="2"/>
      <c r="P413" s="7">
        <v>16.326466187298902</v>
      </c>
      <c r="Q413" s="8">
        <v>59.144294080496003</v>
      </c>
      <c r="R413" s="9">
        <v>465</v>
      </c>
      <c r="S413" s="2" t="s">
        <v>1459</v>
      </c>
      <c r="T413" s="9">
        <v>322</v>
      </c>
      <c r="U413" s="9">
        <v>3333</v>
      </c>
      <c r="V413" s="9">
        <v>6416</v>
      </c>
      <c r="W413" s="9">
        <v>4438</v>
      </c>
      <c r="X413" s="9">
        <v>4480</v>
      </c>
      <c r="Y413" s="9">
        <v>7638</v>
      </c>
      <c r="Z413" s="9">
        <v>5420</v>
      </c>
      <c r="AA413" s="9">
        <v>34160</v>
      </c>
      <c r="AB413" s="9">
        <v>3782</v>
      </c>
      <c r="AC413" s="9">
        <v>6731</v>
      </c>
      <c r="AD413" s="9">
        <v>4398</v>
      </c>
      <c r="AE413" s="7">
        <v>0.00079619996802255495</v>
      </c>
      <c r="AF413" s="7">
        <v>0.00055077632196542296</v>
      </c>
      <c r="AG413" s="7">
        <v>0.0057066705234935598</v>
      </c>
      <c r="AH413" s="7">
        <v>0.010985392482185399</v>
      </c>
      <c r="AI413" s="7">
        <v>0.0075983889732330299</v>
      </c>
      <c r="AJ413" s="7">
        <v>0.0076706966519250299</v>
      </c>
      <c r="AK413" s="7">
        <v>0.013077675341580599</v>
      </c>
      <c r="AL413" s="7">
        <v>0.0092797520566015694</v>
      </c>
      <c r="AM413" s="7">
        <v>0.058490469075667802</v>
      </c>
      <c r="AN413" s="7">
        <v>0.0064762489564869899</v>
      </c>
      <c r="AO413" s="7">
        <v>0.011525657686227301</v>
      </c>
      <c r="AP413" s="7">
        <v>0.0075311734748439302</v>
      </c>
      <c r="AQ413" s="9">
        <v>930</v>
      </c>
    </row>
    <row r="414" spans="1:43" ht="15">
      <c r="A414" s="2" t="s">
        <v>1460</v>
      </c>
      <c r="B414" s="5">
        <v>8798522</v>
      </c>
      <c r="C414" s="2" t="s">
        <v>46</v>
      </c>
      <c r="D414" s="2" t="s">
        <v>1461</v>
      </c>
      <c r="E414" s="2" t="s">
        <v>1462</v>
      </c>
      <c r="F414" s="2" t="s">
        <v>49</v>
      </c>
      <c r="G414" s="2" t="s">
        <v>49</v>
      </c>
      <c r="H414" s="2" t="s">
        <v>50</v>
      </c>
      <c r="I414" s="2" t="s">
        <v>28</v>
      </c>
      <c r="J414" s="6"/>
      <c r="K414" s="2" t="s">
        <v>55</v>
      </c>
      <c r="L414" s="2" t="s">
        <v>56</v>
      </c>
      <c r="M414" s="2" t="s">
        <v>55</v>
      </c>
      <c r="N414" s="2"/>
      <c r="O414" s="2"/>
      <c r="P414" s="7">
        <v>14.777899550000001</v>
      </c>
      <c r="Q414" s="6" t="s">
        <v>57</v>
      </c>
      <c r="R414" s="9">
        <v>20715</v>
      </c>
      <c r="S414" s="2"/>
      <c r="T414" s="9">
        <v>38719</v>
      </c>
      <c r="U414" s="9">
        <v>50458</v>
      </c>
      <c r="V414" s="9">
        <v>52578</v>
      </c>
      <c r="W414" s="9">
        <v>26487</v>
      </c>
      <c r="X414" s="9">
        <v>26381</v>
      </c>
      <c r="Y414" s="9">
        <v>28438</v>
      </c>
      <c r="Z414" s="9">
        <v>21033</v>
      </c>
      <c r="AA414" s="9">
        <v>19754</v>
      </c>
      <c r="AB414" s="9">
        <v>57656</v>
      </c>
      <c r="AC414" s="9">
        <v>54836</v>
      </c>
      <c r="AD414" s="9">
        <v>33754</v>
      </c>
      <c r="AE414" s="6" t="s">
        <v>57</v>
      </c>
      <c r="AF414" s="6" t="s">
        <v>57</v>
      </c>
      <c r="AG414" s="6" t="s">
        <v>57</v>
      </c>
      <c r="AH414" s="6" t="s">
        <v>57</v>
      </c>
      <c r="AI414" s="6" t="s">
        <v>57</v>
      </c>
      <c r="AJ414" s="6" t="s">
        <v>57</v>
      </c>
      <c r="AK414" s="6" t="s">
        <v>57</v>
      </c>
      <c r="AL414" s="6" t="s">
        <v>57</v>
      </c>
      <c r="AM414" s="6" t="s">
        <v>57</v>
      </c>
      <c r="AN414" s="6" t="s">
        <v>57</v>
      </c>
      <c r="AO414" s="6" t="s">
        <v>57</v>
      </c>
      <c r="AP414" s="6" t="s">
        <v>57</v>
      </c>
      <c r="AQ414" s="9">
        <v>41429</v>
      </c>
    </row>
    <row r="415" spans="1:43" ht="15">
      <c r="A415" s="2" t="s">
        <v>1463</v>
      </c>
      <c r="B415" s="5">
        <v>6716295</v>
      </c>
      <c r="C415" s="2" t="s">
        <v>46</v>
      </c>
      <c r="D415" s="2" t="s">
        <v>1464</v>
      </c>
      <c r="E415" s="2" t="s">
        <v>1465</v>
      </c>
      <c r="F415" s="2" t="s">
        <v>49</v>
      </c>
      <c r="G415" s="2" t="s">
        <v>49</v>
      </c>
      <c r="H415" s="2" t="s">
        <v>50</v>
      </c>
      <c r="I415" s="2" t="s">
        <v>28</v>
      </c>
      <c r="J415" s="6"/>
      <c r="K415" s="2" t="s">
        <v>55</v>
      </c>
      <c r="L415" s="2" t="s">
        <v>56</v>
      </c>
      <c r="M415" s="2" t="s">
        <v>55</v>
      </c>
      <c r="N415" s="2"/>
      <c r="O415" s="2"/>
      <c r="P415" s="7">
        <v>13.220793560000001</v>
      </c>
      <c r="Q415" s="6" t="s">
        <v>57</v>
      </c>
      <c r="R415" s="9">
        <v>1989</v>
      </c>
      <c r="S415" s="2"/>
      <c r="T415" s="9">
        <v>677</v>
      </c>
      <c r="U415" s="9">
        <v>1047</v>
      </c>
      <c r="V415" s="9">
        <v>1116</v>
      </c>
      <c r="W415" s="9">
        <v>637</v>
      </c>
      <c r="X415" s="9">
        <v>634</v>
      </c>
      <c r="Y415" s="9">
        <v>587</v>
      </c>
      <c r="Z415" s="9">
        <v>447</v>
      </c>
      <c r="AA415" s="9">
        <v>353</v>
      </c>
      <c r="AB415" s="9">
        <v>1196</v>
      </c>
      <c r="AC415" s="9">
        <v>1148</v>
      </c>
      <c r="AD415" s="9">
        <v>849</v>
      </c>
      <c r="AE415" s="6" t="s">
        <v>57</v>
      </c>
      <c r="AF415" s="6" t="s">
        <v>57</v>
      </c>
      <c r="AG415" s="6" t="s">
        <v>57</v>
      </c>
      <c r="AH415" s="6" t="s">
        <v>57</v>
      </c>
      <c r="AI415" s="6" t="s">
        <v>57</v>
      </c>
      <c r="AJ415" s="6" t="s">
        <v>57</v>
      </c>
      <c r="AK415" s="6" t="s">
        <v>57</v>
      </c>
      <c r="AL415" s="6" t="s">
        <v>57</v>
      </c>
      <c r="AM415" s="6" t="s">
        <v>57</v>
      </c>
      <c r="AN415" s="6" t="s">
        <v>57</v>
      </c>
      <c r="AO415" s="6" t="s">
        <v>57</v>
      </c>
      <c r="AP415" s="6" t="s">
        <v>57</v>
      </c>
      <c r="AQ415" s="9">
        <v>3978</v>
      </c>
    </row>
    <row r="416" spans="1:43" ht="15">
      <c r="A416" s="2" t="s">
        <v>1466</v>
      </c>
      <c r="B416" s="5">
        <v>141738089</v>
      </c>
      <c r="C416" s="2" t="s">
        <v>35</v>
      </c>
      <c r="D416" s="2" t="s">
        <v>1467</v>
      </c>
      <c r="E416" s="2" t="s">
        <v>1468</v>
      </c>
      <c r="F416" s="2" t="s">
        <v>38</v>
      </c>
      <c r="G416" s="2" t="s">
        <v>475</v>
      </c>
      <c r="H416" s="2" t="s">
        <v>476</v>
      </c>
      <c r="I416" s="2" t="s">
        <v>28</v>
      </c>
      <c r="J416" s="6"/>
      <c r="K416" s="2" t="s">
        <v>226</v>
      </c>
      <c r="L416" s="2" t="s">
        <v>56</v>
      </c>
      <c r="M416" s="2" t="s">
        <v>227</v>
      </c>
      <c r="N416" s="2" t="s">
        <v>226</v>
      </c>
      <c r="O416" s="2"/>
      <c r="P416" s="7">
        <v>5371.7009357009001</v>
      </c>
      <c r="Q416" s="8">
        <v>5146.6526307928998</v>
      </c>
      <c r="R416" s="9">
        <v>110775</v>
      </c>
      <c r="S416" s="2" t="s">
        <v>1469</v>
      </c>
      <c r="T416" s="9">
        <v>164298</v>
      </c>
      <c r="U416" s="9">
        <v>175851</v>
      </c>
      <c r="V416" s="9">
        <v>101560</v>
      </c>
      <c r="W416" s="9">
        <v>118142</v>
      </c>
      <c r="X416" s="9">
        <v>118142</v>
      </c>
      <c r="Y416" s="9">
        <v>118142</v>
      </c>
      <c r="Z416" s="9">
        <v>118142</v>
      </c>
      <c r="AA416" s="9">
        <v>118142</v>
      </c>
      <c r="AB416" s="9">
        <v>181809</v>
      </c>
      <c r="AC416" s="9">
        <v>104995</v>
      </c>
      <c r="AD416" s="9">
        <v>123550</v>
      </c>
      <c r="AE416" s="7">
        <v>0.32687690764262101</v>
      </c>
      <c r="AF416" s="7">
        <v>0.48481574885797102</v>
      </c>
      <c r="AG416" s="7">
        <v>0.51890643938614001</v>
      </c>
      <c r="AH416" s="7">
        <v>0.299686468818948</v>
      </c>
      <c r="AI416" s="7">
        <v>0.34861851275606898</v>
      </c>
      <c r="AJ416" s="7">
        <v>0.34861851275606898</v>
      </c>
      <c r="AK416" s="7">
        <v>0.34861851275606898</v>
      </c>
      <c r="AL416" s="7">
        <v>0.34861851275606898</v>
      </c>
      <c r="AM416" s="7">
        <v>0.34861851275606898</v>
      </c>
      <c r="AN416" s="7">
        <v>0.53648667584383403</v>
      </c>
      <c r="AO416" s="7">
        <v>0.30982115121523301</v>
      </c>
      <c r="AP416" s="7">
        <v>0.36457649804317999</v>
      </c>
      <c r="AQ416" s="9">
        <v>22264</v>
      </c>
    </row>
    <row r="417" spans="1:43" ht="15">
      <c r="A417" s="2" t="s">
        <v>1470</v>
      </c>
      <c r="B417" s="5">
        <v>4912850</v>
      </c>
      <c r="C417" s="2" t="s">
        <v>23</v>
      </c>
      <c r="D417" s="2" t="s">
        <v>1471</v>
      </c>
      <c r="E417" s="2" t="s">
        <v>1472</v>
      </c>
      <c r="F417" s="2" t="s">
        <v>26</v>
      </c>
      <c r="G417" s="2" t="s">
        <v>26</v>
      </c>
      <c r="H417" s="2" t="s">
        <v>27</v>
      </c>
      <c r="I417" s="2" t="s">
        <v>28</v>
      </c>
      <c r="J417" s="6"/>
      <c r="K417" s="2" t="s">
        <v>211</v>
      </c>
      <c r="L417" s="2" t="s">
        <v>30</v>
      </c>
      <c r="M417" s="2" t="s">
        <v>189</v>
      </c>
      <c r="N417" s="2" t="s">
        <v>211</v>
      </c>
      <c r="O417" s="2"/>
      <c r="P417" s="7">
        <v>157.17303999999999</v>
      </c>
      <c r="Q417" s="8">
        <v>212.49726285443199</v>
      </c>
      <c r="R417" s="9">
        <v>0</v>
      </c>
      <c r="S417" s="2" t="s">
        <v>1473</v>
      </c>
      <c r="T417" s="9">
        <v>224</v>
      </c>
      <c r="U417" s="9">
        <v>2249</v>
      </c>
      <c r="V417" s="9">
        <v>1183</v>
      </c>
      <c r="W417" s="9">
        <v>1262</v>
      </c>
      <c r="X417" s="9">
        <v>1258</v>
      </c>
      <c r="Y417" s="9">
        <v>800</v>
      </c>
      <c r="Z417" s="9">
        <v>1791</v>
      </c>
      <c r="AA417" s="9">
        <v>1569</v>
      </c>
      <c r="AB417" s="9">
        <v>2521</v>
      </c>
      <c r="AC417" s="9">
        <v>1236</v>
      </c>
      <c r="AD417" s="9">
        <v>1072</v>
      </c>
      <c r="AE417" s="7">
        <v>0</v>
      </c>
      <c r="AF417" s="7">
        <v>0.0011199999999999999</v>
      </c>
      <c r="AG417" s="7">
        <v>0.011242708333333301</v>
      </c>
      <c r="AH417" s="7">
        <v>0.0059168750000000003</v>
      </c>
      <c r="AI417" s="7">
        <v>0.0063095783132530101</v>
      </c>
      <c r="AJ417" s="7">
        <v>0.00629036</v>
      </c>
      <c r="AK417" s="7">
        <v>0.0039975352112676102</v>
      </c>
      <c r="AL417" s="7">
        <v>0.0089549061662198403</v>
      </c>
      <c r="AM417" s="7">
        <v>0.0078467710843373503</v>
      </c>
      <c r="AN417" s="7">
        <v>0.0126040476190476</v>
      </c>
      <c r="AO417" s="7">
        <v>0.0061783606557377097</v>
      </c>
      <c r="AP417" s="7">
        <v>0.0053600403225806496</v>
      </c>
      <c r="AQ417" s="9">
        <v>0</v>
      </c>
    </row>
    <row r="418" spans="1:43" ht="15">
      <c r="A418" s="2" t="s">
        <v>1474</v>
      </c>
      <c r="B418" s="5">
        <v>4990591</v>
      </c>
      <c r="C418" s="2" t="s">
        <v>23</v>
      </c>
      <c r="D418" s="2" t="s">
        <v>1475</v>
      </c>
      <c r="E418" s="2" t="s">
        <v>1476</v>
      </c>
      <c r="F418" s="2" t="s">
        <v>26</v>
      </c>
      <c r="G418" s="2" t="s">
        <v>26</v>
      </c>
      <c r="H418" s="2" t="s">
        <v>27</v>
      </c>
      <c r="I418" s="2" t="s">
        <v>28</v>
      </c>
      <c r="J418" s="10">
        <v>41124</v>
      </c>
      <c r="K418" s="2" t="s">
        <v>181</v>
      </c>
      <c r="L418" s="2" t="s">
        <v>182</v>
      </c>
      <c r="M418" s="2" t="s">
        <v>183</v>
      </c>
      <c r="N418" s="2" t="s">
        <v>181</v>
      </c>
      <c r="O418" s="2"/>
      <c r="P418" s="7">
        <v>383.17905332117101</v>
      </c>
      <c r="Q418" s="8">
        <v>618.549804323888</v>
      </c>
      <c r="R418" s="9">
        <v>26631</v>
      </c>
      <c r="S418" s="2" t="s">
        <v>1477</v>
      </c>
      <c r="T418" s="9">
        <v>33373</v>
      </c>
      <c r="U418" s="9">
        <v>89229</v>
      </c>
      <c r="V418" s="9">
        <v>120796</v>
      </c>
      <c r="W418" s="9">
        <v>88722</v>
      </c>
      <c r="X418" s="9">
        <v>88649</v>
      </c>
      <c r="Y418" s="9">
        <v>84015</v>
      </c>
      <c r="Z418" s="9">
        <v>69655</v>
      </c>
      <c r="AA418" s="9">
        <v>71386</v>
      </c>
      <c r="AB418" s="9">
        <v>98994</v>
      </c>
      <c r="AC418" s="9">
        <v>106278</v>
      </c>
      <c r="AD418" s="9">
        <v>137050</v>
      </c>
      <c r="AE418" s="7">
        <v>0.0222237724406672</v>
      </c>
      <c r="AF418" s="7">
        <v>0.0278496055640482</v>
      </c>
      <c r="AG418" s="7">
        <v>0.074462350008987002</v>
      </c>
      <c r="AH418" s="7">
        <v>0.100805325952977</v>
      </c>
      <c r="AI418" s="7">
        <v>0.074039372783537005</v>
      </c>
      <c r="AJ418" s="7">
        <v>0.073978546441374707</v>
      </c>
      <c r="AK418" s="7">
        <v>0.070111500267883306</v>
      </c>
      <c r="AL418" s="7">
        <v>0.058127403456429</v>
      </c>
      <c r="AM418" s="7">
        <v>0.059572138204919203</v>
      </c>
      <c r="AN418" s="7">
        <v>0.082610929472884495</v>
      </c>
      <c r="AO418" s="7">
        <v>0.088689951373014705</v>
      </c>
      <c r="AP418" s="7">
        <v>0.114369511661463</v>
      </c>
      <c r="AQ418" s="9">
        <v>53230</v>
      </c>
    </row>
    <row r="419" spans="1:43" ht="15">
      <c r="A419" s="2" t="s">
        <v>1478</v>
      </c>
      <c r="B419" s="5">
        <v>4229355</v>
      </c>
      <c r="C419" s="2" t="s">
        <v>35</v>
      </c>
      <c r="D419" s="2" t="s">
        <v>1479</v>
      </c>
      <c r="E419" s="2" t="s">
        <v>1480</v>
      </c>
      <c r="F419" s="2" t="s">
        <v>38</v>
      </c>
      <c r="G419" s="2" t="s">
        <v>38</v>
      </c>
      <c r="H419" s="2" t="s">
        <v>39</v>
      </c>
      <c r="I419" s="2" t="s">
        <v>28</v>
      </c>
      <c r="J419" s="10">
        <v>39351</v>
      </c>
      <c r="K419" s="2" t="s">
        <v>1481</v>
      </c>
      <c r="L419" s="2" t="s">
        <v>217</v>
      </c>
      <c r="M419" s="2" t="s">
        <v>1482</v>
      </c>
      <c r="N419" s="2" t="s">
        <v>1481</v>
      </c>
      <c r="O419" s="2"/>
      <c r="P419" s="7">
        <v>29004.255063026401</v>
      </c>
      <c r="Q419" s="8">
        <v>63732.3964829537</v>
      </c>
      <c r="R419" s="9">
        <v>40866873</v>
      </c>
      <c r="S419" s="2" t="s">
        <v>1483</v>
      </c>
      <c r="T419" s="9">
        <v>53647355</v>
      </c>
      <c r="U419" s="9">
        <v>43831174</v>
      </c>
      <c r="V419" s="9">
        <v>31453158</v>
      </c>
      <c r="W419" s="9">
        <v>20029229</v>
      </c>
      <c r="X419" s="9">
        <v>20000281</v>
      </c>
      <c r="Y419" s="9">
        <v>14185697</v>
      </c>
      <c r="Z419" s="9">
        <v>11091812</v>
      </c>
      <c r="AA419" s="9">
        <v>10420693</v>
      </c>
      <c r="AB419" s="9">
        <v>43473675</v>
      </c>
      <c r="AC419" s="9">
        <v>31965029</v>
      </c>
      <c r="AD419" s="9">
        <v>29863988</v>
      </c>
      <c r="AE419" s="7">
        <v>0.49696204070045602</v>
      </c>
      <c r="AF419" s="7">
        <v>0.65237922703265805</v>
      </c>
      <c r="AG419" s="7">
        <v>0.53300944989413002</v>
      </c>
      <c r="AH419" s="7">
        <v>0.38248645564150802</v>
      </c>
      <c r="AI419" s="7">
        <v>0.24356565157844401</v>
      </c>
      <c r="AJ419" s="7">
        <v>0.24321363125849199</v>
      </c>
      <c r="AK419" s="7">
        <v>0.17250532295447499</v>
      </c>
      <c r="AL419" s="7">
        <v>0.13488209427235601</v>
      </c>
      <c r="AM419" s="7">
        <v>0.126720948858871</v>
      </c>
      <c r="AN419" s="7">
        <v>0.52866208715131902</v>
      </c>
      <c r="AO419" s="7">
        <v>0.38871107671211302</v>
      </c>
      <c r="AP419" s="7">
        <v>0.36316133757628499</v>
      </c>
      <c r="AQ419" s="9">
        <v>52408561</v>
      </c>
    </row>
    <row r="420" spans="1:43" ht="15">
      <c r="A420" s="2" t="s">
        <v>1484</v>
      </c>
      <c r="B420" s="5">
        <v>5001429</v>
      </c>
      <c r="C420" s="2" t="s">
        <v>23</v>
      </c>
      <c r="D420" s="2" t="s">
        <v>1485</v>
      </c>
      <c r="E420" s="2" t="s">
        <v>1486</v>
      </c>
      <c r="F420" s="2" t="s">
        <v>26</v>
      </c>
      <c r="G420" s="2" t="s">
        <v>26</v>
      </c>
      <c r="H420" s="2" t="s">
        <v>27</v>
      </c>
      <c r="I420" s="2" t="s">
        <v>40</v>
      </c>
      <c r="J420" s="6"/>
      <c r="K420" s="2" t="s">
        <v>1487</v>
      </c>
      <c r="L420" s="2" t="s">
        <v>217</v>
      </c>
      <c r="M420" s="2" t="s">
        <v>1487</v>
      </c>
      <c r="N420" s="2"/>
      <c r="O420" s="2"/>
      <c r="P420" s="7">
        <v>162.786094656448</v>
      </c>
      <c r="Q420" s="8">
        <v>233.36700044428801</v>
      </c>
      <c r="R420" s="9">
        <v>0</v>
      </c>
      <c r="S420" s="2" t="s">
        <v>1488</v>
      </c>
      <c r="T420" s="9">
        <v>0</v>
      </c>
      <c r="U420" s="9">
        <v>0</v>
      </c>
      <c r="V420" s="9">
        <v>0</v>
      </c>
      <c r="W420" s="9">
        <v>0</v>
      </c>
      <c r="X420" s="9">
        <v>0</v>
      </c>
      <c r="Y420" s="9">
        <v>0</v>
      </c>
      <c r="Z420" s="9">
        <v>0</v>
      </c>
      <c r="AA420" s="9">
        <v>1</v>
      </c>
      <c r="AB420" s="9">
        <v>0</v>
      </c>
      <c r="AC420" s="9">
        <v>0</v>
      </c>
      <c r="AD420" s="9">
        <v>0</v>
      </c>
      <c r="AE420" s="7">
        <v>0</v>
      </c>
      <c r="AF420" s="7">
        <v>0</v>
      </c>
      <c r="AG420" s="7">
        <v>0</v>
      </c>
      <c r="AH420" s="7">
        <v>0</v>
      </c>
      <c r="AI420" s="7">
        <v>0</v>
      </c>
      <c r="AJ420" s="7">
        <v>0</v>
      </c>
      <c r="AK420" s="7">
        <v>3.2154932312724102E-07</v>
      </c>
      <c r="AL420" s="7">
        <v>2.1422253833007899E-07</v>
      </c>
      <c r="AM420" s="7">
        <v>7.4449644887275901E-06</v>
      </c>
      <c r="AN420" s="7">
        <v>0</v>
      </c>
      <c r="AO420" s="7">
        <v>0</v>
      </c>
      <c r="AP420" s="7">
        <v>0</v>
      </c>
      <c r="AQ420" s="9">
        <v>0</v>
      </c>
    </row>
    <row r="421" spans="1:43" ht="15">
      <c r="A421" s="2" t="s">
        <v>1489</v>
      </c>
      <c r="B421" s="5">
        <v>7087127</v>
      </c>
      <c r="C421" s="2" t="s">
        <v>46</v>
      </c>
      <c r="D421" s="2" t="s">
        <v>1490</v>
      </c>
      <c r="E421" s="2" t="s">
        <v>1491</v>
      </c>
      <c r="F421" s="2" t="s">
        <v>49</v>
      </c>
      <c r="G421" s="2" t="s">
        <v>49</v>
      </c>
      <c r="H421" s="2" t="s">
        <v>50</v>
      </c>
      <c r="I421" s="2" t="s">
        <v>28</v>
      </c>
      <c r="J421" s="6"/>
      <c r="K421" s="2" t="s">
        <v>982</v>
      </c>
      <c r="L421" s="2" t="s">
        <v>217</v>
      </c>
      <c r="M421" s="2" t="s">
        <v>218</v>
      </c>
      <c r="N421" s="2" t="s">
        <v>982</v>
      </c>
      <c r="O421" s="2"/>
      <c r="P421" s="7">
        <v>2.4386855409964698</v>
      </c>
      <c r="Q421" s="8">
        <v>116.98819064662899</v>
      </c>
      <c r="R421" s="9">
        <v>0</v>
      </c>
      <c r="S421" s="2" t="s">
        <v>1492</v>
      </c>
      <c r="T421" s="9">
        <v>0</v>
      </c>
      <c r="U421" s="9">
        <v>0</v>
      </c>
      <c r="V421" s="9">
        <v>0</v>
      </c>
      <c r="W421" s="9">
        <v>0</v>
      </c>
      <c r="X421" s="9">
        <v>0</v>
      </c>
      <c r="Y421" s="9">
        <v>0</v>
      </c>
      <c r="Z421" s="9">
        <v>0</v>
      </c>
      <c r="AA421" s="9">
        <v>0</v>
      </c>
      <c r="AB421" s="9">
        <v>0</v>
      </c>
      <c r="AC421" s="9">
        <v>0</v>
      </c>
      <c r="AD421" s="9">
        <v>0</v>
      </c>
      <c r="AE421" s="7">
        <v>0</v>
      </c>
      <c r="AF421" s="7">
        <v>0</v>
      </c>
      <c r="AG421" s="7">
        <v>0</v>
      </c>
      <c r="AH421" s="7">
        <v>0</v>
      </c>
      <c r="AI421" s="7">
        <v>0</v>
      </c>
      <c r="AJ421" s="7">
        <v>0</v>
      </c>
      <c r="AK421" s="7">
        <v>0</v>
      </c>
      <c r="AL421" s="7">
        <v>0</v>
      </c>
      <c r="AM421" s="7">
        <v>0</v>
      </c>
      <c r="AN421" s="7">
        <v>0</v>
      </c>
      <c r="AO421" s="7">
        <v>0</v>
      </c>
      <c r="AP421" s="7">
        <v>0</v>
      </c>
      <c r="AQ421" s="9">
        <v>0</v>
      </c>
    </row>
    <row r="422" spans="1:43" ht="15">
      <c r="A422" s="2" t="s">
        <v>1493</v>
      </c>
      <c r="B422" s="5">
        <v>5001216</v>
      </c>
      <c r="C422" s="2" t="s">
        <v>46</v>
      </c>
      <c r="D422" s="2" t="s">
        <v>1494</v>
      </c>
      <c r="E422" s="2" t="s">
        <v>1495</v>
      </c>
      <c r="F422" s="2" t="s">
        <v>49</v>
      </c>
      <c r="G422" s="2" t="s">
        <v>49</v>
      </c>
      <c r="H422" s="2" t="s">
        <v>50</v>
      </c>
      <c r="I422" s="2" t="s">
        <v>40</v>
      </c>
      <c r="J422" s="6"/>
      <c r="K422" s="2" t="s">
        <v>982</v>
      </c>
      <c r="L422" s="2" t="s">
        <v>217</v>
      </c>
      <c r="M422" s="2" t="s">
        <v>218</v>
      </c>
      <c r="N422" s="2" t="s">
        <v>982</v>
      </c>
      <c r="O422" s="2"/>
      <c r="P422" s="7">
        <v>34.413826978482803</v>
      </c>
      <c r="Q422" s="8">
        <v>36.5772572651167</v>
      </c>
      <c r="R422" s="9">
        <v>0</v>
      </c>
      <c r="S422" s="2" t="s">
        <v>1496</v>
      </c>
      <c r="T422" s="9">
        <v>0</v>
      </c>
      <c r="U422" s="9">
        <v>358</v>
      </c>
      <c r="V422" s="9">
        <v>134</v>
      </c>
      <c r="W422" s="9">
        <v>36</v>
      </c>
      <c r="X422" s="9">
        <v>36</v>
      </c>
      <c r="Y422" s="9">
        <v>19</v>
      </c>
      <c r="Z422" s="9">
        <v>13</v>
      </c>
      <c r="AA422" s="9">
        <v>8</v>
      </c>
      <c r="AB422" s="9">
        <v>409</v>
      </c>
      <c r="AC422" s="9">
        <v>141</v>
      </c>
      <c r="AD422" s="9">
        <v>69</v>
      </c>
      <c r="AE422" s="7">
        <v>0</v>
      </c>
      <c r="AF422" s="7">
        <v>0</v>
      </c>
      <c r="AG422" s="7">
        <v>0.0132940459259271</v>
      </c>
      <c r="AH422" s="7">
        <v>0.0049852672222226802</v>
      </c>
      <c r="AI422" s="7">
        <v>0.0013500511154591101</v>
      </c>
      <c r="AJ422" s="7">
        <v>0.00134465091099727</v>
      </c>
      <c r="AK422" s="7">
        <v>0.00071600091515230696</v>
      </c>
      <c r="AL422" s="7">
        <v>0.00047637927554800198</v>
      </c>
      <c r="AM422" s="7">
        <v>0.00029903361197130098</v>
      </c>
      <c r="AN422" s="7">
        <v>0.0151931953439167</v>
      </c>
      <c r="AO422" s="7">
        <v>0.0052304442987254297</v>
      </c>
      <c r="AP422" s="7">
        <v>0.0025730411469536401</v>
      </c>
      <c r="AQ422" s="9">
        <v>0</v>
      </c>
    </row>
    <row r="423" spans="1:43" ht="15">
      <c r="A423" s="2" t="s">
        <v>1497</v>
      </c>
      <c r="B423" s="5">
        <v>4912666</v>
      </c>
      <c r="C423" s="2" t="s">
        <v>23</v>
      </c>
      <c r="D423" s="2" t="s">
        <v>1498</v>
      </c>
      <c r="E423" s="2" t="s">
        <v>1499</v>
      </c>
      <c r="F423" s="2" t="s">
        <v>26</v>
      </c>
      <c r="G423" s="2" t="s">
        <v>26</v>
      </c>
      <c r="H423" s="2" t="s">
        <v>27</v>
      </c>
      <c r="I423" s="2" t="s">
        <v>28</v>
      </c>
      <c r="J423" s="6"/>
      <c r="K423" s="2" t="s">
        <v>1064</v>
      </c>
      <c r="L423" s="2" t="s">
        <v>30</v>
      </c>
      <c r="M423" s="2" t="s">
        <v>189</v>
      </c>
      <c r="N423" s="2" t="s">
        <v>1013</v>
      </c>
      <c r="O423" s="2" t="s">
        <v>1064</v>
      </c>
      <c r="P423" s="7">
        <v>4179.8652867617702</v>
      </c>
      <c r="Q423" s="8">
        <v>5078.8241915530898</v>
      </c>
      <c r="R423" s="9">
        <v>302375</v>
      </c>
      <c r="S423" s="2" t="s">
        <v>1500</v>
      </c>
      <c r="T423" s="9">
        <v>419913</v>
      </c>
      <c r="U423" s="9">
        <v>699912</v>
      </c>
      <c r="V423" s="9">
        <v>801194</v>
      </c>
      <c r="W423" s="9">
        <v>1001365</v>
      </c>
      <c r="X423" s="9">
        <v>1001046</v>
      </c>
      <c r="Y423" s="9">
        <v>905459</v>
      </c>
      <c r="Z423" s="9">
        <v>877699</v>
      </c>
      <c r="AA423" s="9">
        <v>906625</v>
      </c>
      <c r="AB423" s="9">
        <v>728339</v>
      </c>
      <c r="AC423" s="9">
        <v>803640</v>
      </c>
      <c r="AD423" s="9">
        <v>912125</v>
      </c>
      <c r="AE423" s="7">
        <v>0.31944479750555499</v>
      </c>
      <c r="AF423" s="7">
        <v>0.44361883444189198</v>
      </c>
      <c r="AG423" s="7">
        <v>0.73942458980538495</v>
      </c>
      <c r="AH423" s="7">
        <v>0.84642517758091096</v>
      </c>
      <c r="AI423" s="7">
        <v>1.0578957629783301</v>
      </c>
      <c r="AJ423" s="7">
        <v>1.0575596348880101</v>
      </c>
      <c r="AK423" s="7">
        <v>0.95657567374413399</v>
      </c>
      <c r="AL423" s="7">
        <v>0.92724851500998295</v>
      </c>
      <c r="AM423" s="7">
        <v>0.95780751422038302</v>
      </c>
      <c r="AN423" s="7">
        <v>0.76945671397138704</v>
      </c>
      <c r="AO423" s="7">
        <v>0.84900892267093797</v>
      </c>
      <c r="AP423" s="7">
        <v>0.96361849505701702</v>
      </c>
      <c r="AQ423" s="9">
        <v>267681</v>
      </c>
    </row>
    <row r="424" spans="1:43" ht="15">
      <c r="A424" s="2" t="s">
        <v>1501</v>
      </c>
      <c r="B424" s="5">
        <v>7133394</v>
      </c>
      <c r="C424" s="2" t="s">
        <v>46</v>
      </c>
      <c r="D424" s="2" t="s">
        <v>1502</v>
      </c>
      <c r="E424" s="2" t="s">
        <v>1503</v>
      </c>
      <c r="F424" s="2" t="s">
        <v>49</v>
      </c>
      <c r="G424" s="2" t="s">
        <v>49</v>
      </c>
      <c r="H424" s="2" t="s">
        <v>50</v>
      </c>
      <c r="I424" s="2" t="s">
        <v>28</v>
      </c>
      <c r="J424" s="6"/>
      <c r="K424" s="2" t="s">
        <v>188</v>
      </c>
      <c r="L424" s="2" t="s">
        <v>30</v>
      </c>
      <c r="M424" s="2" t="s">
        <v>189</v>
      </c>
      <c r="N424" s="2" t="s">
        <v>188</v>
      </c>
      <c r="O424" s="2"/>
      <c r="P424" s="7">
        <v>10.007437900518299</v>
      </c>
      <c r="Q424" s="8">
        <v>64.615873132552906</v>
      </c>
      <c r="R424" s="9">
        <v>0</v>
      </c>
      <c r="S424" s="2" t="s">
        <v>1504</v>
      </c>
      <c r="T424" s="9">
        <v>833</v>
      </c>
      <c r="U424" s="9">
        <v>208</v>
      </c>
      <c r="V424" s="9">
        <v>78</v>
      </c>
      <c r="W424" s="9">
        <v>1816</v>
      </c>
      <c r="X424" s="9">
        <v>1809</v>
      </c>
      <c r="Y424" s="9">
        <v>1598</v>
      </c>
      <c r="Z424" s="9">
        <v>1349</v>
      </c>
      <c r="AA424" s="9">
        <v>1228</v>
      </c>
      <c r="AB424" s="9">
        <v>238</v>
      </c>
      <c r="AC424" s="9">
        <v>82</v>
      </c>
      <c r="AD424" s="9">
        <v>2020</v>
      </c>
      <c r="AE424" s="7">
        <v>0</v>
      </c>
      <c r="AF424" s="7">
        <v>0.0018318046469267199</v>
      </c>
      <c r="AG424" s="7">
        <v>0.000457951161731679</v>
      </c>
      <c r="AH424" s="7">
        <v>0.00017173168564937999</v>
      </c>
      <c r="AI424" s="7">
        <v>0.00399242484895743</v>
      </c>
      <c r="AJ424" s="7">
        <v>0.0039764551495616004</v>
      </c>
      <c r="AK424" s="7">
        <v>0.0035128051503311702</v>
      </c>
      <c r="AL424" s="7">
        <v>0.00296504692813864</v>
      </c>
      <c r="AM424" s="7">
        <v>0.00269860290103042</v>
      </c>
      <c r="AN424" s="7">
        <v>0.00052337275626477696</v>
      </c>
      <c r="AO424" s="7">
        <v>0.00018017750625508701</v>
      </c>
      <c r="AP424" s="7">
        <v>0.0044394612884883699</v>
      </c>
      <c r="AQ424" s="9">
        <v>0</v>
      </c>
    </row>
    <row r="425" spans="1:43" ht="15">
      <c r="A425" s="2" t="s">
        <v>1505</v>
      </c>
      <c r="B425" s="5">
        <v>4916847</v>
      </c>
      <c r="C425" s="2" t="s">
        <v>46</v>
      </c>
      <c r="D425" s="2" t="s">
        <v>1506</v>
      </c>
      <c r="E425" s="2" t="s">
        <v>1507</v>
      </c>
      <c r="F425" s="2" t="s">
        <v>49</v>
      </c>
      <c r="G425" s="2" t="s">
        <v>49</v>
      </c>
      <c r="H425" s="2" t="s">
        <v>50</v>
      </c>
      <c r="I425" s="2" t="s">
        <v>40</v>
      </c>
      <c r="J425" s="6"/>
      <c r="K425" s="2" t="s">
        <v>188</v>
      </c>
      <c r="L425" s="2" t="s">
        <v>30</v>
      </c>
      <c r="M425" s="2" t="s">
        <v>189</v>
      </c>
      <c r="N425" s="2" t="s">
        <v>188</v>
      </c>
      <c r="O425" s="2"/>
      <c r="P425" s="7">
        <v>27.981462996000001</v>
      </c>
      <c r="Q425" s="8">
        <v>25.722414484520002</v>
      </c>
      <c r="R425" s="9">
        <v>0</v>
      </c>
      <c r="S425" s="2" t="s">
        <v>1508</v>
      </c>
      <c r="T425" s="9">
        <v>0</v>
      </c>
      <c r="U425" s="9">
        <v>0</v>
      </c>
      <c r="V425" s="9">
        <v>0</v>
      </c>
      <c r="W425" s="9">
        <v>20</v>
      </c>
      <c r="X425" s="9">
        <v>20</v>
      </c>
      <c r="Y425" s="9">
        <v>72</v>
      </c>
      <c r="Z425" s="9">
        <v>252</v>
      </c>
      <c r="AA425" s="9">
        <v>1048</v>
      </c>
      <c r="AB425" s="9">
        <v>0</v>
      </c>
      <c r="AC425" s="9">
        <v>0</v>
      </c>
      <c r="AD425" s="9">
        <v>40</v>
      </c>
      <c r="AE425" s="7">
        <v>0</v>
      </c>
      <c r="AF425" s="7">
        <v>0</v>
      </c>
      <c r="AG425" s="7">
        <v>0</v>
      </c>
      <c r="AH425" s="7">
        <v>0</v>
      </c>
      <c r="AI425" s="7">
        <v>0.000167336010709505</v>
      </c>
      <c r="AJ425" s="7">
        <v>0.00016666666666666701</v>
      </c>
      <c r="AK425" s="7">
        <v>0.00060298931195724797</v>
      </c>
      <c r="AL425" s="7">
        <v>0.0021008777777777798</v>
      </c>
      <c r="AM425" s="7">
        <v>0.0087326876996805108</v>
      </c>
      <c r="AN425" s="7">
        <v>0</v>
      </c>
      <c r="AO425" s="7">
        <v>0</v>
      </c>
      <c r="AP425" s="7">
        <v>0.000336021505376344</v>
      </c>
      <c r="AQ425" s="9">
        <v>0</v>
      </c>
    </row>
    <row r="426" spans="1:43" ht="15">
      <c r="A426" s="2" t="s">
        <v>1509</v>
      </c>
      <c r="B426" s="5">
        <v>4912395</v>
      </c>
      <c r="C426" s="2" t="s">
        <v>46</v>
      </c>
      <c r="D426" s="2" t="s">
        <v>1510</v>
      </c>
      <c r="E426" s="2" t="s">
        <v>1511</v>
      </c>
      <c r="F426" s="2" t="s">
        <v>49</v>
      </c>
      <c r="G426" s="2" t="s">
        <v>49</v>
      </c>
      <c r="H426" s="2" t="s">
        <v>50</v>
      </c>
      <c r="I426" s="2" t="s">
        <v>40</v>
      </c>
      <c r="J426" s="6"/>
      <c r="K426" s="2" t="s">
        <v>188</v>
      </c>
      <c r="L426" s="2" t="s">
        <v>30</v>
      </c>
      <c r="M426" s="2" t="s">
        <v>189</v>
      </c>
      <c r="N426" s="2" t="s">
        <v>188</v>
      </c>
      <c r="O426" s="2"/>
      <c r="P426" s="7">
        <v>24.307510703827401</v>
      </c>
      <c r="Q426" s="8">
        <v>21.562746217122001</v>
      </c>
      <c r="R426" s="9">
        <v>27546</v>
      </c>
      <c r="S426" s="2" t="s">
        <v>1512</v>
      </c>
      <c r="T426" s="9">
        <v>19158</v>
      </c>
      <c r="U426" s="9">
        <v>126743</v>
      </c>
      <c r="V426" s="9">
        <v>83959</v>
      </c>
      <c r="W426" s="9">
        <v>83906</v>
      </c>
      <c r="X426" s="9">
        <v>84497</v>
      </c>
      <c r="Y426" s="9">
        <v>96382</v>
      </c>
      <c r="Z426" s="9">
        <v>93756</v>
      </c>
      <c r="AA426" s="9">
        <v>101317</v>
      </c>
      <c r="AB426" s="9">
        <v>116991</v>
      </c>
      <c r="AC426" s="9">
        <v>88000</v>
      </c>
      <c r="AD426" s="9">
        <v>86844</v>
      </c>
      <c r="AE426" s="7">
        <v>0.043708495038447898</v>
      </c>
      <c r="AF426" s="7">
        <v>0.030398608262448699</v>
      </c>
      <c r="AG426" s="7">
        <v>0.20110890098954501</v>
      </c>
      <c r="AH426" s="7">
        <v>0.13322202236068001</v>
      </c>
      <c r="AI426" s="7">
        <v>0.133137746214087</v>
      </c>
      <c r="AJ426" s="7">
        <v>0.13407466766033299</v>
      </c>
      <c r="AK426" s="7">
        <v>0.152934248046497</v>
      </c>
      <c r="AL426" s="7">
        <v>0.148767259385235</v>
      </c>
      <c r="AM426" s="7">
        <v>0.160763609627323</v>
      </c>
      <c r="AN426" s="7">
        <v>0.18563510875469699</v>
      </c>
      <c r="AO426" s="7">
        <v>0.13963429148456299</v>
      </c>
      <c r="AP426" s="7">
        <v>0.13779995144617799</v>
      </c>
      <c r="AQ426" s="9">
        <v>24990</v>
      </c>
    </row>
    <row r="427" spans="1:43" ht="15">
      <c r="A427" s="2" t="s">
        <v>1513</v>
      </c>
      <c r="B427" s="5">
        <v>4910628</v>
      </c>
      <c r="C427" s="2" t="s">
        <v>46</v>
      </c>
      <c r="D427" s="2" t="s">
        <v>1514</v>
      </c>
      <c r="E427" s="2" t="s">
        <v>1515</v>
      </c>
      <c r="F427" s="2" t="s">
        <v>49</v>
      </c>
      <c r="G427" s="2" t="s">
        <v>49</v>
      </c>
      <c r="H427" s="2" t="s">
        <v>50</v>
      </c>
      <c r="I427" s="2" t="s">
        <v>28</v>
      </c>
      <c r="J427" s="6"/>
      <c r="K427" s="2" t="s">
        <v>188</v>
      </c>
      <c r="L427" s="2" t="s">
        <v>30</v>
      </c>
      <c r="M427" s="2" t="s">
        <v>189</v>
      </c>
      <c r="N427" s="2" t="s">
        <v>188</v>
      </c>
      <c r="O427" s="2"/>
      <c r="P427" s="7">
        <v>6.4483044629089497</v>
      </c>
      <c r="Q427" s="6" t="s">
        <v>57</v>
      </c>
      <c r="R427" s="9">
        <v>0</v>
      </c>
      <c r="S427" s="2" t="s">
        <v>1516</v>
      </c>
      <c r="T427" s="9">
        <v>0</v>
      </c>
      <c r="U427" s="9">
        <v>938</v>
      </c>
      <c r="V427" s="9">
        <v>783</v>
      </c>
      <c r="W427" s="9">
        <v>1174</v>
      </c>
      <c r="X427" s="9">
        <v>1170</v>
      </c>
      <c r="Y427" s="9">
        <v>1265</v>
      </c>
      <c r="Z427" s="9">
        <v>1404</v>
      </c>
      <c r="AA427" s="9">
        <v>1559</v>
      </c>
      <c r="AB427" s="9">
        <v>1071</v>
      </c>
      <c r="AC427" s="9">
        <v>821</v>
      </c>
      <c r="AD427" s="9">
        <v>754</v>
      </c>
      <c r="AE427" s="6" t="s">
        <v>57</v>
      </c>
      <c r="AF427" s="6" t="s">
        <v>57</v>
      </c>
      <c r="AG427" s="6" t="s">
        <v>57</v>
      </c>
      <c r="AH427" s="6" t="s">
        <v>57</v>
      </c>
      <c r="AI427" s="6" t="s">
        <v>57</v>
      </c>
      <c r="AJ427" s="6" t="s">
        <v>57</v>
      </c>
      <c r="AK427" s="6" t="s">
        <v>57</v>
      </c>
      <c r="AL427" s="6" t="s">
        <v>57</v>
      </c>
      <c r="AM427" s="6" t="s">
        <v>57</v>
      </c>
      <c r="AN427" s="6" t="s">
        <v>57</v>
      </c>
      <c r="AO427" s="6" t="s">
        <v>57</v>
      </c>
      <c r="AP427" s="6" t="s">
        <v>57</v>
      </c>
      <c r="AQ427" s="9">
        <v>0</v>
      </c>
    </row>
    <row r="428" spans="1:43" ht="15">
      <c r="A428" s="2" t="s">
        <v>1517</v>
      </c>
      <c r="B428" s="5">
        <v>4916879</v>
      </c>
      <c r="C428" s="2" t="s">
        <v>46</v>
      </c>
      <c r="D428" s="2" t="s">
        <v>1518</v>
      </c>
      <c r="E428" s="2" t="s">
        <v>1519</v>
      </c>
      <c r="F428" s="2" t="s">
        <v>49</v>
      </c>
      <c r="G428" s="2" t="s">
        <v>49</v>
      </c>
      <c r="H428" s="2" t="s">
        <v>50</v>
      </c>
      <c r="I428" s="2" t="s">
        <v>40</v>
      </c>
      <c r="J428" s="6"/>
      <c r="K428" s="2" t="s">
        <v>188</v>
      </c>
      <c r="L428" s="2" t="s">
        <v>30</v>
      </c>
      <c r="M428" s="2" t="s">
        <v>189</v>
      </c>
      <c r="N428" s="2" t="s">
        <v>188</v>
      </c>
      <c r="O428" s="2"/>
      <c r="P428" s="7">
        <v>3.8452267236338402</v>
      </c>
      <c r="Q428" s="8">
        <v>3.8378940551338401</v>
      </c>
      <c r="R428" s="9">
        <v>0</v>
      </c>
      <c r="S428" s="2" t="s">
        <v>1520</v>
      </c>
      <c r="T428" s="9">
        <v>0</v>
      </c>
      <c r="U428" s="9">
        <v>0</v>
      </c>
      <c r="V428" s="9">
        <v>0</v>
      </c>
      <c r="W428" s="9">
        <v>0</v>
      </c>
      <c r="X428" s="9">
        <v>0</v>
      </c>
      <c r="Y428" s="9">
        <v>0</v>
      </c>
      <c r="Z428" s="9">
        <v>0</v>
      </c>
      <c r="AA428" s="9">
        <v>19</v>
      </c>
      <c r="AB428" s="9">
        <v>0</v>
      </c>
      <c r="AC428" s="9">
        <v>0</v>
      </c>
      <c r="AD428" s="9">
        <v>0</v>
      </c>
      <c r="AE428" s="7">
        <v>0</v>
      </c>
      <c r="AF428" s="7">
        <v>0</v>
      </c>
      <c r="AG428" s="7">
        <v>0</v>
      </c>
      <c r="AH428" s="7">
        <v>0</v>
      </c>
      <c r="AI428" s="7">
        <v>0</v>
      </c>
      <c r="AJ428" s="7">
        <v>0</v>
      </c>
      <c r="AK428" s="7">
        <v>0</v>
      </c>
      <c r="AL428" s="7">
        <v>0</v>
      </c>
      <c r="AM428" s="7">
        <v>0.0021199169321411502</v>
      </c>
      <c r="AN428" s="7">
        <v>0</v>
      </c>
      <c r="AO428" s="7">
        <v>0</v>
      </c>
      <c r="AP428" s="7">
        <v>0</v>
      </c>
      <c r="AQ428" s="9">
        <v>0</v>
      </c>
    </row>
    <row r="429" spans="1:43" ht="15">
      <c r="A429" s="2" t="s">
        <v>1521</v>
      </c>
      <c r="B429" s="5">
        <v>4990369</v>
      </c>
      <c r="C429" s="2" t="s">
        <v>23</v>
      </c>
      <c r="D429" s="2" t="s">
        <v>1522</v>
      </c>
      <c r="E429" s="2" t="s">
        <v>1523</v>
      </c>
      <c r="F429" s="2" t="s">
        <v>26</v>
      </c>
      <c r="G429" s="2" t="s">
        <v>26</v>
      </c>
      <c r="H429" s="2" t="s">
        <v>27</v>
      </c>
      <c r="I429" s="2" t="s">
        <v>40</v>
      </c>
      <c r="J429" s="10">
        <v>41359</v>
      </c>
      <c r="K429" s="2" t="s">
        <v>181</v>
      </c>
      <c r="L429" s="2" t="s">
        <v>182</v>
      </c>
      <c r="M429" s="2" t="s">
        <v>183</v>
      </c>
      <c r="N429" s="2" t="s">
        <v>181</v>
      </c>
      <c r="O429" s="2"/>
      <c r="P429" s="7">
        <v>118.100632758995</v>
      </c>
      <c r="Q429" s="8">
        <v>281.06213498908801</v>
      </c>
      <c r="R429" s="9">
        <v>0</v>
      </c>
      <c r="S429" s="2" t="s">
        <v>1524</v>
      </c>
      <c r="T429" s="9">
        <v>0</v>
      </c>
      <c r="U429" s="9">
        <v>7657</v>
      </c>
      <c r="V429" s="9">
        <v>6032</v>
      </c>
      <c r="W429" s="9">
        <v>73755</v>
      </c>
      <c r="X429" s="9">
        <v>73460</v>
      </c>
      <c r="Y429" s="9">
        <v>103544</v>
      </c>
      <c r="Z429" s="9">
        <v>79818</v>
      </c>
      <c r="AA429" s="9">
        <v>81621</v>
      </c>
      <c r="AB429" s="9">
        <v>7312</v>
      </c>
      <c r="AC429" s="9">
        <v>6329</v>
      </c>
      <c r="AD429" s="9">
        <v>89433</v>
      </c>
      <c r="AE429" s="7">
        <v>0</v>
      </c>
      <c r="AF429" s="7">
        <v>0</v>
      </c>
      <c r="AG429" s="7">
        <v>0.0128870028040226</v>
      </c>
      <c r="AH429" s="7">
        <v>0.0101535483648988</v>
      </c>
      <c r="AI429" s="7">
        <v>0.124140774746617</v>
      </c>
      <c r="AJ429" s="7">
        <v>0.12364421164763099</v>
      </c>
      <c r="AK429" s="7">
        <v>0.174278998369328</v>
      </c>
      <c r="AL429" s="7">
        <v>0.13434451036773201</v>
      </c>
      <c r="AM429" s="7">
        <v>0.13738047762871999</v>
      </c>
      <c r="AN429" s="7">
        <v>0.0123078004097714</v>
      </c>
      <c r="AO429" s="7">
        <v>0.0106529032025168</v>
      </c>
      <c r="AP429" s="7">
        <v>0.15052928607978</v>
      </c>
      <c r="AQ429" s="9">
        <v>0</v>
      </c>
    </row>
    <row r="430" spans="1:43" ht="15">
      <c r="A430" s="2" t="s">
        <v>1525</v>
      </c>
      <c r="B430" s="5">
        <v>4999386</v>
      </c>
      <c r="C430" s="2" t="s">
        <v>35</v>
      </c>
      <c r="D430" s="2" t="s">
        <v>1526</v>
      </c>
      <c r="E430" s="2" t="s">
        <v>1527</v>
      </c>
      <c r="F430" s="2" t="s">
        <v>38</v>
      </c>
      <c r="G430" s="2" t="s">
        <v>38</v>
      </c>
      <c r="H430" s="2" t="s">
        <v>39</v>
      </c>
      <c r="I430" s="2" t="s">
        <v>28</v>
      </c>
      <c r="J430" s="6"/>
      <c r="K430" s="2" t="s">
        <v>1528</v>
      </c>
      <c r="L430" s="2" t="s">
        <v>247</v>
      </c>
      <c r="M430" s="2" t="s">
        <v>248</v>
      </c>
      <c r="N430" s="2" t="s">
        <v>1528</v>
      </c>
      <c r="O430" s="2"/>
      <c r="P430" s="7">
        <v>98.118620396732894</v>
      </c>
      <c r="Q430" s="8">
        <v>358.32372920769598</v>
      </c>
      <c r="R430" s="9">
        <v>3414467</v>
      </c>
      <c r="S430" s="2" t="s">
        <v>1529</v>
      </c>
      <c r="T430" s="9">
        <v>1954316</v>
      </c>
      <c r="U430" s="9">
        <v>755646</v>
      </c>
      <c r="V430" s="9">
        <v>434650</v>
      </c>
      <c r="W430" s="9">
        <v>289248</v>
      </c>
      <c r="X430" s="9">
        <v>288983</v>
      </c>
      <c r="Y430" s="9">
        <v>288340</v>
      </c>
      <c r="Z430" s="9">
        <v>250425</v>
      </c>
      <c r="AA430" s="9">
        <v>221085</v>
      </c>
      <c r="AB430" s="9">
        <v>849286</v>
      </c>
      <c r="AC430" s="9">
        <v>456063</v>
      </c>
      <c r="AD430" s="9">
        <v>431931</v>
      </c>
      <c r="AE430" s="7">
        <v>0.48083588722534598</v>
      </c>
      <c r="AF430" s="7">
        <v>0.27521284804901502</v>
      </c>
      <c r="AG430" s="7">
        <v>0.106412470183932</v>
      </c>
      <c r="AH430" s="7">
        <v>0.061208726426847097</v>
      </c>
      <c r="AI430" s="7">
        <v>0.040732796371126</v>
      </c>
      <c r="AJ430" s="7">
        <v>0.040695527915016599</v>
      </c>
      <c r="AK430" s="7">
        <v>0.040604909451084997</v>
      </c>
      <c r="AL430" s="7">
        <v>0.0352656174415363</v>
      </c>
      <c r="AM430" s="7">
        <v>0.031133829819874</v>
      </c>
      <c r="AN430" s="7">
        <v>0.119599153972825</v>
      </c>
      <c r="AO430" s="7">
        <v>0.064224150266653998</v>
      </c>
      <c r="AP430" s="7">
        <v>0.060825861641265501</v>
      </c>
      <c r="AQ430" s="9">
        <v>6377243</v>
      </c>
    </row>
    <row r="431" spans="1:43" ht="15">
      <c r="A431" s="2" t="s">
        <v>1530</v>
      </c>
      <c r="B431" s="5">
        <v>4993601</v>
      </c>
      <c r="C431" s="2" t="s">
        <v>46</v>
      </c>
      <c r="D431" s="2" t="s">
        <v>1531</v>
      </c>
      <c r="E431" s="2" t="s">
        <v>1532</v>
      </c>
      <c r="F431" s="2" t="s">
        <v>49</v>
      </c>
      <c r="G431" s="2" t="s">
        <v>49</v>
      </c>
      <c r="H431" s="2" t="s">
        <v>50</v>
      </c>
      <c r="I431" s="2" t="s">
        <v>28</v>
      </c>
      <c r="J431" s="6"/>
      <c r="K431" s="2" t="s">
        <v>1533</v>
      </c>
      <c r="L431" s="2" t="s">
        <v>247</v>
      </c>
      <c r="M431" s="2" t="s">
        <v>470</v>
      </c>
      <c r="N431" s="2" t="s">
        <v>1533</v>
      </c>
      <c r="O431" s="2"/>
      <c r="P431" s="7">
        <v>38.397798907635298</v>
      </c>
      <c r="Q431" s="8">
        <v>108.44120806062701</v>
      </c>
      <c r="R431" s="9">
        <v>0</v>
      </c>
      <c r="S431" s="2" t="s">
        <v>1534</v>
      </c>
      <c r="T431" s="9">
        <v>26683</v>
      </c>
      <c r="U431" s="9">
        <v>14981</v>
      </c>
      <c r="V431" s="9">
        <v>7449</v>
      </c>
      <c r="W431" s="9">
        <v>14611</v>
      </c>
      <c r="X431" s="9">
        <v>14613</v>
      </c>
      <c r="Y431" s="9">
        <v>15167</v>
      </c>
      <c r="Z431" s="9">
        <v>11257</v>
      </c>
      <c r="AA431" s="9">
        <v>9355</v>
      </c>
      <c r="AB431" s="9">
        <v>17121</v>
      </c>
      <c r="AC431" s="9">
        <v>7127</v>
      </c>
      <c r="AD431" s="9">
        <v>12598</v>
      </c>
      <c r="AE431" s="7">
        <v>0</v>
      </c>
      <c r="AF431" s="7">
        <v>0.37272564256317697</v>
      </c>
      <c r="AG431" s="7">
        <v>0.20925949020481699</v>
      </c>
      <c r="AH431" s="7">
        <v>0.104052090198842</v>
      </c>
      <c r="AI431" s="7">
        <v>0.204098304661155</v>
      </c>
      <c r="AJ431" s="7">
        <v>0.204120020320229</v>
      </c>
      <c r="AK431" s="7">
        <v>0.211862195241839</v>
      </c>
      <c r="AL431" s="7">
        <v>0.15724235583242199</v>
      </c>
      <c r="AM431" s="7">
        <v>0.130674930535876</v>
      </c>
      <c r="AN431" s="7">
        <v>0.239153703091219</v>
      </c>
      <c r="AO431" s="7">
        <v>0.099551763251194803</v>
      </c>
      <c r="AP431" s="7">
        <v>0.175968168415748</v>
      </c>
      <c r="AQ431" s="9">
        <v>0</v>
      </c>
    </row>
    <row r="432" spans="1:43" ht="15">
      <c r="A432" s="2" t="s">
        <v>1535</v>
      </c>
      <c r="B432" s="5">
        <v>5001250</v>
      </c>
      <c r="C432" s="2" t="s">
        <v>23</v>
      </c>
      <c r="D432" s="2" t="s">
        <v>1536</v>
      </c>
      <c r="E432" s="2" t="s">
        <v>1537</v>
      </c>
      <c r="F432" s="2" t="s">
        <v>26</v>
      </c>
      <c r="G432" s="2" t="s">
        <v>26</v>
      </c>
      <c r="H432" s="2" t="s">
        <v>27</v>
      </c>
      <c r="I432" s="2" t="s">
        <v>40</v>
      </c>
      <c r="J432" s="6"/>
      <c r="K432" s="2" t="s">
        <v>982</v>
      </c>
      <c r="L432" s="2" t="s">
        <v>217</v>
      </c>
      <c r="M432" s="2" t="s">
        <v>218</v>
      </c>
      <c r="N432" s="2" t="s">
        <v>982</v>
      </c>
      <c r="O432" s="2"/>
      <c r="P432" s="7">
        <v>97.838439285139202</v>
      </c>
      <c r="Q432" s="8">
        <v>133.61225607614401</v>
      </c>
      <c r="R432" s="9">
        <v>0</v>
      </c>
      <c r="S432" s="2" t="s">
        <v>1538</v>
      </c>
      <c r="T432" s="9">
        <v>338</v>
      </c>
      <c r="U432" s="9">
        <v>109</v>
      </c>
      <c r="V432" s="9">
        <v>8375</v>
      </c>
      <c r="W432" s="9">
        <v>2190</v>
      </c>
      <c r="X432" s="9">
        <v>2181</v>
      </c>
      <c r="Y432" s="9">
        <v>1138</v>
      </c>
      <c r="Z432" s="9">
        <v>842</v>
      </c>
      <c r="AA432" s="9">
        <v>624</v>
      </c>
      <c r="AB432" s="9">
        <v>97</v>
      </c>
      <c r="AC432" s="9">
        <v>8786</v>
      </c>
      <c r="AD432" s="9">
        <v>4350</v>
      </c>
      <c r="AE432" s="7">
        <v>0</v>
      </c>
      <c r="AF432" s="7">
        <v>0.012912850654925499</v>
      </c>
      <c r="AG432" s="7">
        <v>0.0041519242300679304</v>
      </c>
      <c r="AH432" s="7">
        <v>0.32009830801013101</v>
      </c>
      <c r="AI432" s="7">
        <v>0.083714286873198596</v>
      </c>
      <c r="AJ432" s="7">
        <v>0.083379429725705806</v>
      </c>
      <c r="AK432" s="7">
        <v>0.043500643025070097</v>
      </c>
      <c r="AL432" s="7">
        <v>0.0321928126013305</v>
      </c>
      <c r="AM432" s="7">
        <v>0.023843532184169201</v>
      </c>
      <c r="AN432" s="7">
        <v>0.0036893859014072898</v>
      </c>
      <c r="AO432" s="7">
        <v>0.335840847748334</v>
      </c>
      <c r="AP432" s="7">
        <v>0.16626006753544401</v>
      </c>
      <c r="AQ432" s="9">
        <v>0</v>
      </c>
    </row>
    <row r="433" spans="1:43" ht="15">
      <c r="A433" s="2" t="s">
        <v>1539</v>
      </c>
      <c r="B433" s="5">
        <v>5001226</v>
      </c>
      <c r="C433" s="2" t="s">
        <v>23</v>
      </c>
      <c r="D433" s="2" t="s">
        <v>1540</v>
      </c>
      <c r="E433" s="2" t="s">
        <v>1541</v>
      </c>
      <c r="F433" s="2" t="s">
        <v>26</v>
      </c>
      <c r="G433" s="2" t="s">
        <v>26</v>
      </c>
      <c r="H433" s="2" t="s">
        <v>27</v>
      </c>
      <c r="I433" s="2" t="s">
        <v>40</v>
      </c>
      <c r="J433" s="6"/>
      <c r="K433" s="2" t="s">
        <v>982</v>
      </c>
      <c r="L433" s="2" t="s">
        <v>217</v>
      </c>
      <c r="M433" s="2" t="s">
        <v>218</v>
      </c>
      <c r="N433" s="2" t="s">
        <v>982</v>
      </c>
      <c r="O433" s="2"/>
      <c r="P433" s="7">
        <v>1699.78616232523</v>
      </c>
      <c r="Q433" s="8">
        <v>1699.77507645795</v>
      </c>
      <c r="R433" s="9">
        <v>7632</v>
      </c>
      <c r="S433" s="2" t="s">
        <v>1542</v>
      </c>
      <c r="T433" s="9">
        <v>11053</v>
      </c>
      <c r="U433" s="9">
        <v>7578</v>
      </c>
      <c r="V433" s="9">
        <v>9059</v>
      </c>
      <c r="W433" s="9">
        <v>7731</v>
      </c>
      <c r="X433" s="9">
        <v>7705</v>
      </c>
      <c r="Y433" s="9">
        <v>6027</v>
      </c>
      <c r="Z433" s="9">
        <v>5133</v>
      </c>
      <c r="AA433" s="9">
        <v>5554</v>
      </c>
      <c r="AB433" s="9">
        <v>8271</v>
      </c>
      <c r="AC433" s="9">
        <v>9023</v>
      </c>
      <c r="AD433" s="9">
        <v>8279</v>
      </c>
      <c r="AE433" s="7">
        <v>0.0062285182738539696</v>
      </c>
      <c r="AF433" s="7">
        <v>0.0090205986007693105</v>
      </c>
      <c r="AG433" s="7">
        <v>0.0061851938275847198</v>
      </c>
      <c r="AH433" s="7">
        <v>0.0073934833883324202</v>
      </c>
      <c r="AI433" s="7">
        <v>0.0063098146048174803</v>
      </c>
      <c r="AJ433" s="7">
        <v>0.0062884961747789502</v>
      </c>
      <c r="AK433" s="7">
        <v>0.0049190517367522996</v>
      </c>
      <c r="AL433" s="7">
        <v>0.0041889519661453701</v>
      </c>
      <c r="AM433" s="7">
        <v>0.0045330099929827197</v>
      </c>
      <c r="AN433" s="7">
        <v>0.0067502965679896504</v>
      </c>
      <c r="AO433" s="7">
        <v>0.0073643909953458198</v>
      </c>
      <c r="AP433" s="7">
        <v>0.0067567772599971898</v>
      </c>
      <c r="AQ433" s="9">
        <v>8586</v>
      </c>
    </row>
    <row r="434" spans="1:43" ht="15">
      <c r="A434" s="2" t="s">
        <v>1543</v>
      </c>
      <c r="B434" s="5">
        <v>4384250</v>
      </c>
      <c r="C434" s="2" t="s">
        <v>23</v>
      </c>
      <c r="D434" s="2" t="s">
        <v>1544</v>
      </c>
      <c r="E434" s="2" t="s">
        <v>1545</v>
      </c>
      <c r="F434" s="2" t="s">
        <v>26</v>
      </c>
      <c r="G434" s="2" t="s">
        <v>26</v>
      </c>
      <c r="H434" s="2" t="s">
        <v>27</v>
      </c>
      <c r="I434" s="2" t="s">
        <v>40</v>
      </c>
      <c r="J434" s="6"/>
      <c r="K434" s="2" t="s">
        <v>246</v>
      </c>
      <c r="L434" s="2" t="s">
        <v>247</v>
      </c>
      <c r="M434" s="2" t="s">
        <v>248</v>
      </c>
      <c r="N434" s="2" t="s">
        <v>246</v>
      </c>
      <c r="O434" s="2"/>
      <c r="P434" s="7">
        <v>1166.7212620765699</v>
      </c>
      <c r="Q434" s="8">
        <v>3448.79079164206</v>
      </c>
      <c r="R434" s="9">
        <v>424171</v>
      </c>
      <c r="S434" s="2" t="s">
        <v>1546</v>
      </c>
      <c r="T434" s="9">
        <v>259331</v>
      </c>
      <c r="U434" s="9">
        <v>207005</v>
      </c>
      <c r="V434" s="9">
        <v>204218</v>
      </c>
      <c r="W434" s="9">
        <v>399233</v>
      </c>
      <c r="X434" s="9">
        <v>397983</v>
      </c>
      <c r="Y434" s="9">
        <v>363213</v>
      </c>
      <c r="Z434" s="9">
        <v>319904</v>
      </c>
      <c r="AA434" s="9">
        <v>332607</v>
      </c>
      <c r="AB434" s="9">
        <v>218808</v>
      </c>
      <c r="AC434" s="9">
        <v>202975</v>
      </c>
      <c r="AD434" s="9">
        <v>276788</v>
      </c>
      <c r="AE434" s="7">
        <v>0.70223007528715797</v>
      </c>
      <c r="AF434" s="7">
        <v>0.42933218379140903</v>
      </c>
      <c r="AG434" s="7">
        <v>0.342703262645915</v>
      </c>
      <c r="AH434" s="7">
        <v>0.33809065667911298</v>
      </c>
      <c r="AI434" s="7">
        <v>0.66094408264467797</v>
      </c>
      <c r="AJ434" s="7">
        <v>0.65887446583200704</v>
      </c>
      <c r="AK434" s="7">
        <v>0.60131172962895496</v>
      </c>
      <c r="AL434" s="7">
        <v>0.52961161878917296</v>
      </c>
      <c r="AM434" s="7">
        <v>0.55064330611764301</v>
      </c>
      <c r="AN434" s="7">
        <v>0.36224516223104902</v>
      </c>
      <c r="AO434" s="7">
        <v>0.33603296154292001</v>
      </c>
      <c r="AP434" s="7">
        <v>0.458232579175609</v>
      </c>
      <c r="AQ434" s="9">
        <v>132555</v>
      </c>
    </row>
    <row r="435" spans="1:43" ht="15">
      <c r="A435" s="2" t="s">
        <v>1547</v>
      </c>
      <c r="B435" s="5">
        <v>5001142</v>
      </c>
      <c r="C435" s="2" t="s">
        <v>46</v>
      </c>
      <c r="D435" s="2" t="s">
        <v>1548</v>
      </c>
      <c r="E435" s="2" t="s">
        <v>1549</v>
      </c>
      <c r="F435" s="2" t="s">
        <v>49</v>
      </c>
      <c r="G435" s="2" t="s">
        <v>49</v>
      </c>
      <c r="H435" s="2" t="s">
        <v>50</v>
      </c>
      <c r="I435" s="2" t="s">
        <v>40</v>
      </c>
      <c r="J435" s="6"/>
      <c r="K435" s="2" t="s">
        <v>982</v>
      </c>
      <c r="L435" s="2" t="s">
        <v>217</v>
      </c>
      <c r="M435" s="2" t="s">
        <v>218</v>
      </c>
      <c r="N435" s="2" t="s">
        <v>982</v>
      </c>
      <c r="O435" s="2"/>
      <c r="P435" s="7">
        <v>287.56499232082098</v>
      </c>
      <c r="Q435" s="8">
        <v>389.12685051493298</v>
      </c>
      <c r="R435" s="9">
        <v>4545</v>
      </c>
      <c r="S435" s="2" t="s">
        <v>1550</v>
      </c>
      <c r="T435" s="9">
        <v>6914</v>
      </c>
      <c r="U435" s="9">
        <v>12207</v>
      </c>
      <c r="V435" s="9">
        <v>9019</v>
      </c>
      <c r="W435" s="9">
        <v>8422</v>
      </c>
      <c r="X435" s="9">
        <v>8408</v>
      </c>
      <c r="Y435" s="9">
        <v>12324</v>
      </c>
      <c r="Z435" s="9">
        <v>11721</v>
      </c>
      <c r="AA435" s="9">
        <v>11056</v>
      </c>
      <c r="AB435" s="9">
        <v>12507</v>
      </c>
      <c r="AC435" s="9">
        <v>9365</v>
      </c>
      <c r="AD435" s="9">
        <v>8559</v>
      </c>
      <c r="AE435" s="7">
        <v>0.059502723758454397</v>
      </c>
      <c r="AF435" s="7">
        <v>0.090519636784726104</v>
      </c>
      <c r="AG435" s="7">
        <v>0.15981401704725301</v>
      </c>
      <c r="AH435" s="7">
        <v>0.118074899213907</v>
      </c>
      <c r="AI435" s="7">
        <v>0.110257476374557</v>
      </c>
      <c r="AJ435" s="7">
        <v>0.110074357064887</v>
      </c>
      <c r="AK435" s="7">
        <v>0.16134006175281901</v>
      </c>
      <c r="AL435" s="7">
        <v>0.15344458540356801</v>
      </c>
      <c r="AM435" s="7">
        <v>0.14474314607050401</v>
      </c>
      <c r="AN435" s="7">
        <v>0.16374610939808901</v>
      </c>
      <c r="AO435" s="7">
        <v>0.122608083167721</v>
      </c>
      <c r="AP435" s="7">
        <v>0.112047942832153</v>
      </c>
      <c r="AQ435" s="9">
        <v>6748</v>
      </c>
    </row>
    <row r="436" spans="1:43" ht="15">
      <c r="A436" s="2" t="s">
        <v>1551</v>
      </c>
      <c r="B436" s="5">
        <v>4408713</v>
      </c>
      <c r="C436" s="2" t="s">
        <v>46</v>
      </c>
      <c r="D436" s="2" t="s">
        <v>1552</v>
      </c>
      <c r="E436" s="2" t="s">
        <v>1553</v>
      </c>
      <c r="F436" s="2" t="s">
        <v>49</v>
      </c>
      <c r="G436" s="2" t="s">
        <v>49</v>
      </c>
      <c r="H436" s="2" t="s">
        <v>50</v>
      </c>
      <c r="I436" s="2" t="s">
        <v>40</v>
      </c>
      <c r="J436" s="6"/>
      <c r="K436" s="2" t="s">
        <v>41</v>
      </c>
      <c r="L436" s="2" t="s">
        <v>42</v>
      </c>
      <c r="M436" s="2" t="s">
        <v>43</v>
      </c>
      <c r="N436" s="2" t="s">
        <v>41</v>
      </c>
      <c r="O436" s="2"/>
      <c r="P436" s="7">
        <v>505.07420628</v>
      </c>
      <c r="Q436" s="8">
        <v>480.32645009250001</v>
      </c>
      <c r="R436" s="9">
        <v>7997</v>
      </c>
      <c r="S436" s="2" t="s">
        <v>1554</v>
      </c>
      <c r="T436" s="9">
        <v>10986</v>
      </c>
      <c r="U436" s="9">
        <v>20570</v>
      </c>
      <c r="V436" s="9">
        <v>22414</v>
      </c>
      <c r="W436" s="9">
        <v>30558</v>
      </c>
      <c r="X436" s="9">
        <v>30493</v>
      </c>
      <c r="Y436" s="9">
        <v>33979</v>
      </c>
      <c r="Z436" s="9">
        <v>30492</v>
      </c>
      <c r="AA436" s="9">
        <v>41037</v>
      </c>
      <c r="AB436" s="9">
        <v>18468</v>
      </c>
      <c r="AC436" s="9">
        <v>20678</v>
      </c>
      <c r="AD436" s="9">
        <v>30498</v>
      </c>
      <c r="AE436" s="7">
        <v>0.00571178571428571</v>
      </c>
      <c r="AF436" s="7">
        <v>0.0078473809523809494</v>
      </c>
      <c r="AG436" s="7">
        <v>0.0146930654761905</v>
      </c>
      <c r="AH436" s="7">
        <v>0.016010122767857099</v>
      </c>
      <c r="AI436" s="7">
        <v>0.0218272030981067</v>
      </c>
      <c r="AJ436" s="7">
        <v>0.021780442857142899</v>
      </c>
      <c r="AK436" s="7">
        <v>0.024270678499856899</v>
      </c>
      <c r="AL436" s="7">
        <v>0.021779899047619001</v>
      </c>
      <c r="AM436" s="7">
        <v>0.0293121930625285</v>
      </c>
      <c r="AN436" s="7">
        <v>0.013191768707483001</v>
      </c>
      <c r="AO436" s="7">
        <v>0.0147701522248244</v>
      </c>
      <c r="AP436" s="7">
        <v>0.021784308755760401</v>
      </c>
      <c r="AQ436" s="9">
        <v>13047</v>
      </c>
    </row>
    <row r="437" spans="1:43" ht="15">
      <c r="A437" s="2" t="s">
        <v>1555</v>
      </c>
      <c r="B437" s="5">
        <v>4910495</v>
      </c>
      <c r="C437" s="2" t="s">
        <v>23</v>
      </c>
      <c r="D437" s="2" t="s">
        <v>1556</v>
      </c>
      <c r="E437" s="2" t="s">
        <v>1557</v>
      </c>
      <c r="F437" s="2" t="s">
        <v>26</v>
      </c>
      <c r="G437" s="2" t="s">
        <v>26</v>
      </c>
      <c r="H437" s="2" t="s">
        <v>27</v>
      </c>
      <c r="I437" s="2" t="s">
        <v>40</v>
      </c>
      <c r="J437" s="10">
        <v>40681</v>
      </c>
      <c r="K437" s="2" t="s">
        <v>211</v>
      </c>
      <c r="L437" s="2" t="s">
        <v>30</v>
      </c>
      <c r="M437" s="2" t="s">
        <v>189</v>
      </c>
      <c r="N437" s="2" t="s">
        <v>211</v>
      </c>
      <c r="O437" s="2"/>
      <c r="P437" s="7">
        <v>1067.66619238677</v>
      </c>
      <c r="Q437" s="8">
        <v>882.24945740940802</v>
      </c>
      <c r="R437" s="9">
        <v>0</v>
      </c>
      <c r="S437" s="2" t="s">
        <v>1558</v>
      </c>
      <c r="T437" s="9">
        <v>0</v>
      </c>
      <c r="U437" s="9">
        <v>0</v>
      </c>
      <c r="V437" s="9">
        <v>0</v>
      </c>
      <c r="W437" s="9">
        <v>0</v>
      </c>
      <c r="X437" s="9">
        <v>0</v>
      </c>
      <c r="Y437" s="9">
        <v>0</v>
      </c>
      <c r="Z437" s="9">
        <v>0</v>
      </c>
      <c r="AA437" s="9">
        <v>0</v>
      </c>
      <c r="AB437" s="9">
        <v>0</v>
      </c>
      <c r="AC437" s="9">
        <v>0</v>
      </c>
      <c r="AD437" s="9">
        <v>0</v>
      </c>
      <c r="AE437" s="7">
        <v>0</v>
      </c>
      <c r="AF437" s="7">
        <v>0</v>
      </c>
      <c r="AG437" s="7">
        <v>0</v>
      </c>
      <c r="AH437" s="7">
        <v>0</v>
      </c>
      <c r="AI437" s="7">
        <v>0</v>
      </c>
      <c r="AJ437" s="7">
        <v>0</v>
      </c>
      <c r="AK437" s="7">
        <v>0</v>
      </c>
      <c r="AL437" s="7">
        <v>0</v>
      </c>
      <c r="AM437" s="7">
        <v>0</v>
      </c>
      <c r="AN437" s="7">
        <v>0</v>
      </c>
      <c r="AO437" s="7">
        <v>0</v>
      </c>
      <c r="AP437" s="7">
        <v>0</v>
      </c>
      <c r="AQ437" s="9">
        <v>0</v>
      </c>
    </row>
    <row r="438" spans="1:43" ht="15">
      <c r="A438" s="2" t="s">
        <v>1559</v>
      </c>
      <c r="B438" s="5">
        <v>4149766</v>
      </c>
      <c r="C438" s="2" t="s">
        <v>23</v>
      </c>
      <c r="D438" s="2" t="s">
        <v>1560</v>
      </c>
      <c r="E438" s="2" t="s">
        <v>1561</v>
      </c>
      <c r="F438" s="2" t="s">
        <v>26</v>
      </c>
      <c r="G438" s="2" t="s">
        <v>26</v>
      </c>
      <c r="H438" s="2" t="s">
        <v>27</v>
      </c>
      <c r="I438" s="2" t="s">
        <v>28</v>
      </c>
      <c r="J438" s="6"/>
      <c r="K438" s="2" t="s">
        <v>1562</v>
      </c>
      <c r="L438" s="2" t="s">
        <v>42</v>
      </c>
      <c r="M438" s="2" t="s">
        <v>1562</v>
      </c>
      <c r="N438" s="2"/>
      <c r="O438" s="2"/>
      <c r="P438" s="7">
        <v>2818.2752</v>
      </c>
      <c r="Q438" s="8">
        <v>8459.7965984522398</v>
      </c>
      <c r="R438" s="9">
        <v>1828698</v>
      </c>
      <c r="S438" s="2" t="s">
        <v>1563</v>
      </c>
      <c r="T438" s="9">
        <v>3256642</v>
      </c>
      <c r="U438" s="9">
        <v>8142227</v>
      </c>
      <c r="V438" s="9">
        <v>5111418</v>
      </c>
      <c r="W438" s="9">
        <v>3889978</v>
      </c>
      <c r="X438" s="9">
        <v>3881486</v>
      </c>
      <c r="Y438" s="9">
        <v>3316237</v>
      </c>
      <c r="Z438" s="9">
        <v>2942574</v>
      </c>
      <c r="AA438" s="9">
        <v>2699710</v>
      </c>
      <c r="AB438" s="9">
        <v>8697945</v>
      </c>
      <c r="AC438" s="9">
        <v>5220398</v>
      </c>
      <c r="AD438" s="9">
        <v>4412847</v>
      </c>
      <c r="AE438" s="7">
        <v>0.3657396</v>
      </c>
      <c r="AF438" s="7">
        <v>0.65132829999999997</v>
      </c>
      <c r="AG438" s="7">
        <v>1.6284454749999999</v>
      </c>
      <c r="AH438" s="7">
        <v>1.022283528125</v>
      </c>
      <c r="AI438" s="7">
        <v>0.77799557349397597</v>
      </c>
      <c r="AJ438" s="7">
        <v>0.77629716959999995</v>
      </c>
      <c r="AK438" s="7">
        <v>0.66324744587525097</v>
      </c>
      <c r="AL438" s="7">
        <v>0.58851489383377997</v>
      </c>
      <c r="AM438" s="7">
        <v>0.53994197445783099</v>
      </c>
      <c r="AN438" s="7">
        <v>1.73958896190476</v>
      </c>
      <c r="AO438" s="7">
        <v>1.0440796852459</v>
      </c>
      <c r="AP438" s="7">
        <v>0.882569488709677</v>
      </c>
      <c r="AQ438" s="9">
        <v>1857502</v>
      </c>
    </row>
    <row r="439" spans="1:43" ht="15">
      <c r="A439" s="2" t="s">
        <v>1564</v>
      </c>
      <c r="B439" s="5">
        <v>4439968</v>
      </c>
      <c r="C439" s="2" t="s">
        <v>23</v>
      </c>
      <c r="D439" s="2" t="s">
        <v>1565</v>
      </c>
      <c r="E439" s="2" t="s">
        <v>1566</v>
      </c>
      <c r="F439" s="2" t="s">
        <v>26</v>
      </c>
      <c r="G439" s="2" t="s">
        <v>26</v>
      </c>
      <c r="H439" s="2" t="s">
        <v>27</v>
      </c>
      <c r="I439" s="2" t="s">
        <v>40</v>
      </c>
      <c r="J439" s="6"/>
      <c r="K439" s="2" t="s">
        <v>1567</v>
      </c>
      <c r="L439" s="2" t="s">
        <v>217</v>
      </c>
      <c r="M439" s="2" t="s">
        <v>1482</v>
      </c>
      <c r="N439" s="2" t="s">
        <v>1567</v>
      </c>
      <c r="O439" s="2"/>
      <c r="P439" s="7">
        <v>8122.7649625956601</v>
      </c>
      <c r="Q439" s="8">
        <v>18773.6221699251</v>
      </c>
      <c r="R439" s="9">
        <v>838618</v>
      </c>
      <c r="S439" s="2" t="s">
        <v>1568</v>
      </c>
      <c r="T439" s="9">
        <v>731141</v>
      </c>
      <c r="U439" s="9">
        <v>924100</v>
      </c>
      <c r="V439" s="9">
        <v>675473</v>
      </c>
      <c r="W439" s="9">
        <v>739048</v>
      </c>
      <c r="X439" s="9">
        <v>737572</v>
      </c>
      <c r="Y439" s="9">
        <v>925028</v>
      </c>
      <c r="Z439" s="9">
        <v>814223</v>
      </c>
      <c r="AA439" s="9">
        <v>759723</v>
      </c>
      <c r="AB439" s="9">
        <v>920415</v>
      </c>
      <c r="AC439" s="9">
        <v>675130</v>
      </c>
      <c r="AD439" s="9">
        <v>721425</v>
      </c>
      <c r="AE439" s="7">
        <v>0.32258165073339801</v>
      </c>
      <c r="AF439" s="7">
        <v>0.28123956696809599</v>
      </c>
      <c r="AG439" s="7">
        <v>0.35546315191070099</v>
      </c>
      <c r="AH439" s="7">
        <v>0.25982639237261401</v>
      </c>
      <c r="AI439" s="7">
        <v>0.284281156986884</v>
      </c>
      <c r="AJ439" s="7">
        <v>0.28371327789460798</v>
      </c>
      <c r="AK439" s="7">
        <v>0.355820149205609</v>
      </c>
      <c r="AL439" s="7">
        <v>0.31319791274283598</v>
      </c>
      <c r="AM439" s="7">
        <v>0.292233954073639</v>
      </c>
      <c r="AN439" s="7">
        <v>0.35404559098518301</v>
      </c>
      <c r="AO439" s="7">
        <v>0.25969444825527199</v>
      </c>
      <c r="AP439" s="7">
        <v>0.27750217512245301</v>
      </c>
      <c r="AQ439" s="9">
        <v>852456</v>
      </c>
    </row>
    <row r="440" spans="1:43" ht="15">
      <c r="A440" s="2" t="s">
        <v>1569</v>
      </c>
      <c r="B440" s="5">
        <v>5000758</v>
      </c>
      <c r="C440" s="2" t="s">
        <v>23</v>
      </c>
      <c r="D440" s="2" t="s">
        <v>1570</v>
      </c>
      <c r="E440" s="2" t="s">
        <v>1571</v>
      </c>
      <c r="F440" s="2" t="s">
        <v>26</v>
      </c>
      <c r="G440" s="2" t="s">
        <v>26</v>
      </c>
      <c r="H440" s="2" t="s">
        <v>27</v>
      </c>
      <c r="I440" s="2" t="s">
        <v>28</v>
      </c>
      <c r="J440" s="6"/>
      <c r="K440" s="2" t="s">
        <v>1572</v>
      </c>
      <c r="L440" s="2" t="s">
        <v>217</v>
      </c>
      <c r="M440" s="2" t="s">
        <v>218</v>
      </c>
      <c r="N440" s="2" t="s">
        <v>1572</v>
      </c>
      <c r="O440" s="2"/>
      <c r="P440" s="7">
        <v>264.26923192319998</v>
      </c>
      <c r="Q440" s="8">
        <v>616.44711412806396</v>
      </c>
      <c r="R440" s="9">
        <v>163</v>
      </c>
      <c r="S440" s="2" t="s">
        <v>1573</v>
      </c>
      <c r="T440" s="9">
        <v>266</v>
      </c>
      <c r="U440" s="9">
        <v>2534</v>
      </c>
      <c r="V440" s="9">
        <v>4582</v>
      </c>
      <c r="W440" s="9">
        <v>5722</v>
      </c>
      <c r="X440" s="9">
        <v>5700</v>
      </c>
      <c r="Y440" s="9">
        <v>8203</v>
      </c>
      <c r="Z440" s="9">
        <v>7556</v>
      </c>
      <c r="AA440" s="9">
        <v>6931</v>
      </c>
      <c r="AB440" s="9">
        <v>2762</v>
      </c>
      <c r="AC440" s="9">
        <v>4547</v>
      </c>
      <c r="AD440" s="9">
        <v>3982</v>
      </c>
      <c r="AE440" s="7">
        <v>0.00048363095238095202</v>
      </c>
      <c r="AF440" s="7">
        <v>0.00079216269841269802</v>
      </c>
      <c r="AG440" s="7">
        <v>0.0075416666666666696</v>
      </c>
      <c r="AH440" s="7">
        <v>0.013638253348214301</v>
      </c>
      <c r="AI440" s="7">
        <v>0.0170311723082807</v>
      </c>
      <c r="AJ440" s="7">
        <v>0.0169632976190476</v>
      </c>
      <c r="AK440" s="7">
        <v>0.0244135527450417</v>
      </c>
      <c r="AL440" s="7">
        <v>0.022488047363717598</v>
      </c>
      <c r="AM440" s="7">
        <v>0.020627125167335999</v>
      </c>
      <c r="AN440" s="7">
        <v>0.0082210884353741496</v>
      </c>
      <c r="AO440" s="7">
        <v>0.013533909055425401</v>
      </c>
      <c r="AP440" s="7">
        <v>0.0118514304915515</v>
      </c>
      <c r="AQ440" s="9">
        <v>179</v>
      </c>
    </row>
    <row r="441" spans="1:43" ht="15">
      <c r="A441" s="2" t="s">
        <v>1574</v>
      </c>
      <c r="B441" s="5">
        <v>4558738</v>
      </c>
      <c r="C441" s="2" t="s">
        <v>23</v>
      </c>
      <c r="D441" s="2" t="s">
        <v>1575</v>
      </c>
      <c r="E441" s="2" t="s">
        <v>1576</v>
      </c>
      <c r="F441" s="2" t="s">
        <v>26</v>
      </c>
      <c r="G441" s="2" t="s">
        <v>26</v>
      </c>
      <c r="H441" s="2" t="s">
        <v>27</v>
      </c>
      <c r="I441" s="2" t="s">
        <v>28</v>
      </c>
      <c r="J441" s="10">
        <v>40149</v>
      </c>
      <c r="K441" s="2" t="s">
        <v>29</v>
      </c>
      <c r="L441" s="2" t="s">
        <v>30</v>
      </c>
      <c r="M441" s="2" t="s">
        <v>31</v>
      </c>
      <c r="N441" s="2" t="s">
        <v>32</v>
      </c>
      <c r="O441" s="2" t="s">
        <v>29</v>
      </c>
      <c r="P441" s="7">
        <v>93.315070778779699</v>
      </c>
      <c r="Q441" s="8">
        <v>286.75143808107202</v>
      </c>
      <c r="R441" s="9">
        <v>38635</v>
      </c>
      <c r="S441" s="2" t="s">
        <v>1577</v>
      </c>
      <c r="T441" s="9">
        <v>30678</v>
      </c>
      <c r="U441" s="9">
        <v>169654</v>
      </c>
      <c r="V441" s="9">
        <v>235564</v>
      </c>
      <c r="W441" s="9">
        <v>551520</v>
      </c>
      <c r="X441" s="9">
        <v>555460</v>
      </c>
      <c r="Y441" s="9">
        <v>668956</v>
      </c>
      <c r="Z441" s="9">
        <v>537076</v>
      </c>
      <c r="AA441" s="9">
        <v>450042</v>
      </c>
      <c r="AB441" s="9">
        <v>160627</v>
      </c>
      <c r="AC441" s="9">
        <v>225206</v>
      </c>
      <c r="AD441" s="9">
        <v>581058</v>
      </c>
      <c r="AE441" s="7">
        <v>0.028462000076866199</v>
      </c>
      <c r="AF441" s="7">
        <v>0.022600038687496299</v>
      </c>
      <c r="AG441" s="7">
        <v>0.124982203115672</v>
      </c>
      <c r="AH441" s="7">
        <v>0.173537809223682</v>
      </c>
      <c r="AI441" s="7">
        <v>0.40629909364409</v>
      </c>
      <c r="AJ441" s="7">
        <v>0.40920170900479103</v>
      </c>
      <c r="AK441" s="7">
        <v>0.49281273299836698</v>
      </c>
      <c r="AL441" s="7">
        <v>0.39565853580558302</v>
      </c>
      <c r="AM441" s="7">
        <v>0.331541477200685</v>
      </c>
      <c r="AN441" s="7">
        <v>0.118332019007293</v>
      </c>
      <c r="AO441" s="7">
        <v>0.165906757867963</v>
      </c>
      <c r="AP441" s="7">
        <v>0.42805915609244</v>
      </c>
      <c r="AQ441" s="9">
        <v>19270</v>
      </c>
    </row>
    <row r="442" spans="1:43" ht="15">
      <c r="A442" s="2" t="s">
        <v>1578</v>
      </c>
      <c r="B442" s="5">
        <v>4912611</v>
      </c>
      <c r="C442" s="2" t="s">
        <v>23</v>
      </c>
      <c r="D442" s="2" t="s">
        <v>1579</v>
      </c>
      <c r="E442" s="2" t="s">
        <v>1580</v>
      </c>
      <c r="F442" s="2" t="s">
        <v>26</v>
      </c>
      <c r="G442" s="2" t="s">
        <v>26</v>
      </c>
      <c r="H442" s="2" t="s">
        <v>27</v>
      </c>
      <c r="I442" s="2" t="s">
        <v>40</v>
      </c>
      <c r="J442" s="6"/>
      <c r="K442" s="2" t="s">
        <v>211</v>
      </c>
      <c r="L442" s="2" t="s">
        <v>30</v>
      </c>
      <c r="M442" s="2" t="s">
        <v>189</v>
      </c>
      <c r="N442" s="2" t="s">
        <v>211</v>
      </c>
      <c r="O442" s="2"/>
      <c r="P442" s="7">
        <v>137.28009644011101</v>
      </c>
      <c r="Q442" s="8">
        <v>347.804370018496</v>
      </c>
      <c r="R442" s="9">
        <v>2037</v>
      </c>
      <c r="S442" s="2" t="s">
        <v>1581</v>
      </c>
      <c r="T442" s="9">
        <v>7147</v>
      </c>
      <c r="U442" s="9">
        <v>19721</v>
      </c>
      <c r="V442" s="9">
        <v>165742</v>
      </c>
      <c r="W442" s="9">
        <v>796525</v>
      </c>
      <c r="X442" s="9">
        <v>793439</v>
      </c>
      <c r="Y442" s="9">
        <v>477456</v>
      </c>
      <c r="Z442" s="9">
        <v>403156</v>
      </c>
      <c r="AA442" s="9">
        <v>324172</v>
      </c>
      <c r="AB442" s="9">
        <v>15941</v>
      </c>
      <c r="AC442" s="9">
        <v>87773</v>
      </c>
      <c r="AD442" s="9">
        <v>1268246</v>
      </c>
      <c r="AE442" s="7">
        <v>0.00025559209755711599</v>
      </c>
      <c r="AF442" s="7">
        <v>0.000897030158903294</v>
      </c>
      <c r="AG442" s="7">
        <v>0.0024750692401523302</v>
      </c>
      <c r="AH442" s="7">
        <v>0.0208014856982645</v>
      </c>
      <c r="AI442" s="7">
        <v>0.099968343448701993</v>
      </c>
      <c r="AJ442" s="7">
        <v>0.099581020632116005</v>
      </c>
      <c r="AK442" s="7">
        <v>0.059923420750192198</v>
      </c>
      <c r="AL442" s="7">
        <v>0.050598287408323603</v>
      </c>
      <c r="AM442" s="7">
        <v>0.040685355923320302</v>
      </c>
      <c r="AN442" s="7">
        <v>0.0020006305365517299</v>
      </c>
      <c r="AO442" s="7">
        <v>0.011015945027229201</v>
      </c>
      <c r="AP442" s="7">
        <v>0.159171900304731</v>
      </c>
      <c r="AQ442" s="9">
        <v>2033</v>
      </c>
    </row>
    <row r="443" spans="1:43" ht="15">
      <c r="A443" s="2" t="s">
        <v>1582</v>
      </c>
      <c r="B443" s="5">
        <v>4980567</v>
      </c>
      <c r="C443" s="2" t="s">
        <v>23</v>
      </c>
      <c r="D443" s="2" t="s">
        <v>1583</v>
      </c>
      <c r="E443" s="2" t="s">
        <v>1584</v>
      </c>
      <c r="F443" s="2" t="s">
        <v>26</v>
      </c>
      <c r="G443" s="2" t="s">
        <v>26</v>
      </c>
      <c r="H443" s="2" t="s">
        <v>27</v>
      </c>
      <c r="I443" s="2" t="s">
        <v>28</v>
      </c>
      <c r="J443" s="10">
        <v>42703</v>
      </c>
      <c r="K443" s="2" t="s">
        <v>1585</v>
      </c>
      <c r="L443" s="2" t="s">
        <v>217</v>
      </c>
      <c r="M443" s="2" t="s">
        <v>1482</v>
      </c>
      <c r="N443" s="2" t="s">
        <v>1585</v>
      </c>
      <c r="O443" s="2"/>
      <c r="P443" s="7">
        <v>1022.44754674918</v>
      </c>
      <c r="Q443" s="8">
        <v>1278.0981885441099</v>
      </c>
      <c r="R443" s="9">
        <v>1021</v>
      </c>
      <c r="S443" s="2" t="s">
        <v>1586</v>
      </c>
      <c r="T443" s="9">
        <v>8287</v>
      </c>
      <c r="U443" s="9">
        <v>6632</v>
      </c>
      <c r="V443" s="9">
        <v>5002</v>
      </c>
      <c r="W443" s="9">
        <v>8962</v>
      </c>
      <c r="X443" s="9">
        <v>8960</v>
      </c>
      <c r="Y443" s="9">
        <v>11942</v>
      </c>
      <c r="Z443" s="9">
        <v>11305</v>
      </c>
      <c r="AA443" s="9">
        <v>10999</v>
      </c>
      <c r="AB443" s="9">
        <v>7099</v>
      </c>
      <c r="AC443" s="9">
        <v>4950</v>
      </c>
      <c r="AD443" s="9">
        <v>4633</v>
      </c>
      <c r="AE443" s="7">
        <v>0.00449264520301936</v>
      </c>
      <c r="AF443" s="7">
        <v>0.036481188877041097</v>
      </c>
      <c r="AG443" s="7">
        <v>0.0291968742576918</v>
      </c>
      <c r="AH443" s="7">
        <v>0.022021679445428401</v>
      </c>
      <c r="AI443" s="7">
        <v>0.0394556704427763</v>
      </c>
      <c r="AJ443" s="7">
        <v>0.039447177036151103</v>
      </c>
      <c r="AK443" s="7">
        <v>0.052574973024311397</v>
      </c>
      <c r="AL443" s="7">
        <v>0.049769264761893202</v>
      </c>
      <c r="AM443" s="7">
        <v>0.048422332878881799</v>
      </c>
      <c r="AN443" s="7">
        <v>0.031253029071245601</v>
      </c>
      <c r="AO443" s="7">
        <v>0.0217934483617989</v>
      </c>
      <c r="AP443" s="7">
        <v>0.020394916429407502</v>
      </c>
      <c r="AQ443" s="9">
        <v>1597</v>
      </c>
    </row>
    <row r="444" spans="1:43" ht="15">
      <c r="A444" s="2" t="s">
        <v>1587</v>
      </c>
      <c r="B444" s="5">
        <v>5268305</v>
      </c>
      <c r="C444" s="2" t="s">
        <v>23</v>
      </c>
      <c r="D444" s="2" t="s">
        <v>1588</v>
      </c>
      <c r="E444" s="2" t="s">
        <v>1589</v>
      </c>
      <c r="F444" s="2" t="s">
        <v>26</v>
      </c>
      <c r="G444" s="2" t="s">
        <v>26</v>
      </c>
      <c r="H444" s="2" t="s">
        <v>27</v>
      </c>
      <c r="I444" s="2" t="s">
        <v>40</v>
      </c>
      <c r="J444" s="10">
        <v>42958</v>
      </c>
      <c r="K444" s="2" t="s">
        <v>1590</v>
      </c>
      <c r="L444" s="2" t="s">
        <v>30</v>
      </c>
      <c r="M444" s="2" t="s">
        <v>31</v>
      </c>
      <c r="N444" s="2" t="s">
        <v>32</v>
      </c>
      <c r="O444" s="2" t="s">
        <v>1590</v>
      </c>
      <c r="P444" s="7">
        <v>269.52629968144402</v>
      </c>
      <c r="Q444" s="8">
        <v>409.45368475865598</v>
      </c>
      <c r="R444" s="9">
        <v>80</v>
      </c>
      <c r="S444" s="2" t="s">
        <v>1591</v>
      </c>
      <c r="T444" s="9">
        <v>160123</v>
      </c>
      <c r="U444" s="9">
        <v>40757</v>
      </c>
      <c r="V444" s="9">
        <v>26193</v>
      </c>
      <c r="W444" s="9">
        <v>31574</v>
      </c>
      <c r="X444" s="9">
        <v>31447</v>
      </c>
      <c r="Y444" s="9">
        <v>66822</v>
      </c>
      <c r="Z444" s="9">
        <v>55845</v>
      </c>
      <c r="AA444" s="9">
        <v>73565</v>
      </c>
      <c r="AB444" s="9">
        <v>46522</v>
      </c>
      <c r="AC444" s="9">
        <v>16164</v>
      </c>
      <c r="AD444" s="9">
        <v>16633</v>
      </c>
      <c r="AE444" s="7">
        <v>9.3303274781430802E-05</v>
      </c>
      <c r="AF444" s="7">
        <v>0.18674961458419301</v>
      </c>
      <c r="AG444" s="7">
        <v>0.047534082269234203</v>
      </c>
      <c r="AH444" s="7">
        <v>0.030548148202091299</v>
      </c>
      <c r="AI444" s="7">
        <v>0.036824142101407699</v>
      </c>
      <c r="AJ444" s="7">
        <v>0.036676845533002003</v>
      </c>
      <c r="AK444" s="7">
        <v>0.077933850603146504</v>
      </c>
      <c r="AL444" s="7">
        <v>0.065131306194101596</v>
      </c>
      <c r="AM444" s="7">
        <v>0.085797632421838896</v>
      </c>
      <c r="AN444" s="7">
        <v>0.054257798103626603</v>
      </c>
      <c r="AO444" s="7">
        <v>0.018851544279117699</v>
      </c>
      <c r="AP444" s="7">
        <v>0.019398390405959198</v>
      </c>
      <c r="AQ444" s="9">
        <v>0</v>
      </c>
    </row>
    <row r="445" spans="1:43" ht="15">
      <c r="A445" s="2" t="s">
        <v>1592</v>
      </c>
      <c r="B445" s="5">
        <v>4635154</v>
      </c>
      <c r="C445" s="2" t="s">
        <v>23</v>
      </c>
      <c r="D445" s="2" t="s">
        <v>1593</v>
      </c>
      <c r="E445" s="2" t="s">
        <v>1594</v>
      </c>
      <c r="F445" s="2" t="s">
        <v>26</v>
      </c>
      <c r="G445" s="2" t="s">
        <v>26</v>
      </c>
      <c r="H445" s="2" t="s">
        <v>27</v>
      </c>
      <c r="I445" s="2" t="s">
        <v>40</v>
      </c>
      <c r="J445" s="6"/>
      <c r="K445" s="2" t="s">
        <v>1595</v>
      </c>
      <c r="L445" s="2" t="s">
        <v>42</v>
      </c>
      <c r="M445" s="2" t="s">
        <v>1596</v>
      </c>
      <c r="N445" s="2" t="s">
        <v>1595</v>
      </c>
      <c r="O445" s="2"/>
      <c r="P445" s="7">
        <v>3311.5535724480001</v>
      </c>
      <c r="Q445" s="8">
        <v>3688.8454019629098</v>
      </c>
      <c r="R445" s="9">
        <v>0</v>
      </c>
      <c r="S445" s="2" t="s">
        <v>1597</v>
      </c>
      <c r="T445" s="9">
        <v>61</v>
      </c>
      <c r="U445" s="9">
        <v>390</v>
      </c>
      <c r="V445" s="9">
        <v>1406</v>
      </c>
      <c r="W445" s="9">
        <v>3213</v>
      </c>
      <c r="X445" s="9">
        <v>3201</v>
      </c>
      <c r="Y445" s="9">
        <v>4184</v>
      </c>
      <c r="Z445" s="9">
        <v>3511</v>
      </c>
      <c r="AA445" s="9">
        <v>14561</v>
      </c>
      <c r="AB445" s="9">
        <v>428</v>
      </c>
      <c r="AC445" s="9">
        <v>795</v>
      </c>
      <c r="AD445" s="9">
        <v>1421</v>
      </c>
      <c r="AE445" s="7">
        <v>0</v>
      </c>
      <c r="AF445" s="7">
        <v>0.00024661246612466101</v>
      </c>
      <c r="AG445" s="7">
        <v>0.00158367208672087</v>
      </c>
      <c r="AH445" s="7">
        <v>0.0057150025406504101</v>
      </c>
      <c r="AI445" s="7">
        <v>0.0130627550853822</v>
      </c>
      <c r="AJ445" s="7">
        <v>0.013010504065040601</v>
      </c>
      <c r="AK445" s="7">
        <v>0.0170082527686444</v>
      </c>
      <c r="AL445" s="7">
        <v>0.014274134135443199</v>
      </c>
      <c r="AM445" s="7">
        <v>0.059192686191922202</v>
      </c>
      <c r="AN445" s="7">
        <v>0.00174157955865273</v>
      </c>
      <c r="AO445" s="7">
        <v>0.0032316406770625098</v>
      </c>
      <c r="AP445" s="7">
        <v>0.0057772095462890099</v>
      </c>
      <c r="AQ445" s="9">
        <v>0</v>
      </c>
    </row>
    <row r="446" spans="1:43" ht="15">
      <c r="A446" s="2" t="s">
        <v>1598</v>
      </c>
      <c r="B446" s="5">
        <v>5001170</v>
      </c>
      <c r="C446" s="2" t="s">
        <v>23</v>
      </c>
      <c r="D446" s="2" t="s">
        <v>1599</v>
      </c>
      <c r="E446" s="2" t="s">
        <v>1600</v>
      </c>
      <c r="F446" s="2" t="s">
        <v>26</v>
      </c>
      <c r="G446" s="2" t="s">
        <v>26</v>
      </c>
      <c r="H446" s="2" t="s">
        <v>27</v>
      </c>
      <c r="I446" s="2" t="s">
        <v>40</v>
      </c>
      <c r="J446" s="6"/>
      <c r="K446" s="2" t="s">
        <v>982</v>
      </c>
      <c r="L446" s="2" t="s">
        <v>217</v>
      </c>
      <c r="M446" s="2" t="s">
        <v>218</v>
      </c>
      <c r="N446" s="2" t="s">
        <v>982</v>
      </c>
      <c r="O446" s="2"/>
      <c r="P446" s="7">
        <v>9154.0536642393308</v>
      </c>
      <c r="Q446" s="8">
        <v>17929.461454702701</v>
      </c>
      <c r="R446" s="9">
        <v>40351504</v>
      </c>
      <c r="S446" s="2" t="s">
        <v>1601</v>
      </c>
      <c r="T446" s="9">
        <v>110033386</v>
      </c>
      <c r="U446" s="9">
        <v>68174300</v>
      </c>
      <c r="V446" s="9">
        <v>70866774</v>
      </c>
      <c r="W446" s="9">
        <v>98465834</v>
      </c>
      <c r="X446" s="9">
        <v>98377070</v>
      </c>
      <c r="Y446" s="9">
        <v>69554616</v>
      </c>
      <c r="Z446" s="9">
        <v>58058324</v>
      </c>
      <c r="AA446" s="9">
        <v>57707990</v>
      </c>
      <c r="AB446" s="9">
        <v>69994479</v>
      </c>
      <c r="AC446" s="9">
        <v>70339747</v>
      </c>
      <c r="AD446" s="9">
        <v>109716913</v>
      </c>
      <c r="AE446" s="7">
        <v>0.19590259111345801</v>
      </c>
      <c r="AF446" s="7">
        <v>0.53420128841758396</v>
      </c>
      <c r="AG446" s="7">
        <v>0.33097953285415899</v>
      </c>
      <c r="AH446" s="7">
        <v>0.34405123279584598</v>
      </c>
      <c r="AI446" s="7">
        <v>0.47804195659993898</v>
      </c>
      <c r="AJ446" s="7">
        <v>0.47761101971404901</v>
      </c>
      <c r="AK446" s="7">
        <v>0.33768083523201697</v>
      </c>
      <c r="AL446" s="7">
        <v>0.28186746419365899</v>
      </c>
      <c r="AM446" s="7">
        <v>0.28016662499549699</v>
      </c>
      <c r="AN446" s="7">
        <v>0.33981632320587002</v>
      </c>
      <c r="AO446" s="7">
        <v>0.34149256841892001</v>
      </c>
      <c r="AP446" s="7">
        <v>0.53266484067851305</v>
      </c>
      <c r="AQ446" s="9">
        <v>38890094</v>
      </c>
    </row>
    <row r="447" spans="1:43" ht="15">
      <c r="A447" s="2" t="s">
        <v>1602</v>
      </c>
      <c r="B447" s="5">
        <v>5001237</v>
      </c>
      <c r="C447" s="2" t="s">
        <v>23</v>
      </c>
      <c r="D447" s="2" t="s">
        <v>1603</v>
      </c>
      <c r="E447" s="2" t="s">
        <v>1604</v>
      </c>
      <c r="F447" s="2" t="s">
        <v>26</v>
      </c>
      <c r="G447" s="2" t="s">
        <v>26</v>
      </c>
      <c r="H447" s="2" t="s">
        <v>27</v>
      </c>
      <c r="I447" s="2" t="s">
        <v>40</v>
      </c>
      <c r="J447" s="6"/>
      <c r="K447" s="2" t="s">
        <v>982</v>
      </c>
      <c r="L447" s="2" t="s">
        <v>217</v>
      </c>
      <c r="M447" s="2" t="s">
        <v>218</v>
      </c>
      <c r="N447" s="2" t="s">
        <v>982</v>
      </c>
      <c r="O447" s="2"/>
      <c r="P447" s="7">
        <v>6094.5737066114898</v>
      </c>
      <c r="Q447" s="8">
        <v>9979.4255827681609</v>
      </c>
      <c r="R447" s="9">
        <v>45393816</v>
      </c>
      <c r="S447" s="2" t="s">
        <v>1605</v>
      </c>
      <c r="T447" s="9">
        <v>61204261</v>
      </c>
      <c r="U447" s="9">
        <v>73891608</v>
      </c>
      <c r="V447" s="9">
        <v>72290414</v>
      </c>
      <c r="W447" s="9">
        <v>66147162</v>
      </c>
      <c r="X447" s="9">
        <v>66306585</v>
      </c>
      <c r="Y447" s="9">
        <v>79697941</v>
      </c>
      <c r="Z447" s="9">
        <v>79362879</v>
      </c>
      <c r="AA447" s="9">
        <v>83609632</v>
      </c>
      <c r="AB447" s="9">
        <v>74864495</v>
      </c>
      <c r="AC447" s="9">
        <v>73485166</v>
      </c>
      <c r="AD447" s="9">
        <v>74333752</v>
      </c>
      <c r="AE447" s="7">
        <v>0.32814858672429598</v>
      </c>
      <c r="AF447" s="7">
        <v>0.44244113986723499</v>
      </c>
      <c r="AG447" s="7">
        <v>0.53415704855049495</v>
      </c>
      <c r="AH447" s="7">
        <v>0.52258213170299905</v>
      </c>
      <c r="AI447" s="7">
        <v>0.47817301288403002</v>
      </c>
      <c r="AJ447" s="7">
        <v>0.47932546688752697</v>
      </c>
      <c r="AK447" s="7">
        <v>0.57613060539836902</v>
      </c>
      <c r="AL447" s="7">
        <v>0.57370846731404002</v>
      </c>
      <c r="AM447" s="7">
        <v>0.60440793160159201</v>
      </c>
      <c r="AN447" s="7">
        <v>0.54118997340555997</v>
      </c>
      <c r="AO447" s="7">
        <v>0.53121890556923201</v>
      </c>
      <c r="AP447" s="7">
        <v>0.53735327654827703</v>
      </c>
      <c r="AQ447" s="9">
        <v>54814574</v>
      </c>
    </row>
    <row r="448" spans="1:43" ht="15">
      <c r="A448" s="2" t="s">
        <v>1606</v>
      </c>
      <c r="B448" s="5">
        <v>5001254</v>
      </c>
      <c r="C448" s="2" t="s">
        <v>23</v>
      </c>
      <c r="D448" s="2" t="s">
        <v>1607</v>
      </c>
      <c r="E448" s="2" t="s">
        <v>1608</v>
      </c>
      <c r="F448" s="2" t="s">
        <v>26</v>
      </c>
      <c r="G448" s="2" t="s">
        <v>26</v>
      </c>
      <c r="H448" s="2" t="s">
        <v>27</v>
      </c>
      <c r="I448" s="2" t="s">
        <v>40</v>
      </c>
      <c r="J448" s="6"/>
      <c r="K448" s="2" t="s">
        <v>982</v>
      </c>
      <c r="L448" s="2" t="s">
        <v>217</v>
      </c>
      <c r="M448" s="2" t="s">
        <v>218</v>
      </c>
      <c r="N448" s="2" t="s">
        <v>982</v>
      </c>
      <c r="O448" s="2"/>
      <c r="P448" s="7">
        <v>561.30717010512205</v>
      </c>
      <c r="Q448" s="8">
        <v>1014.91744387608</v>
      </c>
      <c r="R448" s="9">
        <v>150</v>
      </c>
      <c r="S448" s="2" t="s">
        <v>1609</v>
      </c>
      <c r="T448" s="9">
        <v>93</v>
      </c>
      <c r="U448" s="9">
        <v>608</v>
      </c>
      <c r="V448" s="9">
        <v>776</v>
      </c>
      <c r="W448" s="9">
        <v>672</v>
      </c>
      <c r="X448" s="9">
        <v>669</v>
      </c>
      <c r="Y448" s="9">
        <v>490</v>
      </c>
      <c r="Z448" s="9">
        <v>432</v>
      </c>
      <c r="AA448" s="9">
        <v>1366</v>
      </c>
      <c r="AB448" s="9">
        <v>495</v>
      </c>
      <c r="AC448" s="9">
        <v>814</v>
      </c>
      <c r="AD448" s="9">
        <v>990</v>
      </c>
      <c r="AE448" s="7">
        <v>6.5175329923450998E-05</v>
      </c>
      <c r="AF448" s="7">
        <v>4.0191453452794799E-05</v>
      </c>
      <c r="AG448" s="7">
        <v>0.000264231650064658</v>
      </c>
      <c r="AH448" s="7">
        <v>0.00033718728499772098</v>
      </c>
      <c r="AI448" s="7">
        <v>0.000292043062685909</v>
      </c>
      <c r="AJ448" s="7">
        <v>0.00029087489043516499</v>
      </c>
      <c r="AK448" s="7">
        <v>0.00021304858048337401</v>
      </c>
      <c r="AL448" s="7">
        <v>0.000187885507393804</v>
      </c>
      <c r="AM448" s="7">
        <v>0.00059368391251090604</v>
      </c>
      <c r="AN448" s="7">
        <v>0.000214871682938108</v>
      </c>
      <c r="AO448" s="7">
        <v>0.00035377026622711701</v>
      </c>
      <c r="AP448" s="7">
        <v>0.000430325371894579</v>
      </c>
      <c r="AQ448" s="9">
        <v>0</v>
      </c>
    </row>
    <row r="449" spans="1:43" ht="15">
      <c r="A449" s="2" t="s">
        <v>1610</v>
      </c>
      <c r="B449" s="5">
        <v>4157549</v>
      </c>
      <c r="C449" s="2" t="s">
        <v>23</v>
      </c>
      <c r="D449" s="2" t="s">
        <v>1611</v>
      </c>
      <c r="E449" s="2" t="s">
        <v>1612</v>
      </c>
      <c r="F449" s="2" t="s">
        <v>26</v>
      </c>
      <c r="G449" s="2" t="s">
        <v>26</v>
      </c>
      <c r="H449" s="2" t="s">
        <v>27</v>
      </c>
      <c r="I449" s="2" t="s">
        <v>40</v>
      </c>
      <c r="J449" s="6"/>
      <c r="K449" s="2" t="s">
        <v>1069</v>
      </c>
      <c r="L449" s="2" t="s">
        <v>217</v>
      </c>
      <c r="M449" s="2" t="s">
        <v>1069</v>
      </c>
      <c r="N449" s="2"/>
      <c r="O449" s="2"/>
      <c r="P449" s="7">
        <v>4782.5413394950601</v>
      </c>
      <c r="Q449" s="8">
        <v>5210.1892731355201</v>
      </c>
      <c r="R449" s="9">
        <v>74156</v>
      </c>
      <c r="S449" s="2" t="s">
        <v>1613</v>
      </c>
      <c r="T449" s="9">
        <v>107064</v>
      </c>
      <c r="U449" s="9">
        <v>177934</v>
      </c>
      <c r="V449" s="9">
        <v>377880</v>
      </c>
      <c r="W449" s="9">
        <v>284961</v>
      </c>
      <c r="X449" s="9">
        <v>284098</v>
      </c>
      <c r="Y449" s="9">
        <v>286116</v>
      </c>
      <c r="Z449" s="9">
        <v>293058</v>
      </c>
      <c r="AA449" s="9">
        <v>327423</v>
      </c>
      <c r="AB449" s="9">
        <v>172431</v>
      </c>
      <c r="AC449" s="9">
        <v>390402</v>
      </c>
      <c r="AD449" s="9">
        <v>268174</v>
      </c>
      <c r="AE449" s="7">
        <v>0.0045207400000013198</v>
      </c>
      <c r="AF449" s="7">
        <v>0.0065269062627003596</v>
      </c>
      <c r="AG449" s="7">
        <v>0.010847310572254</v>
      </c>
      <c r="AH449" s="7">
        <v>0.023036538024526002</v>
      </c>
      <c r="AI449" s="7">
        <v>0.017371928382267001</v>
      </c>
      <c r="AJ449" s="7">
        <v>0.017319345588124101</v>
      </c>
      <c r="AK449" s="7">
        <v>0.017442379223457899</v>
      </c>
      <c r="AL449" s="7">
        <v>0.017865541913652</v>
      </c>
      <c r="AM449" s="7">
        <v>0.019960521666816299</v>
      </c>
      <c r="AN449" s="7">
        <v>0.0105118564358051</v>
      </c>
      <c r="AO449" s="7">
        <v>0.0237999024614064</v>
      </c>
      <c r="AP449" s="7">
        <v>0.0163485927131083</v>
      </c>
      <c r="AQ449" s="9">
        <v>58247</v>
      </c>
    </row>
    <row r="450" spans="1:43" ht="15">
      <c r="A450" s="2" t="s">
        <v>1614</v>
      </c>
      <c r="B450" s="5">
        <v>5001024</v>
      </c>
      <c r="C450" s="2" t="s">
        <v>46</v>
      </c>
      <c r="D450" s="2" t="s">
        <v>1615</v>
      </c>
      <c r="E450" s="2" t="s">
        <v>1616</v>
      </c>
      <c r="F450" s="2" t="s">
        <v>49</v>
      </c>
      <c r="G450" s="2" t="s">
        <v>49</v>
      </c>
      <c r="H450" s="2" t="s">
        <v>50</v>
      </c>
      <c r="I450" s="2" t="s">
        <v>40</v>
      </c>
      <c r="J450" s="6"/>
      <c r="K450" s="2" t="s">
        <v>1617</v>
      </c>
      <c r="L450" s="2" t="s">
        <v>217</v>
      </c>
      <c r="M450" s="2" t="s">
        <v>218</v>
      </c>
      <c r="N450" s="2" t="s">
        <v>1617</v>
      </c>
      <c r="O450" s="2"/>
      <c r="P450" s="7">
        <v>328.91769835683999</v>
      </c>
      <c r="Q450" s="8">
        <v>382.02528308828698</v>
      </c>
      <c r="R450" s="9">
        <v>0</v>
      </c>
      <c r="S450" s="2" t="s">
        <v>1618</v>
      </c>
      <c r="T450" s="9">
        <v>0</v>
      </c>
      <c r="U450" s="9">
        <v>165</v>
      </c>
      <c r="V450" s="9">
        <v>62</v>
      </c>
      <c r="W450" s="9">
        <v>826</v>
      </c>
      <c r="X450" s="9">
        <v>823</v>
      </c>
      <c r="Y450" s="9">
        <v>506</v>
      </c>
      <c r="Z450" s="9">
        <v>410</v>
      </c>
      <c r="AA450" s="9">
        <v>451</v>
      </c>
      <c r="AB450" s="9">
        <v>188</v>
      </c>
      <c r="AC450" s="9">
        <v>65</v>
      </c>
      <c r="AD450" s="9">
        <v>59</v>
      </c>
      <c r="AE450" s="7">
        <v>0</v>
      </c>
      <c r="AF450" s="7">
        <v>0</v>
      </c>
      <c r="AG450" s="7">
        <v>0.00033030344735435798</v>
      </c>
      <c r="AH450" s="7">
        <v>0.00012386379275788401</v>
      </c>
      <c r="AI450" s="7">
        <v>0.00165722922931278</v>
      </c>
      <c r="AJ450" s="7">
        <v>0.0016506003123955299</v>
      </c>
      <c r="AK450" s="7">
        <v>0.00101426890842251</v>
      </c>
      <c r="AL450" s="7">
        <v>0.00082210730647330201</v>
      </c>
      <c r="AM450" s="7">
        <v>0.00090479303361830701</v>
      </c>
      <c r="AN450" s="7">
        <v>0.00037748965411926603</v>
      </c>
      <c r="AO450" s="7">
        <v>0.00012995545469679599</v>
      </c>
      <c r="AP450" s="7">
        <v>0.00011904095143831299</v>
      </c>
      <c r="AQ450" s="9">
        <v>0</v>
      </c>
    </row>
    <row r="451" spans="1:43" ht="15">
      <c r="A451" s="2" t="s">
        <v>1619</v>
      </c>
      <c r="B451" s="5">
        <v>5001191</v>
      </c>
      <c r="C451" s="2" t="s">
        <v>23</v>
      </c>
      <c r="D451" s="2" t="s">
        <v>1620</v>
      </c>
      <c r="E451" s="2" t="s">
        <v>1621</v>
      </c>
      <c r="F451" s="2" t="s">
        <v>26</v>
      </c>
      <c r="G451" s="2" t="s">
        <v>26</v>
      </c>
      <c r="H451" s="2" t="s">
        <v>27</v>
      </c>
      <c r="I451" s="2" t="s">
        <v>40</v>
      </c>
      <c r="J451" s="6"/>
      <c r="K451" s="2" t="s">
        <v>982</v>
      </c>
      <c r="L451" s="2" t="s">
        <v>217</v>
      </c>
      <c r="M451" s="2" t="s">
        <v>218</v>
      </c>
      <c r="N451" s="2" t="s">
        <v>982</v>
      </c>
      <c r="O451" s="2"/>
      <c r="P451" s="7">
        <v>3.3022055704</v>
      </c>
      <c r="Q451" s="8">
        <v>3.1967077740960002</v>
      </c>
      <c r="R451" s="9">
        <v>0</v>
      </c>
      <c r="S451" s="2" t="s">
        <v>1622</v>
      </c>
      <c r="T451" s="9">
        <v>0</v>
      </c>
      <c r="U451" s="9">
        <v>0</v>
      </c>
      <c r="V451" s="9">
        <v>0</v>
      </c>
      <c r="W451" s="9">
        <v>0</v>
      </c>
      <c r="X451" s="9">
        <v>0</v>
      </c>
      <c r="Y451" s="9">
        <v>2</v>
      </c>
      <c r="Z451" s="9">
        <v>2</v>
      </c>
      <c r="AA451" s="9">
        <v>1</v>
      </c>
      <c r="AB451" s="9">
        <v>0</v>
      </c>
      <c r="AC451" s="9">
        <v>0</v>
      </c>
      <c r="AD451" s="9">
        <v>0</v>
      </c>
      <c r="AE451" s="7">
        <v>0</v>
      </c>
      <c r="AF451" s="7">
        <v>0</v>
      </c>
      <c r="AG451" s="7">
        <v>0</v>
      </c>
      <c r="AH451" s="7">
        <v>0</v>
      </c>
      <c r="AI451" s="7">
        <v>0</v>
      </c>
      <c r="AJ451" s="7">
        <v>0</v>
      </c>
      <c r="AK451" s="7">
        <v>0.00026018178033719602</v>
      </c>
      <c r="AL451" s="7">
        <v>0.00034667652768789899</v>
      </c>
      <c r="AM451" s="7">
        <v>0.00020869685639108199</v>
      </c>
      <c r="AN451" s="7">
        <v>0</v>
      </c>
      <c r="AO451" s="7">
        <v>0</v>
      </c>
      <c r="AP451" s="7">
        <v>0</v>
      </c>
      <c r="AQ451" s="9">
        <v>0</v>
      </c>
    </row>
    <row r="452" spans="1:43" ht="15">
      <c r="A452" s="2" t="s">
        <v>1623</v>
      </c>
      <c r="B452" s="5">
        <v>5001210</v>
      </c>
      <c r="C452" s="2" t="s">
        <v>46</v>
      </c>
      <c r="D452" s="2" t="s">
        <v>1624</v>
      </c>
      <c r="E452" s="2" t="s">
        <v>1625</v>
      </c>
      <c r="F452" s="2" t="s">
        <v>49</v>
      </c>
      <c r="G452" s="2" t="s">
        <v>49</v>
      </c>
      <c r="H452" s="2" t="s">
        <v>50</v>
      </c>
      <c r="I452" s="2" t="s">
        <v>40</v>
      </c>
      <c r="J452" s="6"/>
      <c r="K452" s="2" t="s">
        <v>982</v>
      </c>
      <c r="L452" s="2" t="s">
        <v>217</v>
      </c>
      <c r="M452" s="2" t="s">
        <v>218</v>
      </c>
      <c r="N452" s="2" t="s">
        <v>982</v>
      </c>
      <c r="O452" s="2"/>
      <c r="P452" s="7">
        <v>18.695379368496301</v>
      </c>
      <c r="Q452" s="8">
        <v>18.6288250012018</v>
      </c>
      <c r="R452" s="9">
        <v>14600</v>
      </c>
      <c r="S452" s="2" t="s">
        <v>1626</v>
      </c>
      <c r="T452" s="9">
        <v>4867</v>
      </c>
      <c r="U452" s="9">
        <v>1705</v>
      </c>
      <c r="V452" s="9">
        <v>639</v>
      </c>
      <c r="W452" s="9">
        <v>164</v>
      </c>
      <c r="X452" s="9">
        <v>164</v>
      </c>
      <c r="Y452" s="9">
        <v>100</v>
      </c>
      <c r="Z452" s="9">
        <v>127</v>
      </c>
      <c r="AA452" s="9">
        <v>124</v>
      </c>
      <c r="AB452" s="9">
        <v>1948</v>
      </c>
      <c r="AC452" s="9">
        <v>671</v>
      </c>
      <c r="AD452" s="9">
        <v>330</v>
      </c>
      <c r="AE452" s="7">
        <v>0.199402453671776</v>
      </c>
      <c r="AF452" s="7">
        <v>0.066467484557258802</v>
      </c>
      <c r="AG452" s="7">
        <v>0.023282968006641099</v>
      </c>
      <c r="AH452" s="7">
        <v>0.0087311130024904302</v>
      </c>
      <c r="AI452" s="7">
        <v>0.0022441414946160099</v>
      </c>
      <c r="AJ452" s="7">
        <v>0.0022351649286375501</v>
      </c>
      <c r="AK452" s="7">
        <v>0.00136470279497741</v>
      </c>
      <c r="AL452" s="7">
        <v>0.0017358939631289599</v>
      </c>
      <c r="AM452" s="7">
        <v>0.00169298783316803</v>
      </c>
      <c r="AN452" s="7">
        <v>0.026609106293304201</v>
      </c>
      <c r="AO452" s="7">
        <v>0.0091605120026129108</v>
      </c>
      <c r="AP452" s="7">
        <v>0.0045063809045111898</v>
      </c>
      <c r="AQ452" s="9">
        <v>29200</v>
      </c>
    </row>
    <row r="453" spans="1:43" ht="15">
      <c r="A453" s="2" t="s">
        <v>1627</v>
      </c>
      <c r="B453" s="5">
        <v>5000895</v>
      </c>
      <c r="C453" s="2" t="s">
        <v>23</v>
      </c>
      <c r="D453" s="2" t="s">
        <v>1628</v>
      </c>
      <c r="E453" s="2" t="s">
        <v>1629</v>
      </c>
      <c r="F453" s="2" t="s">
        <v>26</v>
      </c>
      <c r="G453" s="2" t="s">
        <v>26</v>
      </c>
      <c r="H453" s="2" t="s">
        <v>27</v>
      </c>
      <c r="I453" s="2" t="s">
        <v>28</v>
      </c>
      <c r="J453" s="6"/>
      <c r="K453" s="2" t="s">
        <v>1069</v>
      </c>
      <c r="L453" s="2" t="s">
        <v>217</v>
      </c>
      <c r="M453" s="2" t="s">
        <v>1069</v>
      </c>
      <c r="N453" s="2"/>
      <c r="O453" s="2"/>
      <c r="P453" s="7">
        <v>48.384970529364502</v>
      </c>
      <c r="Q453" s="8">
        <v>60.227181639632001</v>
      </c>
      <c r="R453" s="9">
        <v>7872</v>
      </c>
      <c r="S453" s="2" t="s">
        <v>1630</v>
      </c>
      <c r="T453" s="9">
        <v>5516</v>
      </c>
      <c r="U453" s="9">
        <v>1491</v>
      </c>
      <c r="V453" s="9">
        <v>2125</v>
      </c>
      <c r="W453" s="9">
        <v>833</v>
      </c>
      <c r="X453" s="9">
        <v>830</v>
      </c>
      <c r="Y453" s="9">
        <v>757</v>
      </c>
      <c r="Z453" s="9">
        <v>630</v>
      </c>
      <c r="AA453" s="9">
        <v>493</v>
      </c>
      <c r="AB453" s="9">
        <v>1683</v>
      </c>
      <c r="AC453" s="9">
        <v>2207</v>
      </c>
      <c r="AD453" s="9">
        <v>1242</v>
      </c>
      <c r="AE453" s="7">
        <v>0.0899404035143299</v>
      </c>
      <c r="AF453" s="7">
        <v>0.0630165517763321</v>
      </c>
      <c r="AG453" s="7">
        <v>0.017033301774976299</v>
      </c>
      <c r="AH453" s="7">
        <v>0.0242783462285996</v>
      </c>
      <c r="AI453" s="7">
        <v>0.0095161286534554794</v>
      </c>
      <c r="AJ453" s="7">
        <v>0.00947806413884166</v>
      </c>
      <c r="AK453" s="7">
        <v>0.0086476382660765107</v>
      </c>
      <c r="AL453" s="7">
        <v>0.0071961671387048799</v>
      </c>
      <c r="AM453" s="7">
        <v>0.0056330309475268398</v>
      </c>
      <c r="AN453" s="7">
        <v>0.019228330314819499</v>
      </c>
      <c r="AO453" s="7">
        <v>0.025216884800964599</v>
      </c>
      <c r="AP453" s="7">
        <v>0.0141855931843525</v>
      </c>
      <c r="AQ453" s="9">
        <v>7285</v>
      </c>
    </row>
    <row r="454" spans="1:43" ht="15">
      <c r="A454" s="2" t="s">
        <v>1631</v>
      </c>
      <c r="B454" s="5">
        <v>5001159</v>
      </c>
      <c r="C454" s="2" t="s">
        <v>23</v>
      </c>
      <c r="D454" s="2" t="s">
        <v>1632</v>
      </c>
      <c r="E454" s="2" t="s">
        <v>1633</v>
      </c>
      <c r="F454" s="2" t="s">
        <v>26</v>
      </c>
      <c r="G454" s="2" t="s">
        <v>26</v>
      </c>
      <c r="H454" s="2" t="s">
        <v>27</v>
      </c>
      <c r="I454" s="2" t="s">
        <v>40</v>
      </c>
      <c r="J454" s="6"/>
      <c r="K454" s="2" t="s">
        <v>982</v>
      </c>
      <c r="L454" s="2" t="s">
        <v>217</v>
      </c>
      <c r="M454" s="2" t="s">
        <v>218</v>
      </c>
      <c r="N454" s="2" t="s">
        <v>982</v>
      </c>
      <c r="O454" s="2"/>
      <c r="P454" s="7">
        <v>2047.0206945745199</v>
      </c>
      <c r="Q454" s="8">
        <v>4498.62743160021</v>
      </c>
      <c r="R454" s="9">
        <v>346225</v>
      </c>
      <c r="S454" s="2" t="s">
        <v>1634</v>
      </c>
      <c r="T454" s="9">
        <v>475035</v>
      </c>
      <c r="U454" s="9">
        <v>767366</v>
      </c>
      <c r="V454" s="9">
        <v>813870</v>
      </c>
      <c r="W454" s="9">
        <v>1032112</v>
      </c>
      <c r="X454" s="9">
        <v>1031840</v>
      </c>
      <c r="Y454" s="9">
        <v>1038900</v>
      </c>
      <c r="Z454" s="9">
        <v>981479</v>
      </c>
      <c r="AA454" s="9">
        <v>1176381</v>
      </c>
      <c r="AB454" s="9">
        <v>740692</v>
      </c>
      <c r="AC454" s="9">
        <v>811646</v>
      </c>
      <c r="AD454" s="9">
        <v>1092747</v>
      </c>
      <c r="AE454" s="7">
        <v>0.164350748416485</v>
      </c>
      <c r="AF454" s="7">
        <v>0.225496340594108</v>
      </c>
      <c r="AG454" s="7">
        <v>0.36426419882261402</v>
      </c>
      <c r="AH454" s="7">
        <v>0.38633916591741602</v>
      </c>
      <c r="AI454" s="7">
        <v>0.48993754523369798</v>
      </c>
      <c r="AJ454" s="7">
        <v>0.48980828788965902</v>
      </c>
      <c r="AK454" s="7">
        <v>0.49315965841374299</v>
      </c>
      <c r="AL454" s="7">
        <v>0.46590241625659601</v>
      </c>
      <c r="AM454" s="7">
        <v>0.558421321009542</v>
      </c>
      <c r="AN454" s="7">
        <v>0.35160212201519803</v>
      </c>
      <c r="AO454" s="7">
        <v>0.38528346884183401</v>
      </c>
      <c r="AP454" s="7">
        <v>0.51872046298886698</v>
      </c>
      <c r="AQ454" s="9">
        <v>59789</v>
      </c>
    </row>
    <row r="455" spans="1:43" ht="15">
      <c r="A455" s="2" t="s">
        <v>1635</v>
      </c>
      <c r="B455" s="5">
        <v>5000984</v>
      </c>
      <c r="C455" s="2" t="s">
        <v>46</v>
      </c>
      <c r="D455" s="2" t="s">
        <v>1636</v>
      </c>
      <c r="E455" s="2" t="s">
        <v>1637</v>
      </c>
      <c r="F455" s="2" t="s">
        <v>49</v>
      </c>
      <c r="G455" s="2" t="s">
        <v>49</v>
      </c>
      <c r="H455" s="2" t="s">
        <v>50</v>
      </c>
      <c r="I455" s="2" t="s">
        <v>40</v>
      </c>
      <c r="J455" s="10">
        <v>38680</v>
      </c>
      <c r="K455" s="2" t="s">
        <v>1069</v>
      </c>
      <c r="L455" s="2" t="s">
        <v>217</v>
      </c>
      <c r="M455" s="2" t="s">
        <v>1069</v>
      </c>
      <c r="N455" s="2"/>
      <c r="O455" s="2"/>
      <c r="P455" s="7">
        <v>783.32968180063301</v>
      </c>
      <c r="Q455" s="8">
        <v>1155.88142941928</v>
      </c>
      <c r="R455" s="9">
        <v>27917</v>
      </c>
      <c r="S455" s="2" t="s">
        <v>1638</v>
      </c>
      <c r="T455" s="9">
        <v>74122</v>
      </c>
      <c r="U455" s="9">
        <v>53559</v>
      </c>
      <c r="V455" s="9">
        <v>120777</v>
      </c>
      <c r="W455" s="9">
        <v>155178</v>
      </c>
      <c r="X455" s="9">
        <v>154914</v>
      </c>
      <c r="Y455" s="9">
        <v>168178</v>
      </c>
      <c r="Z455" s="9">
        <v>128403</v>
      </c>
      <c r="AA455" s="9">
        <v>82929</v>
      </c>
      <c r="AB455" s="9">
        <v>58124</v>
      </c>
      <c r="AC455" s="9">
        <v>74358</v>
      </c>
      <c r="AD455" s="9">
        <v>129244</v>
      </c>
      <c r="AE455" s="7">
        <v>0.023210751691440799</v>
      </c>
      <c r="AF455" s="7">
        <v>0.061627200096614099</v>
      </c>
      <c r="AG455" s="7">
        <v>0.044530612618127401</v>
      </c>
      <c r="AH455" s="7">
        <v>0.10041844375408999</v>
      </c>
      <c r="AI455" s="7">
        <v>0.12902035430488101</v>
      </c>
      <c r="AJ455" s="7">
        <v>0.12880112506973701</v>
      </c>
      <c r="AK455" s="7">
        <v>0.139828737850445</v>
      </c>
      <c r="AL455" s="7">
        <v>0.106758935140848</v>
      </c>
      <c r="AM455" s="7">
        <v>0.0689499193168433</v>
      </c>
      <c r="AN455" s="7">
        <v>0.048326241497520198</v>
      </c>
      <c r="AO455" s="7">
        <v>0.061823725403941897</v>
      </c>
      <c r="AP455" s="7">
        <v>0.107457580103761</v>
      </c>
      <c r="AQ455" s="9">
        <v>24560</v>
      </c>
    </row>
    <row r="456" spans="1:43" ht="15">
      <c r="A456" s="2" t="s">
        <v>1639</v>
      </c>
      <c r="B456" s="5">
        <v>4988504</v>
      </c>
      <c r="C456" s="2" t="s">
        <v>23</v>
      </c>
      <c r="D456" s="2" t="s">
        <v>1640</v>
      </c>
      <c r="E456" s="2" t="s">
        <v>1641</v>
      </c>
      <c r="F456" s="2" t="s">
        <v>26</v>
      </c>
      <c r="G456" s="2" t="s">
        <v>26</v>
      </c>
      <c r="H456" s="2" t="s">
        <v>27</v>
      </c>
      <c r="I456" s="2" t="s">
        <v>198</v>
      </c>
      <c r="J456" s="10">
        <v>40002</v>
      </c>
      <c r="K456" s="2" t="s">
        <v>1642</v>
      </c>
      <c r="L456" s="2" t="s">
        <v>30</v>
      </c>
      <c r="M456" s="2" t="s">
        <v>424</v>
      </c>
      <c r="N456" s="2" t="s">
        <v>1642</v>
      </c>
      <c r="O456" s="2"/>
      <c r="P456" s="7">
        <v>8.5099225323198002</v>
      </c>
      <c r="Q456" s="8">
        <v>387.08274627358401</v>
      </c>
      <c r="R456" s="9">
        <v>8067755</v>
      </c>
      <c r="S456" s="2" t="s">
        <v>1643</v>
      </c>
      <c r="T456" s="9">
        <v>7991493</v>
      </c>
      <c r="U456" s="9">
        <v>16829962</v>
      </c>
      <c r="V456" s="9">
        <v>33740137</v>
      </c>
      <c r="W456" s="9">
        <v>34884480</v>
      </c>
      <c r="X456" s="9">
        <v>34868696</v>
      </c>
      <c r="Y456" s="9">
        <v>44822665</v>
      </c>
      <c r="Z456" s="9">
        <v>60924665</v>
      </c>
      <c r="AA456" s="9">
        <v>73856233</v>
      </c>
      <c r="AB456" s="9">
        <v>18319732</v>
      </c>
      <c r="AC456" s="9">
        <v>33422688</v>
      </c>
      <c r="AD456" s="9">
        <v>31972066</v>
      </c>
      <c r="AE456" s="7">
        <v>0.077072311110590597</v>
      </c>
      <c r="AF456" s="7">
        <v>0.076343773461217998</v>
      </c>
      <c r="AG456" s="7">
        <v>0.160778822315852</v>
      </c>
      <c r="AH456" s="7">
        <v>0.32232392630140599</v>
      </c>
      <c r="AI456" s="7">
        <v>0.33325598660523198</v>
      </c>
      <c r="AJ456" s="7">
        <v>0.33310519885287498</v>
      </c>
      <c r="AK456" s="7">
        <v>0.42819676397377399</v>
      </c>
      <c r="AL456" s="7">
        <v>0.58202127201915699</v>
      </c>
      <c r="AM456" s="7">
        <v>0.70555822623598197</v>
      </c>
      <c r="AN456" s="7">
        <v>0.17501079400318201</v>
      </c>
      <c r="AO456" s="7">
        <v>0.31929129441961501</v>
      </c>
      <c r="AP456" s="7">
        <v>0.30543331375479998</v>
      </c>
      <c r="AQ456" s="9">
        <v>6153378</v>
      </c>
    </row>
    <row r="457" spans="1:43" ht="15">
      <c r="A457" s="2" t="s">
        <v>1644</v>
      </c>
      <c r="B457" s="5">
        <v>4986683</v>
      </c>
      <c r="C457" s="2" t="s">
        <v>35</v>
      </c>
      <c r="D457" s="2" t="s">
        <v>1645</v>
      </c>
      <c r="E457" s="2" t="s">
        <v>1646</v>
      </c>
      <c r="F457" s="2" t="s">
        <v>38</v>
      </c>
      <c r="G457" s="2" t="s">
        <v>38</v>
      </c>
      <c r="H457" s="2" t="s">
        <v>39</v>
      </c>
      <c r="I457" s="2" t="s">
        <v>28</v>
      </c>
      <c r="J457" s="6"/>
      <c r="K457" s="2" t="s">
        <v>1595</v>
      </c>
      <c r="L457" s="2" t="s">
        <v>42</v>
      </c>
      <c r="M457" s="2" t="s">
        <v>1596</v>
      </c>
      <c r="N457" s="2" t="s">
        <v>1595</v>
      </c>
      <c r="O457" s="2"/>
      <c r="P457" s="7">
        <v>64.135482857943302</v>
      </c>
      <c r="Q457" s="8">
        <v>53.328360235239003</v>
      </c>
      <c r="R457" s="9">
        <v>568998</v>
      </c>
      <c r="S457" s="2" t="s">
        <v>1647</v>
      </c>
      <c r="T457" s="9">
        <v>508449</v>
      </c>
      <c r="U457" s="9">
        <v>1109612</v>
      </c>
      <c r="V457" s="9">
        <v>1709968</v>
      </c>
      <c r="W457" s="9">
        <v>1952883</v>
      </c>
      <c r="X457" s="9">
        <v>1951113</v>
      </c>
      <c r="Y457" s="9">
        <v>2162815</v>
      </c>
      <c r="Z457" s="9">
        <v>2107493</v>
      </c>
      <c r="AA457" s="9">
        <v>1907970</v>
      </c>
      <c r="AB457" s="9">
        <v>1211748</v>
      </c>
      <c r="AC457" s="9">
        <v>1745027</v>
      </c>
      <c r="AD457" s="9">
        <v>1872774</v>
      </c>
      <c r="AE457" s="7">
        <v>0.024650360426655301</v>
      </c>
      <c r="AF457" s="7">
        <v>0.022027237187835901</v>
      </c>
      <c r="AG457" s="7">
        <v>0.048071111835407701</v>
      </c>
      <c r="AH457" s="7">
        <v>0.074079997144990403</v>
      </c>
      <c r="AI457" s="7">
        <v>0.084603678911105498</v>
      </c>
      <c r="AJ457" s="7">
        <v>0.084526990470235305</v>
      </c>
      <c r="AK457" s="7">
        <v>0.093698437685977506</v>
      </c>
      <c r="AL457" s="7">
        <v>0.091301741962332497</v>
      </c>
      <c r="AM457" s="7">
        <v>0.082657913338807606</v>
      </c>
      <c r="AN457" s="7">
        <v>0.052495887659332198</v>
      </c>
      <c r="AO457" s="7">
        <v>0.075598845828651104</v>
      </c>
      <c r="AP457" s="7">
        <v>0.081133144115972</v>
      </c>
      <c r="AQ457" s="9">
        <v>700480</v>
      </c>
    </row>
    <row r="458" spans="1:43" ht="15">
      <c r="A458" s="2" t="s">
        <v>1648</v>
      </c>
      <c r="B458" s="5">
        <v>4981201</v>
      </c>
      <c r="C458" s="2" t="s">
        <v>23</v>
      </c>
      <c r="D458" s="2" t="s">
        <v>1649</v>
      </c>
      <c r="E458" s="2" t="s">
        <v>1650</v>
      </c>
      <c r="F458" s="2" t="s">
        <v>26</v>
      </c>
      <c r="G458" s="2" t="s">
        <v>26</v>
      </c>
      <c r="H458" s="2" t="s">
        <v>27</v>
      </c>
      <c r="I458" s="2" t="s">
        <v>40</v>
      </c>
      <c r="J458" s="6"/>
      <c r="K458" s="2" t="s">
        <v>1109</v>
      </c>
      <c r="L458" s="2" t="s">
        <v>42</v>
      </c>
      <c r="M458" s="2" t="s">
        <v>1109</v>
      </c>
      <c r="N458" s="2"/>
      <c r="O458" s="2"/>
      <c r="P458" s="7">
        <v>26.726824743674399</v>
      </c>
      <c r="Q458" s="8">
        <v>30.515772240255998</v>
      </c>
      <c r="R458" s="9">
        <v>0</v>
      </c>
      <c r="S458" s="2" t="s">
        <v>1651</v>
      </c>
      <c r="T458" s="9">
        <v>7</v>
      </c>
      <c r="U458" s="9">
        <v>32824</v>
      </c>
      <c r="V458" s="9">
        <v>21018</v>
      </c>
      <c r="W458" s="9">
        <v>6928</v>
      </c>
      <c r="X458" s="9">
        <v>6900</v>
      </c>
      <c r="Y458" s="9">
        <v>3646</v>
      </c>
      <c r="Z458" s="9">
        <v>3234</v>
      </c>
      <c r="AA458" s="9">
        <v>5200</v>
      </c>
      <c r="AB458" s="9">
        <v>32840</v>
      </c>
      <c r="AC458" s="9">
        <v>22052</v>
      </c>
      <c r="AD458" s="9">
        <v>10894</v>
      </c>
      <c r="AE458" s="7">
        <v>0</v>
      </c>
      <c r="AF458" s="7">
        <v>3.83565056392502E-06</v>
      </c>
      <c r="AG458" s="7">
        <v>0.019369543597748999</v>
      </c>
      <c r="AH458" s="7">
        <v>0.012402944911005799</v>
      </c>
      <c r="AI458" s="7">
        <v>0.0040881186058626499</v>
      </c>
      <c r="AJ458" s="7">
        <v>0.0040717661314391999</v>
      </c>
      <c r="AK458" s="7">
        <v>0.00215146098532618</v>
      </c>
      <c r="AL458" s="7">
        <v>0.0019084904681236001</v>
      </c>
      <c r="AM458" s="7">
        <v>0.0030682706658020798</v>
      </c>
      <c r="AN458" s="7">
        <v>0.019379167849163999</v>
      </c>
      <c r="AO458" s="7">
        <v>0.013012925808268299</v>
      </c>
      <c r="AP458" s="7">
        <v>0.0064285836572400001</v>
      </c>
      <c r="AQ458" s="9">
        <v>0</v>
      </c>
    </row>
    <row r="459" spans="1:43" ht="15">
      <c r="A459" s="2" t="s">
        <v>1652</v>
      </c>
      <c r="B459" s="5">
        <v>5000819</v>
      </c>
      <c r="C459" s="2" t="s">
        <v>23</v>
      </c>
      <c r="D459" s="2" t="s">
        <v>1653</v>
      </c>
      <c r="E459" s="2" t="s">
        <v>1654</v>
      </c>
      <c r="F459" s="2" t="s">
        <v>26</v>
      </c>
      <c r="G459" s="2" t="s">
        <v>26</v>
      </c>
      <c r="H459" s="2" t="s">
        <v>27</v>
      </c>
      <c r="I459" s="2" t="s">
        <v>28</v>
      </c>
      <c r="J459" s="6"/>
      <c r="K459" s="2" t="s">
        <v>216</v>
      </c>
      <c r="L459" s="2" t="s">
        <v>217</v>
      </c>
      <c r="M459" s="2" t="s">
        <v>218</v>
      </c>
      <c r="N459" s="2" t="s">
        <v>216</v>
      </c>
      <c r="O459" s="2"/>
      <c r="P459" s="7">
        <v>286.38662880561998</v>
      </c>
      <c r="Q459" s="8">
        <v>954.50693126678402</v>
      </c>
      <c r="R459" s="9">
        <v>330</v>
      </c>
      <c r="S459" s="2" t="s">
        <v>1655</v>
      </c>
      <c r="T459" s="9">
        <v>13033</v>
      </c>
      <c r="U459" s="9">
        <v>6123</v>
      </c>
      <c r="V459" s="9">
        <v>32574</v>
      </c>
      <c r="W459" s="9">
        <v>48666</v>
      </c>
      <c r="X459" s="9">
        <v>48471</v>
      </c>
      <c r="Y459" s="9">
        <v>29577</v>
      </c>
      <c r="Z459" s="9">
        <v>91650</v>
      </c>
      <c r="AA459" s="9">
        <v>67884</v>
      </c>
      <c r="AB459" s="9">
        <v>6925</v>
      </c>
      <c r="AC459" s="9">
        <v>32815</v>
      </c>
      <c r="AD459" s="9">
        <v>50003</v>
      </c>
      <c r="AE459" s="7">
        <v>6.2398001249071799E-06</v>
      </c>
      <c r="AF459" s="7">
        <v>0.00024643743937758402</v>
      </c>
      <c r="AG459" s="7">
        <v>0.00011578295787327799</v>
      </c>
      <c r="AH459" s="7">
        <v>0.00061593031579549001</v>
      </c>
      <c r="AI459" s="7">
        <v>0.00092020178487290901</v>
      </c>
      <c r="AJ459" s="7">
        <v>0.000916520977733417</v>
      </c>
      <c r="AK459" s="7">
        <v>0.00055925417507042205</v>
      </c>
      <c r="AL459" s="7">
        <v>0.00173297121282256</v>
      </c>
      <c r="AM459" s="7">
        <v>0.0012835777183842099</v>
      </c>
      <c r="AN459" s="7">
        <v>0.00013093855898474099</v>
      </c>
      <c r="AO459" s="7">
        <v>0.00062048318262439598</v>
      </c>
      <c r="AP459" s="7">
        <v>0.00094548159675639102</v>
      </c>
      <c r="AQ459" s="9">
        <v>302</v>
      </c>
    </row>
    <row r="460" spans="1:43" ht="15">
      <c r="A460" s="2" t="s">
        <v>1656</v>
      </c>
      <c r="B460" s="5">
        <v>5000784</v>
      </c>
      <c r="C460" s="2" t="s">
        <v>23</v>
      </c>
      <c r="D460" s="2" t="s">
        <v>1657</v>
      </c>
      <c r="E460" s="2" t="s">
        <v>1658</v>
      </c>
      <c r="F460" s="2" t="s">
        <v>26</v>
      </c>
      <c r="G460" s="2" t="s">
        <v>26</v>
      </c>
      <c r="H460" s="2" t="s">
        <v>27</v>
      </c>
      <c r="I460" s="2" t="s">
        <v>28</v>
      </c>
      <c r="J460" s="6"/>
      <c r="K460" s="2" t="s">
        <v>216</v>
      </c>
      <c r="L460" s="2" t="s">
        <v>217</v>
      </c>
      <c r="M460" s="2" t="s">
        <v>218</v>
      </c>
      <c r="N460" s="2" t="s">
        <v>216</v>
      </c>
      <c r="O460" s="2"/>
      <c r="P460" s="7">
        <v>567.51266764516902</v>
      </c>
      <c r="Q460" s="8">
        <v>1382.1836192390599</v>
      </c>
      <c r="R460" s="9">
        <v>0</v>
      </c>
      <c r="S460" s="2" t="s">
        <v>1659</v>
      </c>
      <c r="T460" s="9">
        <v>0</v>
      </c>
      <c r="U460" s="9">
        <v>249599</v>
      </c>
      <c r="V460" s="9">
        <v>4694096</v>
      </c>
      <c r="W460" s="9">
        <v>5335185</v>
      </c>
      <c r="X460" s="9">
        <v>5313844</v>
      </c>
      <c r="Y460" s="9">
        <v>4096224</v>
      </c>
      <c r="Z460" s="9">
        <v>3583306</v>
      </c>
      <c r="AA460" s="9">
        <v>5838549</v>
      </c>
      <c r="AB460" s="9">
        <v>285256</v>
      </c>
      <c r="AC460" s="9">
        <v>3613478</v>
      </c>
      <c r="AD460" s="9">
        <v>4186307</v>
      </c>
      <c r="AE460" s="7">
        <v>0</v>
      </c>
      <c r="AF460" s="7">
        <v>0</v>
      </c>
      <c r="AG460" s="7">
        <v>8.3430194045253494E-06</v>
      </c>
      <c r="AH460" s="7">
        <v>0.00015690359978722001</v>
      </c>
      <c r="AI460" s="7">
        <v>0.00017833245265796001</v>
      </c>
      <c r="AJ460" s="7">
        <v>0.00017761912284732799</v>
      </c>
      <c r="AK460" s="7">
        <v>0.000136919271567702</v>
      </c>
      <c r="AL460" s="7">
        <v>0.000119774608647786</v>
      </c>
      <c r="AM460" s="7">
        <v>0.000195157778966847</v>
      </c>
      <c r="AN460" s="7">
        <v>9.5348793194575393E-06</v>
      </c>
      <c r="AO460" s="7">
        <v>0.00012078314536613901</v>
      </c>
      <c r="AP460" s="7">
        <v>0.00013993036993486</v>
      </c>
      <c r="AQ460" s="9">
        <v>0</v>
      </c>
    </row>
    <row r="461" spans="1:43" ht="15">
      <c r="A461" s="2" t="s">
        <v>1660</v>
      </c>
      <c r="B461" s="5">
        <v>5738797</v>
      </c>
      <c r="C461" s="2" t="s">
        <v>23</v>
      </c>
      <c r="D461" s="2" t="s">
        <v>1661</v>
      </c>
      <c r="E461" s="2" t="s">
        <v>1662</v>
      </c>
      <c r="F461" s="2" t="s">
        <v>26</v>
      </c>
      <c r="G461" s="2"/>
      <c r="H461" s="2"/>
      <c r="I461" s="2" t="s">
        <v>28</v>
      </c>
      <c r="J461" s="6"/>
      <c r="K461" s="2" t="s">
        <v>55</v>
      </c>
      <c r="L461" s="2" t="s">
        <v>56</v>
      </c>
      <c r="M461" s="2" t="s">
        <v>55</v>
      </c>
      <c r="N461" s="2"/>
      <c r="O461" s="2"/>
      <c r="P461" s="7">
        <v>11.216939458792799</v>
      </c>
      <c r="Q461" s="6" t="s">
        <v>57</v>
      </c>
      <c r="R461" s="9">
        <v>0</v>
      </c>
      <c r="S461" s="2"/>
      <c r="T461" s="9">
        <v>0</v>
      </c>
      <c r="U461" s="9">
        <v>0</v>
      </c>
      <c r="V461" s="9">
        <v>0</v>
      </c>
      <c r="W461" s="9">
        <v>0</v>
      </c>
      <c r="X461" s="9">
        <v>0</v>
      </c>
      <c r="Y461" s="9">
        <v>0</v>
      </c>
      <c r="Z461" s="9">
        <v>13</v>
      </c>
      <c r="AA461" s="9">
        <v>1170</v>
      </c>
      <c r="AB461" s="9">
        <v>0</v>
      </c>
      <c r="AC461" s="9">
        <v>0</v>
      </c>
      <c r="AD461" s="9">
        <v>0</v>
      </c>
      <c r="AE461" s="6" t="s">
        <v>57</v>
      </c>
      <c r="AF461" s="6" t="s">
        <v>57</v>
      </c>
      <c r="AG461" s="6" t="s">
        <v>57</v>
      </c>
      <c r="AH461" s="6" t="s">
        <v>57</v>
      </c>
      <c r="AI461" s="6" t="s">
        <v>57</v>
      </c>
      <c r="AJ461" s="6" t="s">
        <v>57</v>
      </c>
      <c r="AK461" s="6" t="s">
        <v>57</v>
      </c>
      <c r="AL461" s="6" t="s">
        <v>57</v>
      </c>
      <c r="AM461" s="6" t="s">
        <v>57</v>
      </c>
      <c r="AN461" s="6" t="s">
        <v>57</v>
      </c>
      <c r="AO461" s="6" t="s">
        <v>57</v>
      </c>
      <c r="AP461" s="6" t="s">
        <v>57</v>
      </c>
      <c r="AQ461" s="9">
        <v>0</v>
      </c>
    </row>
    <row r="462" spans="1:43" ht="15">
      <c r="A462" s="2" t="s">
        <v>1663</v>
      </c>
      <c r="B462" s="5">
        <v>5737940</v>
      </c>
      <c r="C462" s="2" t="s">
        <v>23</v>
      </c>
      <c r="D462" s="2" t="s">
        <v>1664</v>
      </c>
      <c r="E462" s="2" t="s">
        <v>1665</v>
      </c>
      <c r="F462" s="2" t="s">
        <v>26</v>
      </c>
      <c r="G462" s="2" t="s">
        <v>26</v>
      </c>
      <c r="H462" s="2" t="s">
        <v>27</v>
      </c>
      <c r="I462" s="2" t="s">
        <v>28</v>
      </c>
      <c r="J462" s="6"/>
      <c r="K462" s="2" t="s">
        <v>55</v>
      </c>
      <c r="L462" s="2" t="s">
        <v>56</v>
      </c>
      <c r="M462" s="2" t="s">
        <v>55</v>
      </c>
      <c r="N462" s="2"/>
      <c r="O462" s="2"/>
      <c r="P462" s="7">
        <v>31.9153245079935</v>
      </c>
      <c r="Q462" s="6" t="s">
        <v>57</v>
      </c>
      <c r="R462" s="9">
        <v>0</v>
      </c>
      <c r="S462" s="2"/>
      <c r="T462" s="9">
        <v>0</v>
      </c>
      <c r="U462" s="9">
        <v>0</v>
      </c>
      <c r="V462" s="9">
        <v>0</v>
      </c>
      <c r="W462" s="9">
        <v>0</v>
      </c>
      <c r="X462" s="9">
        <v>0</v>
      </c>
      <c r="Y462" s="9">
        <v>0</v>
      </c>
      <c r="Z462" s="9">
        <v>936</v>
      </c>
      <c r="AA462" s="9">
        <v>1455</v>
      </c>
      <c r="AB462" s="9">
        <v>0</v>
      </c>
      <c r="AC462" s="9">
        <v>0</v>
      </c>
      <c r="AD462" s="9">
        <v>0</v>
      </c>
      <c r="AE462" s="6" t="s">
        <v>57</v>
      </c>
      <c r="AF462" s="6" t="s">
        <v>57</v>
      </c>
      <c r="AG462" s="6" t="s">
        <v>57</v>
      </c>
      <c r="AH462" s="6" t="s">
        <v>57</v>
      </c>
      <c r="AI462" s="6" t="s">
        <v>57</v>
      </c>
      <c r="AJ462" s="6" t="s">
        <v>57</v>
      </c>
      <c r="AK462" s="6" t="s">
        <v>57</v>
      </c>
      <c r="AL462" s="6" t="s">
        <v>57</v>
      </c>
      <c r="AM462" s="6" t="s">
        <v>57</v>
      </c>
      <c r="AN462" s="6" t="s">
        <v>57</v>
      </c>
      <c r="AO462" s="6" t="s">
        <v>57</v>
      </c>
      <c r="AP462" s="6" t="s">
        <v>57</v>
      </c>
      <c r="AQ462" s="9">
        <v>0</v>
      </c>
    </row>
    <row r="463" spans="1:43" ht="15">
      <c r="A463" s="2" t="s">
        <v>1666</v>
      </c>
      <c r="B463" s="5">
        <v>7349359</v>
      </c>
      <c r="C463" s="2" t="s">
        <v>23</v>
      </c>
      <c r="D463" s="2" t="s">
        <v>1667</v>
      </c>
      <c r="E463" s="2" t="s">
        <v>1668</v>
      </c>
      <c r="F463" s="2" t="s">
        <v>26</v>
      </c>
      <c r="G463" s="2" t="s">
        <v>26</v>
      </c>
      <c r="H463" s="2" t="s">
        <v>27</v>
      </c>
      <c r="I463" s="2" t="s">
        <v>28</v>
      </c>
      <c r="J463" s="6"/>
      <c r="K463" s="2" t="s">
        <v>55</v>
      </c>
      <c r="L463" s="2" t="s">
        <v>56</v>
      </c>
      <c r="M463" s="2" t="s">
        <v>55</v>
      </c>
      <c r="N463" s="2"/>
      <c r="O463" s="2"/>
      <c r="P463" s="6" t="s">
        <v>57</v>
      </c>
      <c r="Q463" s="6" t="s">
        <v>57</v>
      </c>
      <c r="R463" s="9">
        <v>0</v>
      </c>
      <c r="S463" s="2"/>
      <c r="T463" s="9">
        <v>284</v>
      </c>
      <c r="U463" s="9">
        <v>661</v>
      </c>
      <c r="V463" s="9">
        <v>781</v>
      </c>
      <c r="W463" s="9">
        <v>1476</v>
      </c>
      <c r="X463" s="9">
        <v>1470</v>
      </c>
      <c r="Y463" s="9">
        <v>2428</v>
      </c>
      <c r="Z463" s="9">
        <v>3179</v>
      </c>
      <c r="AA463" s="9">
        <v>3808</v>
      </c>
      <c r="AB463" s="9">
        <v>665</v>
      </c>
      <c r="AC463" s="9">
        <v>775</v>
      </c>
      <c r="AD463" s="9">
        <v>777</v>
      </c>
      <c r="AE463" s="6" t="s">
        <v>57</v>
      </c>
      <c r="AF463" s="6" t="s">
        <v>57</v>
      </c>
      <c r="AG463" s="6" t="s">
        <v>57</v>
      </c>
      <c r="AH463" s="6" t="s">
        <v>57</v>
      </c>
      <c r="AI463" s="6" t="s">
        <v>57</v>
      </c>
      <c r="AJ463" s="6" t="s">
        <v>57</v>
      </c>
      <c r="AK463" s="6" t="s">
        <v>57</v>
      </c>
      <c r="AL463" s="6" t="s">
        <v>57</v>
      </c>
      <c r="AM463" s="6" t="s">
        <v>57</v>
      </c>
      <c r="AN463" s="6" t="s">
        <v>57</v>
      </c>
      <c r="AO463" s="6" t="s">
        <v>57</v>
      </c>
      <c r="AP463" s="6" t="s">
        <v>57</v>
      </c>
      <c r="AQ463" s="9">
        <v>0</v>
      </c>
    </row>
    <row r="464" spans="1:43" ht="15">
      <c r="A464" s="2" t="s">
        <v>1669</v>
      </c>
      <c r="B464" s="5">
        <v>8287729</v>
      </c>
      <c r="C464" s="2" t="s">
        <v>23</v>
      </c>
      <c r="D464" s="2" t="s">
        <v>1670</v>
      </c>
      <c r="E464" s="2" t="s">
        <v>1671</v>
      </c>
      <c r="F464" s="2" t="s">
        <v>26</v>
      </c>
      <c r="G464" s="2" t="s">
        <v>26</v>
      </c>
      <c r="H464" s="2" t="s">
        <v>27</v>
      </c>
      <c r="I464" s="2" t="s">
        <v>28</v>
      </c>
      <c r="J464" s="6"/>
      <c r="K464" s="2" t="s">
        <v>55</v>
      </c>
      <c r="L464" s="2" t="s">
        <v>56</v>
      </c>
      <c r="M464" s="2" t="s">
        <v>55</v>
      </c>
      <c r="N464" s="2"/>
      <c r="O464" s="2"/>
      <c r="P464" s="7">
        <v>1.77352301574994</v>
      </c>
      <c r="Q464" s="6" t="s">
        <v>57</v>
      </c>
      <c r="R464" s="9">
        <v>0</v>
      </c>
      <c r="S464" s="2"/>
      <c r="T464" s="9">
        <v>0</v>
      </c>
      <c r="U464" s="9">
        <v>0</v>
      </c>
      <c r="V464" s="9">
        <v>0</v>
      </c>
      <c r="W464" s="9">
        <v>0</v>
      </c>
      <c r="X464" s="9">
        <v>0</v>
      </c>
      <c r="Y464" s="9">
        <v>0</v>
      </c>
      <c r="Z464" s="9">
        <v>0</v>
      </c>
      <c r="AA464" s="9">
        <v>0</v>
      </c>
      <c r="AB464" s="9">
        <v>0</v>
      </c>
      <c r="AC464" s="9">
        <v>0</v>
      </c>
      <c r="AD464" s="9">
        <v>0</v>
      </c>
      <c r="AE464" s="6" t="s">
        <v>57</v>
      </c>
      <c r="AF464" s="6" t="s">
        <v>57</v>
      </c>
      <c r="AG464" s="6" t="s">
        <v>57</v>
      </c>
      <c r="AH464" s="6" t="s">
        <v>57</v>
      </c>
      <c r="AI464" s="6" t="s">
        <v>57</v>
      </c>
      <c r="AJ464" s="6" t="s">
        <v>57</v>
      </c>
      <c r="AK464" s="6" t="s">
        <v>57</v>
      </c>
      <c r="AL464" s="6" t="s">
        <v>57</v>
      </c>
      <c r="AM464" s="6" t="s">
        <v>57</v>
      </c>
      <c r="AN464" s="6" t="s">
        <v>57</v>
      </c>
      <c r="AO464" s="6" t="s">
        <v>57</v>
      </c>
      <c r="AP464" s="6" t="s">
        <v>57</v>
      </c>
      <c r="AQ464" s="9">
        <v>0</v>
      </c>
    </row>
    <row r="465" spans="1:43" ht="15">
      <c r="A465" s="2" t="s">
        <v>1672</v>
      </c>
      <c r="B465" s="5">
        <v>8552139</v>
      </c>
      <c r="C465" s="2" t="s">
        <v>23</v>
      </c>
      <c r="D465" s="2" t="s">
        <v>1673</v>
      </c>
      <c r="E465" s="2" t="s">
        <v>1674</v>
      </c>
      <c r="F465" s="2" t="s">
        <v>26</v>
      </c>
      <c r="G465" s="2" t="s">
        <v>26</v>
      </c>
      <c r="H465" s="2" t="s">
        <v>27</v>
      </c>
      <c r="I465" s="2" t="s">
        <v>28</v>
      </c>
      <c r="J465" s="6"/>
      <c r="K465" s="2" t="s">
        <v>55</v>
      </c>
      <c r="L465" s="2" t="s">
        <v>56</v>
      </c>
      <c r="M465" s="2" t="s">
        <v>55</v>
      </c>
      <c r="N465" s="2"/>
      <c r="O465" s="2"/>
      <c r="P465" s="7">
        <v>4.1239277410511503</v>
      </c>
      <c r="Q465" s="6" t="s">
        <v>57</v>
      </c>
      <c r="R465" s="9">
        <v>0</v>
      </c>
      <c r="S465" s="2"/>
      <c r="T465" s="9">
        <v>0</v>
      </c>
      <c r="U465" s="9">
        <v>0</v>
      </c>
      <c r="V465" s="9">
        <v>0</v>
      </c>
      <c r="W465" s="9">
        <v>185</v>
      </c>
      <c r="X465" s="9">
        <v>184</v>
      </c>
      <c r="Y465" s="9">
        <v>3511</v>
      </c>
      <c r="Z465" s="9">
        <v>5343</v>
      </c>
      <c r="AA465" s="9">
        <v>5159</v>
      </c>
      <c r="AB465" s="9">
        <v>0</v>
      </c>
      <c r="AC465" s="9">
        <v>0</v>
      </c>
      <c r="AD465" s="9">
        <v>0</v>
      </c>
      <c r="AE465" s="6" t="s">
        <v>57</v>
      </c>
      <c r="AF465" s="6" t="s">
        <v>57</v>
      </c>
      <c r="AG465" s="6" t="s">
        <v>57</v>
      </c>
      <c r="AH465" s="6" t="s">
        <v>57</v>
      </c>
      <c r="AI465" s="6" t="s">
        <v>57</v>
      </c>
      <c r="AJ465" s="6" t="s">
        <v>57</v>
      </c>
      <c r="AK465" s="6" t="s">
        <v>57</v>
      </c>
      <c r="AL465" s="6" t="s">
        <v>57</v>
      </c>
      <c r="AM465" s="6" t="s">
        <v>57</v>
      </c>
      <c r="AN465" s="6" t="s">
        <v>57</v>
      </c>
      <c r="AO465" s="6" t="s">
        <v>57</v>
      </c>
      <c r="AP465" s="6" t="s">
        <v>57</v>
      </c>
      <c r="AQ465" s="9">
        <v>0</v>
      </c>
    </row>
    <row r="466" spans="1:43" ht="15">
      <c r="A466" s="2" t="s">
        <v>1675</v>
      </c>
      <c r="B466" s="5">
        <v>4991018</v>
      </c>
      <c r="C466" s="2" t="s">
        <v>46</v>
      </c>
      <c r="D466" s="2" t="s">
        <v>1676</v>
      </c>
      <c r="E466" s="2" t="s">
        <v>1677</v>
      </c>
      <c r="F466" s="2" t="s">
        <v>49</v>
      </c>
      <c r="G466" s="2" t="s">
        <v>49</v>
      </c>
      <c r="H466" s="2" t="s">
        <v>50</v>
      </c>
      <c r="I466" s="2" t="s">
        <v>28</v>
      </c>
      <c r="J466" s="6"/>
      <c r="K466" s="2" t="s">
        <v>1678</v>
      </c>
      <c r="L466" s="2" t="s">
        <v>182</v>
      </c>
      <c r="M466" s="2" t="s">
        <v>183</v>
      </c>
      <c r="N466" s="2" t="s">
        <v>1678</v>
      </c>
      <c r="O466" s="2"/>
      <c r="P466" s="7">
        <v>12.0836881543581</v>
      </c>
      <c r="Q466" s="8">
        <v>47.037345543709201</v>
      </c>
      <c r="R466" s="9">
        <v>0</v>
      </c>
      <c r="S466" s="2" t="s">
        <v>1679</v>
      </c>
      <c r="T466" s="9">
        <v>2500</v>
      </c>
      <c r="U466" s="9">
        <v>1487</v>
      </c>
      <c r="V466" s="9">
        <v>748</v>
      </c>
      <c r="W466" s="9">
        <v>2837</v>
      </c>
      <c r="X466" s="9">
        <v>2826</v>
      </c>
      <c r="Y466" s="9">
        <v>2526</v>
      </c>
      <c r="Z466" s="9">
        <v>2141</v>
      </c>
      <c r="AA466" s="9">
        <v>2158</v>
      </c>
      <c r="AB466" s="9">
        <v>1699</v>
      </c>
      <c r="AC466" s="9">
        <v>785</v>
      </c>
      <c r="AD466" s="9">
        <v>1104</v>
      </c>
      <c r="AE466" s="7">
        <v>0</v>
      </c>
      <c r="AF466" s="7">
        <v>0.057641187939692702</v>
      </c>
      <c r="AG466" s="7">
        <v>0.034273450348941303</v>
      </c>
      <c r="AH466" s="7">
        <v>0.017246603688980702</v>
      </c>
      <c r="AI466" s="7">
        <v>0.065408442185387897</v>
      </c>
      <c r="AJ466" s="7">
        <v>0.065146808416646398</v>
      </c>
      <c r="AK466" s="7">
        <v>0.058232801382882997</v>
      </c>
      <c r="AL466" s="7">
        <v>0.049369815809197901</v>
      </c>
      <c r="AM466" s="7">
        <v>0.049747807346374198</v>
      </c>
      <c r="AN466" s="7">
        <v>0.039169657541647203</v>
      </c>
      <c r="AO466" s="7">
        <v>0.018094797313028901</v>
      </c>
      <c r="AP466" s="7">
        <v>0.025456579865959499</v>
      </c>
      <c r="AQ466" s="9">
        <v>0</v>
      </c>
    </row>
    <row r="467" spans="1:43" ht="15">
      <c r="A467" s="2" t="s">
        <v>1680</v>
      </c>
      <c r="B467" s="5">
        <v>4985462</v>
      </c>
      <c r="C467" s="2" t="s">
        <v>46</v>
      </c>
      <c r="D467" s="2" t="s">
        <v>1681</v>
      </c>
      <c r="E467" s="2" t="s">
        <v>1682</v>
      </c>
      <c r="F467" s="2" t="s">
        <v>49</v>
      </c>
      <c r="G467" s="2" t="s">
        <v>49</v>
      </c>
      <c r="H467" s="2" t="s">
        <v>50</v>
      </c>
      <c r="I467" s="2" t="s">
        <v>40</v>
      </c>
      <c r="J467" s="6"/>
      <c r="K467" s="2" t="s">
        <v>987</v>
      </c>
      <c r="L467" s="2" t="s">
        <v>42</v>
      </c>
      <c r="M467" s="2" t="s">
        <v>987</v>
      </c>
      <c r="N467" s="2"/>
      <c r="O467" s="2"/>
      <c r="P467" s="7">
        <v>19.264798782102801</v>
      </c>
      <c r="Q467" s="8">
        <v>37.0145494570097</v>
      </c>
      <c r="R467" s="9">
        <v>0</v>
      </c>
      <c r="S467" s="2" t="s">
        <v>1683</v>
      </c>
      <c r="T467" s="9">
        <v>0</v>
      </c>
      <c r="U467" s="9">
        <v>0</v>
      </c>
      <c r="V467" s="9">
        <v>46</v>
      </c>
      <c r="W467" s="9">
        <v>121</v>
      </c>
      <c r="X467" s="9">
        <v>121</v>
      </c>
      <c r="Y467" s="9">
        <v>80</v>
      </c>
      <c r="Z467" s="9">
        <v>119</v>
      </c>
      <c r="AA467" s="9">
        <v>109</v>
      </c>
      <c r="AB467" s="9">
        <v>0</v>
      </c>
      <c r="AC467" s="9">
        <v>48</v>
      </c>
      <c r="AD467" s="9">
        <v>36</v>
      </c>
      <c r="AE467" s="7">
        <v>0</v>
      </c>
      <c r="AF467" s="7">
        <v>0</v>
      </c>
      <c r="AG467" s="7">
        <v>0</v>
      </c>
      <c r="AH467" s="7">
        <v>0.00443012426558921</v>
      </c>
      <c r="AI467" s="7">
        <v>0.011683354103137301</v>
      </c>
      <c r="AJ467" s="7">
        <v>0.011636620686724801</v>
      </c>
      <c r="AK467" s="7">
        <v>0.0077271055102661303</v>
      </c>
      <c r="AL467" s="7">
        <v>0.0114647270367466</v>
      </c>
      <c r="AM467" s="7">
        <v>0.010515273321887101</v>
      </c>
      <c r="AN467" s="7">
        <v>0</v>
      </c>
      <c r="AO467" s="7">
        <v>0.0046479992294706498</v>
      </c>
      <c r="AP467" s="7">
        <v>0.0035162188730131498</v>
      </c>
      <c r="AQ467" s="9">
        <v>0</v>
      </c>
    </row>
    <row r="468" spans="1:43" ht="15">
      <c r="A468" s="2" t="s">
        <v>1684</v>
      </c>
      <c r="B468" s="5">
        <v>4916328</v>
      </c>
      <c r="C468" s="2" t="s">
        <v>35</v>
      </c>
      <c r="D468" s="2" t="s">
        <v>1685</v>
      </c>
      <c r="E468" s="2" t="s">
        <v>1686</v>
      </c>
      <c r="F468" s="2" t="s">
        <v>38</v>
      </c>
      <c r="G468" s="2" t="s">
        <v>38</v>
      </c>
      <c r="H468" s="2" t="s">
        <v>39</v>
      </c>
      <c r="I468" s="2" t="s">
        <v>28</v>
      </c>
      <c r="J468" s="6"/>
      <c r="K468" s="2" t="s">
        <v>1153</v>
      </c>
      <c r="L468" s="2" t="s">
        <v>30</v>
      </c>
      <c r="M468" s="2" t="s">
        <v>189</v>
      </c>
      <c r="N468" s="2" t="s">
        <v>1154</v>
      </c>
      <c r="O468" s="2" t="s">
        <v>1153</v>
      </c>
      <c r="P468" s="7">
        <v>10.1734108370398</v>
      </c>
      <c r="Q468" s="8">
        <v>45.817710622631999</v>
      </c>
      <c r="R468" s="9">
        <v>1600000</v>
      </c>
      <c r="S468" s="2" t="s">
        <v>1687</v>
      </c>
      <c r="T468" s="9">
        <v>2983333</v>
      </c>
      <c r="U468" s="9">
        <v>1048041</v>
      </c>
      <c r="V468" s="9">
        <v>858080</v>
      </c>
      <c r="W468" s="9">
        <v>1325661</v>
      </c>
      <c r="X468" s="9">
        <v>1320228</v>
      </c>
      <c r="Y468" s="9">
        <v>1105015</v>
      </c>
      <c r="Z468" s="9">
        <v>1010028</v>
      </c>
      <c r="AA468" s="9">
        <v>1634807</v>
      </c>
      <c r="AB468" s="9">
        <v>1199634</v>
      </c>
      <c r="AC468" s="9">
        <v>872565</v>
      </c>
      <c r="AD468" s="9">
        <v>1024840</v>
      </c>
      <c r="AE468" s="7">
        <v>0.086939054577427899</v>
      </c>
      <c r="AF468" s="7">
        <v>0.16210511218082899</v>
      </c>
      <c r="AG468" s="7">
        <v>0.056947311031348299</v>
      </c>
      <c r="AH468" s="7">
        <v>0.046625429222178598</v>
      </c>
      <c r="AI468" s="7">
        <v>0.072032297789943397</v>
      </c>
      <c r="AJ468" s="7">
        <v>0.071737083454738698</v>
      </c>
      <c r="AK468" s="7">
        <v>0.0600431126220283</v>
      </c>
      <c r="AL468" s="7">
        <v>0.0548817831562299</v>
      </c>
      <c r="AM468" s="7">
        <v>0.088830357016176198</v>
      </c>
      <c r="AN468" s="7">
        <v>0.065184417923522905</v>
      </c>
      <c r="AO468" s="7">
        <v>0.0474124935299352</v>
      </c>
      <c r="AP468" s="7">
        <v>0.055686654371263501</v>
      </c>
      <c r="AQ468" s="9">
        <v>0</v>
      </c>
    </row>
    <row r="469" spans="1:43" ht="15">
      <c r="A469" s="2" t="s">
        <v>1688</v>
      </c>
      <c r="B469" s="5">
        <v>4559854</v>
      </c>
      <c r="C469" s="2" t="s">
        <v>23</v>
      </c>
      <c r="D469" s="2" t="s">
        <v>1689</v>
      </c>
      <c r="E469" s="2" t="s">
        <v>1690</v>
      </c>
      <c r="F469" s="2" t="s">
        <v>26</v>
      </c>
      <c r="G469" s="2" t="s">
        <v>26</v>
      </c>
      <c r="H469" s="2" t="s">
        <v>27</v>
      </c>
      <c r="I469" s="2" t="s">
        <v>28</v>
      </c>
      <c r="J469" s="6"/>
      <c r="K469" s="2" t="s">
        <v>29</v>
      </c>
      <c r="L469" s="2" t="s">
        <v>30</v>
      </c>
      <c r="M469" s="2" t="s">
        <v>31</v>
      </c>
      <c r="N469" s="2" t="s">
        <v>32</v>
      </c>
      <c r="O469" s="2" t="s">
        <v>29</v>
      </c>
      <c r="P469" s="7">
        <v>16074.770343119701</v>
      </c>
      <c r="Q469" s="8">
        <v>22490.586035778899</v>
      </c>
      <c r="R469" s="9">
        <v>1683297</v>
      </c>
      <c r="S469" s="2" t="s">
        <v>1691</v>
      </c>
      <c r="T469" s="9">
        <v>4357026</v>
      </c>
      <c r="U469" s="9">
        <v>3371066</v>
      </c>
      <c r="V469" s="9">
        <v>2407636</v>
      </c>
      <c r="W469" s="9">
        <v>2504487</v>
      </c>
      <c r="X469" s="9">
        <v>2498822</v>
      </c>
      <c r="Y469" s="9">
        <v>2921019</v>
      </c>
      <c r="Z469" s="9">
        <v>2826056</v>
      </c>
      <c r="AA469" s="9">
        <v>3370090</v>
      </c>
      <c r="AB469" s="9">
        <v>3153805</v>
      </c>
      <c r="AC469" s="9">
        <v>2425519</v>
      </c>
      <c r="AD469" s="9">
        <v>2637133</v>
      </c>
      <c r="AE469" s="7">
        <v>0.335472547909622</v>
      </c>
      <c r="AF469" s="7">
        <v>0.86833306647145103</v>
      </c>
      <c r="AG469" s="7">
        <v>0.67183635932788</v>
      </c>
      <c r="AH469" s="7">
        <v>0.47982961216387898</v>
      </c>
      <c r="AI469" s="7">
        <v>0.49913164190440701</v>
      </c>
      <c r="AJ469" s="7">
        <v>0.49800252098433201</v>
      </c>
      <c r="AK469" s="7">
        <v>0.58214435784131502</v>
      </c>
      <c r="AL469" s="7">
        <v>0.56321865405331295</v>
      </c>
      <c r="AM469" s="7">
        <v>0.671641782691066</v>
      </c>
      <c r="AN469" s="7">
        <v>0.62853733769797504</v>
      </c>
      <c r="AO469" s="7">
        <v>0.48339362509004502</v>
      </c>
      <c r="AP469" s="7">
        <v>0.52556729670489599</v>
      </c>
      <c r="AQ469" s="9">
        <v>1414647</v>
      </c>
    </row>
    <row r="470" spans="1:43" ht="15">
      <c r="A470" s="2" t="s">
        <v>1692</v>
      </c>
      <c r="B470" s="5">
        <v>14361062</v>
      </c>
      <c r="C470" s="2" t="s">
        <v>23</v>
      </c>
      <c r="D470" s="2" t="s">
        <v>1693</v>
      </c>
      <c r="E470" s="2" t="s">
        <v>1694</v>
      </c>
      <c r="F470" s="2" t="s">
        <v>26</v>
      </c>
      <c r="G470" s="2" t="s">
        <v>26</v>
      </c>
      <c r="H470" s="2" t="s">
        <v>27</v>
      </c>
      <c r="I470" s="2" t="s">
        <v>28</v>
      </c>
      <c r="J470" s="6"/>
      <c r="K470" s="2" t="s">
        <v>55</v>
      </c>
      <c r="L470" s="2" t="s">
        <v>56</v>
      </c>
      <c r="M470" s="2" t="s">
        <v>55</v>
      </c>
      <c r="N470" s="2"/>
      <c r="O470" s="2"/>
      <c r="P470" s="6" t="s">
        <v>57</v>
      </c>
      <c r="Q470" s="6" t="s">
        <v>57</v>
      </c>
      <c r="R470" s="9">
        <v>0</v>
      </c>
      <c r="S470" s="2"/>
      <c r="T470" s="9">
        <v>0</v>
      </c>
      <c r="U470" s="9">
        <v>0</v>
      </c>
      <c r="V470" s="9">
        <v>0</v>
      </c>
      <c r="W470" s="9">
        <v>2424</v>
      </c>
      <c r="X470" s="9">
        <v>2424</v>
      </c>
      <c r="Y470" s="9">
        <v>2424</v>
      </c>
      <c r="Z470" s="9">
        <v>2424</v>
      </c>
      <c r="AA470" s="9">
        <v>2424</v>
      </c>
      <c r="AB470" s="9">
        <v>0</v>
      </c>
      <c r="AC470" s="9">
        <v>0</v>
      </c>
      <c r="AD470" s="9">
        <v>2424</v>
      </c>
      <c r="AE470" s="6" t="s">
        <v>57</v>
      </c>
      <c r="AF470" s="6" t="s">
        <v>57</v>
      </c>
      <c r="AG470" s="6" t="s">
        <v>57</v>
      </c>
      <c r="AH470" s="6" t="s">
        <v>57</v>
      </c>
      <c r="AI470" s="6" t="s">
        <v>57</v>
      </c>
      <c r="AJ470" s="6" t="s">
        <v>57</v>
      </c>
      <c r="AK470" s="6" t="s">
        <v>57</v>
      </c>
      <c r="AL470" s="6" t="s">
        <v>57</v>
      </c>
      <c r="AM470" s="6" t="s">
        <v>57</v>
      </c>
      <c r="AN470" s="6" t="s">
        <v>57</v>
      </c>
      <c r="AO470" s="6" t="s">
        <v>57</v>
      </c>
      <c r="AP470" s="6" t="s">
        <v>57</v>
      </c>
      <c r="AQ470" s="9">
        <v>0</v>
      </c>
    </row>
    <row r="471" spans="1:43" ht="15">
      <c r="A471" s="2" t="s">
        <v>1695</v>
      </c>
      <c r="B471" s="5">
        <v>109395407</v>
      </c>
      <c r="C471" s="2" t="s">
        <v>23</v>
      </c>
      <c r="D471" s="2" t="s">
        <v>1696</v>
      </c>
      <c r="E471" s="2" t="s">
        <v>1697</v>
      </c>
      <c r="F471" s="2" t="s">
        <v>26</v>
      </c>
      <c r="G471" s="2"/>
      <c r="H471" s="2"/>
      <c r="I471" s="2" t="s">
        <v>28</v>
      </c>
      <c r="J471" s="6"/>
      <c r="K471" s="2" t="s">
        <v>55</v>
      </c>
      <c r="L471" s="2" t="s">
        <v>56</v>
      </c>
      <c r="M471" s="2" t="s">
        <v>55</v>
      </c>
      <c r="N471" s="2"/>
      <c r="O471" s="2"/>
      <c r="P471" s="6" t="s">
        <v>57</v>
      </c>
      <c r="Q471" s="6" t="s">
        <v>57</v>
      </c>
      <c r="R471" s="9">
        <v>0</v>
      </c>
      <c r="S471" s="2"/>
      <c r="T471" s="9">
        <v>0</v>
      </c>
      <c r="U471" s="9">
        <v>6220</v>
      </c>
      <c r="V471" s="9">
        <v>5473</v>
      </c>
      <c r="W471" s="9">
        <v>1764</v>
      </c>
      <c r="X471" s="9">
        <v>1757</v>
      </c>
      <c r="Y471" s="9">
        <v>1205</v>
      </c>
      <c r="Z471" s="9">
        <v>1205</v>
      </c>
      <c r="AA471" s="9">
        <v>1205</v>
      </c>
      <c r="AB471" s="9">
        <v>7109</v>
      </c>
      <c r="AC471" s="9">
        <v>5232</v>
      </c>
      <c r="AD471" s="9">
        <v>2825</v>
      </c>
      <c r="AE471" s="6" t="s">
        <v>57</v>
      </c>
      <c r="AF471" s="6" t="s">
        <v>57</v>
      </c>
      <c r="AG471" s="6" t="s">
        <v>57</v>
      </c>
      <c r="AH471" s="6" t="s">
        <v>57</v>
      </c>
      <c r="AI471" s="6" t="s">
        <v>57</v>
      </c>
      <c r="AJ471" s="6" t="s">
        <v>57</v>
      </c>
      <c r="AK471" s="6" t="s">
        <v>57</v>
      </c>
      <c r="AL471" s="6" t="s">
        <v>57</v>
      </c>
      <c r="AM471" s="6" t="s">
        <v>57</v>
      </c>
      <c r="AN471" s="6" t="s">
        <v>57</v>
      </c>
      <c r="AO471" s="6" t="s">
        <v>57</v>
      </c>
      <c r="AP471" s="6" t="s">
        <v>57</v>
      </c>
      <c r="AQ471" s="9">
        <v>0</v>
      </c>
    </row>
    <row r="472" spans="1:43" ht="15">
      <c r="A472" s="2" t="s">
        <v>1698</v>
      </c>
      <c r="B472" s="5">
        <v>109547930</v>
      </c>
      <c r="C472" s="2" t="s">
        <v>23</v>
      </c>
      <c r="D472" s="2" t="s">
        <v>1699</v>
      </c>
      <c r="E472" s="2" t="s">
        <v>1700</v>
      </c>
      <c r="F472" s="2" t="s">
        <v>26</v>
      </c>
      <c r="G472" s="2" t="s">
        <v>26</v>
      </c>
      <c r="H472" s="2" t="s">
        <v>27</v>
      </c>
      <c r="I472" s="2" t="s">
        <v>28</v>
      </c>
      <c r="J472" s="6"/>
      <c r="K472" s="2" t="s">
        <v>55</v>
      </c>
      <c r="L472" s="2" t="s">
        <v>56</v>
      </c>
      <c r="M472" s="2" t="s">
        <v>55</v>
      </c>
      <c r="N472" s="2"/>
      <c r="O472" s="2"/>
      <c r="P472" s="6" t="s">
        <v>57</v>
      </c>
      <c r="Q472" s="6" t="s">
        <v>57</v>
      </c>
      <c r="R472" s="9">
        <v>15733</v>
      </c>
      <c r="S472" s="2"/>
      <c r="T472" s="9">
        <v>5244</v>
      </c>
      <c r="U472" s="9">
        <v>1720</v>
      </c>
      <c r="V472" s="9">
        <v>1916</v>
      </c>
      <c r="W472" s="9">
        <v>3157</v>
      </c>
      <c r="X472" s="9">
        <v>3145</v>
      </c>
      <c r="Y472" s="9">
        <v>2843</v>
      </c>
      <c r="Z472" s="9">
        <v>2340</v>
      </c>
      <c r="AA472" s="9">
        <v>4394</v>
      </c>
      <c r="AB472" s="9">
        <v>1966</v>
      </c>
      <c r="AC472" s="9">
        <v>2010</v>
      </c>
      <c r="AD472" s="9">
        <v>2758</v>
      </c>
      <c r="AE472" s="6" t="s">
        <v>57</v>
      </c>
      <c r="AF472" s="6" t="s">
        <v>57</v>
      </c>
      <c r="AG472" s="6" t="s">
        <v>57</v>
      </c>
      <c r="AH472" s="6" t="s">
        <v>57</v>
      </c>
      <c r="AI472" s="6" t="s">
        <v>57</v>
      </c>
      <c r="AJ472" s="6" t="s">
        <v>57</v>
      </c>
      <c r="AK472" s="6" t="s">
        <v>57</v>
      </c>
      <c r="AL472" s="6" t="s">
        <v>57</v>
      </c>
      <c r="AM472" s="6" t="s">
        <v>57</v>
      </c>
      <c r="AN472" s="6" t="s">
        <v>57</v>
      </c>
      <c r="AO472" s="6" t="s">
        <v>57</v>
      </c>
      <c r="AP472" s="6" t="s">
        <v>57</v>
      </c>
      <c r="AQ472" s="9">
        <v>31466</v>
      </c>
    </row>
    <row r="473" spans="1:43" ht="15">
      <c r="A473" s="2" t="s">
        <v>1701</v>
      </c>
      <c r="B473" s="5">
        <v>116676265</v>
      </c>
      <c r="C473" s="2" t="s">
        <v>23</v>
      </c>
      <c r="D473" s="2" t="s">
        <v>1702</v>
      </c>
      <c r="E473" s="2" t="s">
        <v>1703</v>
      </c>
      <c r="F473" s="2" t="s">
        <v>26</v>
      </c>
      <c r="G473" s="2"/>
      <c r="H473" s="2"/>
      <c r="I473" s="2" t="s">
        <v>28</v>
      </c>
      <c r="J473" s="6"/>
      <c r="K473" s="2" t="s">
        <v>55</v>
      </c>
      <c r="L473" s="2" t="s">
        <v>56</v>
      </c>
      <c r="M473" s="2" t="s">
        <v>55</v>
      </c>
      <c r="N473" s="2"/>
      <c r="O473" s="2"/>
      <c r="P473" s="6" t="s">
        <v>57</v>
      </c>
      <c r="Q473" s="6" t="s">
        <v>57</v>
      </c>
      <c r="R473" s="9">
        <v>87</v>
      </c>
      <c r="S473" s="2"/>
      <c r="T473" s="9">
        <v>250</v>
      </c>
      <c r="U473" s="9">
        <v>198</v>
      </c>
      <c r="V473" s="9">
        <v>308</v>
      </c>
      <c r="W473" s="9">
        <v>663</v>
      </c>
      <c r="X473" s="9">
        <v>661</v>
      </c>
      <c r="Y473" s="9">
        <v>404</v>
      </c>
      <c r="Z473" s="9">
        <v>386</v>
      </c>
      <c r="AA473" s="9">
        <v>386</v>
      </c>
      <c r="AB473" s="9">
        <v>174</v>
      </c>
      <c r="AC473" s="9">
        <v>299</v>
      </c>
      <c r="AD473" s="9">
        <v>1124</v>
      </c>
      <c r="AE473" s="6" t="s">
        <v>57</v>
      </c>
      <c r="AF473" s="6" t="s">
        <v>57</v>
      </c>
      <c r="AG473" s="6" t="s">
        <v>57</v>
      </c>
      <c r="AH473" s="6" t="s">
        <v>57</v>
      </c>
      <c r="AI473" s="6" t="s">
        <v>57</v>
      </c>
      <c r="AJ473" s="6" t="s">
        <v>57</v>
      </c>
      <c r="AK473" s="6" t="s">
        <v>57</v>
      </c>
      <c r="AL473" s="6" t="s">
        <v>57</v>
      </c>
      <c r="AM473" s="6" t="s">
        <v>57</v>
      </c>
      <c r="AN473" s="6" t="s">
        <v>57</v>
      </c>
      <c r="AO473" s="6" t="s">
        <v>57</v>
      </c>
      <c r="AP473" s="6" t="s">
        <v>57</v>
      </c>
      <c r="AQ473" s="9">
        <v>24</v>
      </c>
    </row>
    <row r="474" spans="1:43" ht="15">
      <c r="A474" s="2" t="s">
        <v>1704</v>
      </c>
      <c r="B474" s="5">
        <v>5886310</v>
      </c>
      <c r="C474" s="2" t="s">
        <v>23</v>
      </c>
      <c r="D474" s="2" t="s">
        <v>1705</v>
      </c>
      <c r="E474" s="2" t="s">
        <v>1706</v>
      </c>
      <c r="F474" s="2" t="s">
        <v>26</v>
      </c>
      <c r="G474" s="2" t="s">
        <v>26</v>
      </c>
      <c r="H474" s="2" t="s">
        <v>27</v>
      </c>
      <c r="I474" s="2" t="s">
        <v>28</v>
      </c>
      <c r="J474" s="6"/>
      <c r="K474" s="2" t="s">
        <v>55</v>
      </c>
      <c r="L474" s="2" t="s">
        <v>56</v>
      </c>
      <c r="M474" s="2" t="s">
        <v>55</v>
      </c>
      <c r="N474" s="2"/>
      <c r="O474" s="2"/>
      <c r="P474" s="6" t="s">
        <v>57</v>
      </c>
      <c r="Q474" s="6" t="s">
        <v>57</v>
      </c>
      <c r="R474" s="9">
        <v>0</v>
      </c>
      <c r="S474" s="2"/>
      <c r="T474" s="9">
        <v>0</v>
      </c>
      <c r="U474" s="9">
        <v>4605</v>
      </c>
      <c r="V474" s="9">
        <v>3763</v>
      </c>
      <c r="W474" s="9">
        <v>2007</v>
      </c>
      <c r="X474" s="9">
        <v>2007</v>
      </c>
      <c r="Y474" s="9">
        <v>2007</v>
      </c>
      <c r="Z474" s="9">
        <v>2007</v>
      </c>
      <c r="AA474" s="9">
        <v>2007</v>
      </c>
      <c r="AB474" s="9">
        <v>5263</v>
      </c>
      <c r="AC474" s="9">
        <v>1812</v>
      </c>
      <c r="AD474" s="9">
        <v>2007</v>
      </c>
      <c r="AE474" s="6" t="s">
        <v>57</v>
      </c>
      <c r="AF474" s="6" t="s">
        <v>57</v>
      </c>
      <c r="AG474" s="6" t="s">
        <v>57</v>
      </c>
      <c r="AH474" s="6" t="s">
        <v>57</v>
      </c>
      <c r="AI474" s="6" t="s">
        <v>57</v>
      </c>
      <c r="AJ474" s="6" t="s">
        <v>57</v>
      </c>
      <c r="AK474" s="6" t="s">
        <v>57</v>
      </c>
      <c r="AL474" s="6" t="s">
        <v>57</v>
      </c>
      <c r="AM474" s="6" t="s">
        <v>57</v>
      </c>
      <c r="AN474" s="6" t="s">
        <v>57</v>
      </c>
      <c r="AO474" s="6" t="s">
        <v>57</v>
      </c>
      <c r="AP474" s="6" t="s">
        <v>57</v>
      </c>
      <c r="AQ474" s="9">
        <v>0</v>
      </c>
    </row>
    <row r="475" spans="1:43" ht="15">
      <c r="A475" s="2" t="s">
        <v>1707</v>
      </c>
      <c r="B475" s="5">
        <v>139435336</v>
      </c>
      <c r="C475" s="2" t="s">
        <v>23</v>
      </c>
      <c r="D475" s="2" t="s">
        <v>1708</v>
      </c>
      <c r="E475" s="2" t="s">
        <v>1709</v>
      </c>
      <c r="F475" s="2" t="s">
        <v>26</v>
      </c>
      <c r="G475" s="2"/>
      <c r="H475" s="2"/>
      <c r="I475" s="2" t="s">
        <v>28</v>
      </c>
      <c r="J475" s="6"/>
      <c r="K475" s="2" t="s">
        <v>55</v>
      </c>
      <c r="L475" s="2" t="s">
        <v>56</v>
      </c>
      <c r="M475" s="2" t="s">
        <v>55</v>
      </c>
      <c r="N475" s="2"/>
      <c r="O475" s="2"/>
      <c r="P475" s="6" t="s">
        <v>57</v>
      </c>
      <c r="Q475" s="6" t="s">
        <v>57</v>
      </c>
      <c r="R475" s="6" t="s">
        <v>57</v>
      </c>
      <c r="S475" s="2"/>
      <c r="T475" s="6" t="s">
        <v>57</v>
      </c>
      <c r="U475" s="6" t="s">
        <v>57</v>
      </c>
      <c r="V475" s="6" t="s">
        <v>57</v>
      </c>
      <c r="W475" s="6" t="s">
        <v>57</v>
      </c>
      <c r="X475" s="6" t="s">
        <v>57</v>
      </c>
      <c r="Y475" s="6" t="s">
        <v>57</v>
      </c>
      <c r="Z475" s="6" t="s">
        <v>57</v>
      </c>
      <c r="AA475" s="6" t="s">
        <v>57</v>
      </c>
      <c r="AB475" s="6" t="s">
        <v>57</v>
      </c>
      <c r="AC475" s="6" t="s">
        <v>57</v>
      </c>
      <c r="AD475" s="6" t="s">
        <v>57</v>
      </c>
      <c r="AE475" s="6" t="s">
        <v>57</v>
      </c>
      <c r="AF475" s="6" t="s">
        <v>57</v>
      </c>
      <c r="AG475" s="6" t="s">
        <v>57</v>
      </c>
      <c r="AH475" s="6" t="s">
        <v>57</v>
      </c>
      <c r="AI475" s="6" t="s">
        <v>57</v>
      </c>
      <c r="AJ475" s="6" t="s">
        <v>57</v>
      </c>
      <c r="AK475" s="6" t="s">
        <v>57</v>
      </c>
      <c r="AL475" s="6" t="s">
        <v>57</v>
      </c>
      <c r="AM475" s="6" t="s">
        <v>57</v>
      </c>
      <c r="AN475" s="6" t="s">
        <v>57</v>
      </c>
      <c r="AO475" s="6" t="s">
        <v>57</v>
      </c>
      <c r="AP475" s="6" t="s">
        <v>57</v>
      </c>
      <c r="AQ475" s="6" t="s">
        <v>57</v>
      </c>
    </row>
    <row r="476" spans="1:43" ht="15">
      <c r="A476" s="2" t="s">
        <v>1710</v>
      </c>
      <c r="B476" s="5">
        <v>135378375</v>
      </c>
      <c r="C476" s="2" t="s">
        <v>23</v>
      </c>
      <c r="D476" s="2" t="s">
        <v>1711</v>
      </c>
      <c r="E476" s="2" t="s">
        <v>1712</v>
      </c>
      <c r="F476" s="2" t="s">
        <v>26</v>
      </c>
      <c r="G476" s="2"/>
      <c r="H476" s="2"/>
      <c r="I476" s="2" t="s">
        <v>28</v>
      </c>
      <c r="J476" s="6"/>
      <c r="K476" s="2" t="s">
        <v>55</v>
      </c>
      <c r="L476" s="2" t="s">
        <v>56</v>
      </c>
      <c r="M476" s="2" t="s">
        <v>55</v>
      </c>
      <c r="N476" s="2"/>
      <c r="O476" s="2"/>
      <c r="P476" s="6" t="s">
        <v>57</v>
      </c>
      <c r="Q476" s="6" t="s">
        <v>57</v>
      </c>
      <c r="R476" s="9">
        <v>0</v>
      </c>
      <c r="S476" s="2"/>
      <c r="T476" s="9">
        <v>0</v>
      </c>
      <c r="U476" s="9">
        <v>0</v>
      </c>
      <c r="V476" s="9">
        <v>1294</v>
      </c>
      <c r="W476" s="9">
        <v>3077</v>
      </c>
      <c r="X476" s="9">
        <v>3065</v>
      </c>
      <c r="Y476" s="9">
        <v>4230</v>
      </c>
      <c r="Z476" s="9">
        <v>4230</v>
      </c>
      <c r="AA476" s="9">
        <v>4230</v>
      </c>
      <c r="AB476" s="9">
        <v>0</v>
      </c>
      <c r="AC476" s="9">
        <v>1358</v>
      </c>
      <c r="AD476" s="9">
        <v>1075</v>
      </c>
      <c r="AE476" s="6" t="s">
        <v>57</v>
      </c>
      <c r="AF476" s="6" t="s">
        <v>57</v>
      </c>
      <c r="AG476" s="6" t="s">
        <v>57</v>
      </c>
      <c r="AH476" s="6" t="s">
        <v>57</v>
      </c>
      <c r="AI476" s="6" t="s">
        <v>57</v>
      </c>
      <c r="AJ476" s="6" t="s">
        <v>57</v>
      </c>
      <c r="AK476" s="6" t="s">
        <v>57</v>
      </c>
      <c r="AL476" s="6" t="s">
        <v>57</v>
      </c>
      <c r="AM476" s="6" t="s">
        <v>57</v>
      </c>
      <c r="AN476" s="6" t="s">
        <v>57</v>
      </c>
      <c r="AO476" s="6" t="s">
        <v>57</v>
      </c>
      <c r="AP476" s="6" t="s">
        <v>57</v>
      </c>
      <c r="AQ476" s="9">
        <v>0</v>
      </c>
    </row>
    <row r="477" spans="1:43" ht="15">
      <c r="A477" s="2" t="s">
        <v>1713</v>
      </c>
      <c r="B477" s="5">
        <v>135378276</v>
      </c>
      <c r="C477" s="2" t="s">
        <v>23</v>
      </c>
      <c r="D477" s="2" t="s">
        <v>1714</v>
      </c>
      <c r="E477" s="2" t="s">
        <v>1715</v>
      </c>
      <c r="F477" s="2" t="s">
        <v>26</v>
      </c>
      <c r="G477" s="2"/>
      <c r="H477" s="2"/>
      <c r="I477" s="2" t="s">
        <v>28</v>
      </c>
      <c r="J477" s="6"/>
      <c r="K477" s="2" t="s">
        <v>55</v>
      </c>
      <c r="L477" s="2" t="s">
        <v>56</v>
      </c>
      <c r="M477" s="2" t="s">
        <v>55</v>
      </c>
      <c r="N477" s="2"/>
      <c r="O477" s="2"/>
      <c r="P477" s="6" t="s">
        <v>57</v>
      </c>
      <c r="Q477" s="6" t="s">
        <v>57</v>
      </c>
      <c r="R477" s="9">
        <v>0</v>
      </c>
      <c r="S477" s="2"/>
      <c r="T477" s="9">
        <v>8872</v>
      </c>
      <c r="U477" s="9">
        <v>2395</v>
      </c>
      <c r="V477" s="9">
        <v>1721</v>
      </c>
      <c r="W477" s="9">
        <v>933</v>
      </c>
      <c r="X477" s="9">
        <v>933</v>
      </c>
      <c r="Y477" s="9">
        <v>933</v>
      </c>
      <c r="Z477" s="9">
        <v>933</v>
      </c>
      <c r="AA477" s="9">
        <v>933</v>
      </c>
      <c r="AB477" s="9">
        <v>2738</v>
      </c>
      <c r="AC477" s="9">
        <v>1806</v>
      </c>
      <c r="AD477" s="9">
        <v>933</v>
      </c>
      <c r="AE477" s="6" t="s">
        <v>57</v>
      </c>
      <c r="AF477" s="6" t="s">
        <v>57</v>
      </c>
      <c r="AG477" s="6" t="s">
        <v>57</v>
      </c>
      <c r="AH477" s="6" t="s">
        <v>57</v>
      </c>
      <c r="AI477" s="6" t="s">
        <v>57</v>
      </c>
      <c r="AJ477" s="6" t="s">
        <v>57</v>
      </c>
      <c r="AK477" s="6" t="s">
        <v>57</v>
      </c>
      <c r="AL477" s="6" t="s">
        <v>57</v>
      </c>
      <c r="AM477" s="6" t="s">
        <v>57</v>
      </c>
      <c r="AN477" s="6" t="s">
        <v>57</v>
      </c>
      <c r="AO477" s="6" t="s">
        <v>57</v>
      </c>
      <c r="AP477" s="6" t="s">
        <v>57</v>
      </c>
      <c r="AQ477" s="9">
        <v>0</v>
      </c>
    </row>
    <row r="478" spans="1:43" ht="15">
      <c r="A478" s="2" t="s">
        <v>1716</v>
      </c>
      <c r="B478" s="5">
        <v>22225554</v>
      </c>
      <c r="C478" s="2" t="s">
        <v>23</v>
      </c>
      <c r="D478" s="2" t="s">
        <v>1717</v>
      </c>
      <c r="E478" s="2" t="s">
        <v>1718</v>
      </c>
      <c r="F478" s="2" t="s">
        <v>26</v>
      </c>
      <c r="G478" s="2" t="s">
        <v>26</v>
      </c>
      <c r="H478" s="2" t="s">
        <v>27</v>
      </c>
      <c r="I478" s="2" t="s">
        <v>28</v>
      </c>
      <c r="J478" s="6"/>
      <c r="K478" s="2" t="s">
        <v>55</v>
      </c>
      <c r="L478" s="2" t="s">
        <v>56</v>
      </c>
      <c r="M478" s="2" t="s">
        <v>55</v>
      </c>
      <c r="N478" s="2"/>
      <c r="O478" s="2"/>
      <c r="P478" s="6" t="s">
        <v>57</v>
      </c>
      <c r="Q478" s="6" t="s">
        <v>57</v>
      </c>
      <c r="R478" s="9">
        <v>0</v>
      </c>
      <c r="S478" s="2"/>
      <c r="T478" s="9">
        <v>0</v>
      </c>
      <c r="U478" s="9">
        <v>1591</v>
      </c>
      <c r="V478" s="9">
        <v>5652</v>
      </c>
      <c r="W478" s="9">
        <v>5873</v>
      </c>
      <c r="X478" s="9">
        <v>6187</v>
      </c>
      <c r="Y478" s="9">
        <v>11328</v>
      </c>
      <c r="Z478" s="9">
        <v>10152</v>
      </c>
      <c r="AA478" s="9">
        <v>10152</v>
      </c>
      <c r="AB478" s="9">
        <v>1818</v>
      </c>
      <c r="AC478" s="9">
        <v>5930</v>
      </c>
      <c r="AD478" s="9">
        <v>4260</v>
      </c>
      <c r="AE478" s="6" t="s">
        <v>57</v>
      </c>
      <c r="AF478" s="6" t="s">
        <v>57</v>
      </c>
      <c r="AG478" s="6" t="s">
        <v>57</v>
      </c>
      <c r="AH478" s="6" t="s">
        <v>57</v>
      </c>
      <c r="AI478" s="6" t="s">
        <v>57</v>
      </c>
      <c r="AJ478" s="6" t="s">
        <v>57</v>
      </c>
      <c r="AK478" s="6" t="s">
        <v>57</v>
      </c>
      <c r="AL478" s="6" t="s">
        <v>57</v>
      </c>
      <c r="AM478" s="6" t="s">
        <v>57</v>
      </c>
      <c r="AN478" s="6" t="s">
        <v>57</v>
      </c>
      <c r="AO478" s="6" t="s">
        <v>57</v>
      </c>
      <c r="AP478" s="6" t="s">
        <v>57</v>
      </c>
      <c r="AQ478" s="9">
        <v>0</v>
      </c>
    </row>
    <row r="479" spans="1:43" ht="15">
      <c r="A479" s="2" t="s">
        <v>1719</v>
      </c>
      <c r="B479" s="5">
        <v>6846003</v>
      </c>
      <c r="C479" s="2" t="s">
        <v>23</v>
      </c>
      <c r="D479" s="2" t="s">
        <v>1720</v>
      </c>
      <c r="E479" s="2" t="s">
        <v>1721</v>
      </c>
      <c r="F479" s="2" t="s">
        <v>26</v>
      </c>
      <c r="G479" s="2" t="s">
        <v>26</v>
      </c>
      <c r="H479" s="2" t="s">
        <v>27</v>
      </c>
      <c r="I479" s="2" t="s">
        <v>28</v>
      </c>
      <c r="J479" s="6"/>
      <c r="K479" s="2" t="s">
        <v>55</v>
      </c>
      <c r="L479" s="2" t="s">
        <v>56</v>
      </c>
      <c r="M479" s="2" t="s">
        <v>55</v>
      </c>
      <c r="N479" s="2"/>
      <c r="O479" s="2"/>
      <c r="P479" s="7">
        <v>1.89386765696356</v>
      </c>
      <c r="Q479" s="6" t="s">
        <v>57</v>
      </c>
      <c r="R479" s="9">
        <v>1331</v>
      </c>
      <c r="S479" s="2"/>
      <c r="T479" s="9">
        <v>3572</v>
      </c>
      <c r="U479" s="9">
        <v>11484</v>
      </c>
      <c r="V479" s="9">
        <v>41354</v>
      </c>
      <c r="W479" s="9">
        <v>16321</v>
      </c>
      <c r="X479" s="9">
        <v>16256</v>
      </c>
      <c r="Y479" s="9">
        <v>8867</v>
      </c>
      <c r="Z479" s="9">
        <v>6023</v>
      </c>
      <c r="AA479" s="9">
        <v>3856</v>
      </c>
      <c r="AB479" s="9">
        <v>8317</v>
      </c>
      <c r="AC479" s="9">
        <v>43258</v>
      </c>
      <c r="AD479" s="9">
        <v>28222</v>
      </c>
      <c r="AE479" s="6" t="s">
        <v>57</v>
      </c>
      <c r="AF479" s="6" t="s">
        <v>57</v>
      </c>
      <c r="AG479" s="6" t="s">
        <v>57</v>
      </c>
      <c r="AH479" s="6" t="s">
        <v>57</v>
      </c>
      <c r="AI479" s="6" t="s">
        <v>57</v>
      </c>
      <c r="AJ479" s="6" t="s">
        <v>57</v>
      </c>
      <c r="AK479" s="6" t="s">
        <v>57</v>
      </c>
      <c r="AL479" s="6" t="s">
        <v>57</v>
      </c>
      <c r="AM479" s="6" t="s">
        <v>57</v>
      </c>
      <c r="AN479" s="6" t="s">
        <v>57</v>
      </c>
      <c r="AO479" s="6" t="s">
        <v>57</v>
      </c>
      <c r="AP479" s="6" t="s">
        <v>57</v>
      </c>
      <c r="AQ479" s="9">
        <v>0</v>
      </c>
    </row>
    <row r="480" spans="1:43" ht="15">
      <c r="A480" s="2" t="s">
        <v>1722</v>
      </c>
      <c r="B480" s="5">
        <v>5738105</v>
      </c>
      <c r="C480" s="2" t="s">
        <v>23</v>
      </c>
      <c r="D480" s="2" t="s">
        <v>1723</v>
      </c>
      <c r="E480" s="2" t="s">
        <v>1724</v>
      </c>
      <c r="F480" s="2" t="s">
        <v>26</v>
      </c>
      <c r="G480" s="2" t="s">
        <v>26</v>
      </c>
      <c r="H480" s="2" t="s">
        <v>27</v>
      </c>
      <c r="I480" s="2" t="s">
        <v>28</v>
      </c>
      <c r="J480" s="6"/>
      <c r="K480" s="2" t="s">
        <v>55</v>
      </c>
      <c r="L480" s="2" t="s">
        <v>56</v>
      </c>
      <c r="M480" s="2" t="s">
        <v>55</v>
      </c>
      <c r="N480" s="2"/>
      <c r="O480" s="2"/>
      <c r="P480" s="7">
        <v>13.5762585287066</v>
      </c>
      <c r="Q480" s="6" t="s">
        <v>57</v>
      </c>
      <c r="R480" s="9">
        <v>60663</v>
      </c>
      <c r="S480" s="2"/>
      <c r="T480" s="9">
        <v>143018</v>
      </c>
      <c r="U480" s="9">
        <v>186998</v>
      </c>
      <c r="V480" s="9">
        <v>190233</v>
      </c>
      <c r="W480" s="9">
        <v>168563</v>
      </c>
      <c r="X480" s="9">
        <v>168142</v>
      </c>
      <c r="Y480" s="9">
        <v>133173</v>
      </c>
      <c r="Z480" s="9">
        <v>88747</v>
      </c>
      <c r="AA480" s="9">
        <v>53222</v>
      </c>
      <c r="AB480" s="9">
        <v>184738</v>
      </c>
      <c r="AC480" s="9">
        <v>195612</v>
      </c>
      <c r="AD480" s="9">
        <v>184426</v>
      </c>
      <c r="AE480" s="6" t="s">
        <v>57</v>
      </c>
      <c r="AF480" s="6" t="s">
        <v>57</v>
      </c>
      <c r="AG480" s="6" t="s">
        <v>57</v>
      </c>
      <c r="AH480" s="6" t="s">
        <v>57</v>
      </c>
      <c r="AI480" s="6" t="s">
        <v>57</v>
      </c>
      <c r="AJ480" s="6" t="s">
        <v>57</v>
      </c>
      <c r="AK480" s="6" t="s">
        <v>57</v>
      </c>
      <c r="AL480" s="6" t="s">
        <v>57</v>
      </c>
      <c r="AM480" s="6" t="s">
        <v>57</v>
      </c>
      <c r="AN480" s="6" t="s">
        <v>57</v>
      </c>
      <c r="AO480" s="6" t="s">
        <v>57</v>
      </c>
      <c r="AP480" s="6" t="s">
        <v>57</v>
      </c>
      <c r="AQ480" s="9">
        <v>116360</v>
      </c>
    </row>
    <row r="481" spans="1:43" ht="15">
      <c r="A481" s="2" t="s">
        <v>1725</v>
      </c>
      <c r="B481" s="5">
        <v>5738120</v>
      </c>
      <c r="C481" s="2" t="s">
        <v>23</v>
      </c>
      <c r="D481" s="2" t="s">
        <v>1726</v>
      </c>
      <c r="E481" s="2" t="s">
        <v>1727</v>
      </c>
      <c r="F481" s="2" t="s">
        <v>26</v>
      </c>
      <c r="G481" s="2" t="s">
        <v>26</v>
      </c>
      <c r="H481" s="2" t="s">
        <v>27</v>
      </c>
      <c r="I481" s="2" t="s">
        <v>28</v>
      </c>
      <c r="J481" s="6"/>
      <c r="K481" s="2" t="s">
        <v>55</v>
      </c>
      <c r="L481" s="2" t="s">
        <v>56</v>
      </c>
      <c r="M481" s="2" t="s">
        <v>55</v>
      </c>
      <c r="N481" s="2"/>
      <c r="O481" s="2"/>
      <c r="P481" s="7">
        <v>11.083149029298999</v>
      </c>
      <c r="Q481" s="6" t="s">
        <v>57</v>
      </c>
      <c r="R481" s="9">
        <v>37353</v>
      </c>
      <c r="S481" s="2" t="s">
        <v>1728</v>
      </c>
      <c r="T481" s="9">
        <v>68621</v>
      </c>
      <c r="U481" s="9">
        <v>27084</v>
      </c>
      <c r="V481" s="9">
        <v>25750</v>
      </c>
      <c r="W481" s="9">
        <v>38299</v>
      </c>
      <c r="X481" s="9">
        <v>38198</v>
      </c>
      <c r="Y481" s="9">
        <v>28483</v>
      </c>
      <c r="Z481" s="9">
        <v>24520</v>
      </c>
      <c r="AA481" s="9">
        <v>19837</v>
      </c>
      <c r="AB481" s="9">
        <v>28848</v>
      </c>
      <c r="AC481" s="9">
        <v>25524</v>
      </c>
      <c r="AD481" s="9">
        <v>29253</v>
      </c>
      <c r="AE481" s="6" t="s">
        <v>57</v>
      </c>
      <c r="AF481" s="6" t="s">
        <v>57</v>
      </c>
      <c r="AG481" s="6" t="s">
        <v>57</v>
      </c>
      <c r="AH481" s="6" t="s">
        <v>57</v>
      </c>
      <c r="AI481" s="6" t="s">
        <v>57</v>
      </c>
      <c r="AJ481" s="6" t="s">
        <v>57</v>
      </c>
      <c r="AK481" s="6" t="s">
        <v>57</v>
      </c>
      <c r="AL481" s="6" t="s">
        <v>57</v>
      </c>
      <c r="AM481" s="6" t="s">
        <v>57</v>
      </c>
      <c r="AN481" s="6" t="s">
        <v>57</v>
      </c>
      <c r="AO481" s="6" t="s">
        <v>57</v>
      </c>
      <c r="AP481" s="6" t="s">
        <v>57</v>
      </c>
      <c r="AQ481" s="9">
        <v>49104</v>
      </c>
    </row>
    <row r="482" spans="1:43" ht="15">
      <c r="A482" s="2" t="s">
        <v>1729</v>
      </c>
      <c r="B482" s="5">
        <v>9043191</v>
      </c>
      <c r="C482" s="2" t="s">
        <v>23</v>
      </c>
      <c r="D482" s="2" t="s">
        <v>1730</v>
      </c>
      <c r="E482" s="2" t="s">
        <v>1731</v>
      </c>
      <c r="F482" s="2" t="s">
        <v>26</v>
      </c>
      <c r="G482" s="2"/>
      <c r="H482" s="2"/>
      <c r="I482" s="2" t="s">
        <v>28</v>
      </c>
      <c r="J482" s="6"/>
      <c r="K482" s="2" t="s">
        <v>55</v>
      </c>
      <c r="L482" s="2" t="s">
        <v>56</v>
      </c>
      <c r="M482" s="2" t="s">
        <v>55</v>
      </c>
      <c r="N482" s="2"/>
      <c r="O482" s="2"/>
      <c r="P482" s="6" t="s">
        <v>57</v>
      </c>
      <c r="Q482" s="6" t="s">
        <v>57</v>
      </c>
      <c r="R482" s="9">
        <v>0</v>
      </c>
      <c r="S482" s="2"/>
      <c r="T482" s="9">
        <v>0</v>
      </c>
      <c r="U482" s="9">
        <v>0</v>
      </c>
      <c r="V482" s="9">
        <v>0</v>
      </c>
      <c r="W482" s="9">
        <v>4659</v>
      </c>
      <c r="X482" s="9">
        <v>4640</v>
      </c>
      <c r="Y482" s="9">
        <v>2334</v>
      </c>
      <c r="Z482" s="9">
        <v>2337</v>
      </c>
      <c r="AA482" s="9">
        <v>2721</v>
      </c>
      <c r="AB482" s="9">
        <v>0</v>
      </c>
      <c r="AC482" s="9">
        <v>0</v>
      </c>
      <c r="AD482" s="9">
        <v>0</v>
      </c>
      <c r="AE482" s="6" t="s">
        <v>57</v>
      </c>
      <c r="AF482" s="6" t="s">
        <v>57</v>
      </c>
      <c r="AG482" s="6" t="s">
        <v>57</v>
      </c>
      <c r="AH482" s="6" t="s">
        <v>57</v>
      </c>
      <c r="AI482" s="6" t="s">
        <v>57</v>
      </c>
      <c r="AJ482" s="6" t="s">
        <v>57</v>
      </c>
      <c r="AK482" s="6" t="s">
        <v>57</v>
      </c>
      <c r="AL482" s="6" t="s">
        <v>57</v>
      </c>
      <c r="AM482" s="6" t="s">
        <v>57</v>
      </c>
      <c r="AN482" s="6" t="s">
        <v>57</v>
      </c>
      <c r="AO482" s="6" t="s">
        <v>57</v>
      </c>
      <c r="AP482" s="6" t="s">
        <v>57</v>
      </c>
      <c r="AQ482" s="9">
        <v>0</v>
      </c>
    </row>
    <row r="483" spans="1:43" ht="15">
      <c r="A483" s="2" t="s">
        <v>1732</v>
      </c>
      <c r="B483" s="5">
        <v>6624805</v>
      </c>
      <c r="C483" s="2" t="s">
        <v>23</v>
      </c>
      <c r="D483" s="2" t="s">
        <v>1733</v>
      </c>
      <c r="E483" s="2" t="s">
        <v>1734</v>
      </c>
      <c r="F483" s="2" t="s">
        <v>26</v>
      </c>
      <c r="G483" s="2" t="s">
        <v>26</v>
      </c>
      <c r="H483" s="2" t="s">
        <v>27</v>
      </c>
      <c r="I483" s="2" t="s">
        <v>28</v>
      </c>
      <c r="J483" s="6"/>
      <c r="K483" s="2" t="s">
        <v>211</v>
      </c>
      <c r="L483" s="2" t="s">
        <v>30</v>
      </c>
      <c r="M483" s="2" t="s">
        <v>189</v>
      </c>
      <c r="N483" s="2" t="s">
        <v>211</v>
      </c>
      <c r="O483" s="2"/>
      <c r="P483" s="7">
        <v>33.8650882712476</v>
      </c>
      <c r="Q483" s="8">
        <v>53.811146181104</v>
      </c>
      <c r="R483" s="9">
        <v>0</v>
      </c>
      <c r="S483" s="2" t="s">
        <v>1735</v>
      </c>
      <c r="T483" s="9">
        <v>0</v>
      </c>
      <c r="U483" s="9">
        <v>0</v>
      </c>
      <c r="V483" s="9">
        <v>0</v>
      </c>
      <c r="W483" s="9">
        <v>0</v>
      </c>
      <c r="X483" s="9">
        <v>0</v>
      </c>
      <c r="Y483" s="9">
        <v>0</v>
      </c>
      <c r="Z483" s="9">
        <v>0</v>
      </c>
      <c r="AA483" s="9">
        <v>0</v>
      </c>
      <c r="AB483" s="9">
        <v>0</v>
      </c>
      <c r="AC483" s="9">
        <v>0</v>
      </c>
      <c r="AD483" s="9">
        <v>0</v>
      </c>
      <c r="AE483" s="7">
        <v>0</v>
      </c>
      <c r="AF483" s="7">
        <v>0</v>
      </c>
      <c r="AG483" s="7">
        <v>0</v>
      </c>
      <c r="AH483" s="7">
        <v>0</v>
      </c>
      <c r="AI483" s="7">
        <v>0</v>
      </c>
      <c r="AJ483" s="7">
        <v>0</v>
      </c>
      <c r="AK483" s="7">
        <v>0</v>
      </c>
      <c r="AL483" s="7">
        <v>0</v>
      </c>
      <c r="AM483" s="7">
        <v>0</v>
      </c>
      <c r="AN483" s="7">
        <v>0</v>
      </c>
      <c r="AO483" s="7">
        <v>0</v>
      </c>
      <c r="AP483" s="7">
        <v>0</v>
      </c>
      <c r="AQ483" s="9">
        <v>0</v>
      </c>
    </row>
    <row r="484" spans="1:43" ht="15">
      <c r="A484" s="2" t="s">
        <v>1736</v>
      </c>
      <c r="B484" s="5">
        <v>4993502</v>
      </c>
      <c r="C484" s="2" t="s">
        <v>46</v>
      </c>
      <c r="D484" s="2" t="s">
        <v>1737</v>
      </c>
      <c r="E484" s="2" t="s">
        <v>1738</v>
      </c>
      <c r="F484" s="2" t="s">
        <v>49</v>
      </c>
      <c r="G484" s="2" t="s">
        <v>49</v>
      </c>
      <c r="H484" s="2" t="s">
        <v>50</v>
      </c>
      <c r="I484" s="2" t="s">
        <v>28</v>
      </c>
      <c r="J484" s="6"/>
      <c r="K484" s="2" t="s">
        <v>1091</v>
      </c>
      <c r="L484" s="2" t="s">
        <v>182</v>
      </c>
      <c r="M484" s="2" t="s">
        <v>183</v>
      </c>
      <c r="N484" s="2" t="s">
        <v>1091</v>
      </c>
      <c r="O484" s="2"/>
      <c r="P484" s="7">
        <v>1143.84926678844</v>
      </c>
      <c r="Q484" s="8">
        <v>1867.5953798027199</v>
      </c>
      <c r="R484" s="9">
        <v>275439</v>
      </c>
      <c r="S484" s="2" t="s">
        <v>1739</v>
      </c>
      <c r="T484" s="9">
        <v>282376</v>
      </c>
      <c r="U484" s="9">
        <v>888717</v>
      </c>
      <c r="V484" s="9">
        <v>634918</v>
      </c>
      <c r="W484" s="9">
        <v>746314</v>
      </c>
      <c r="X484" s="9">
        <v>747296</v>
      </c>
      <c r="Y484" s="9">
        <v>684131</v>
      </c>
      <c r="Z484" s="9">
        <v>656831</v>
      </c>
      <c r="AA484" s="9">
        <v>653661</v>
      </c>
      <c r="AB484" s="9">
        <v>995806</v>
      </c>
      <c r="AC484" s="9">
        <v>658037</v>
      </c>
      <c r="AD484" s="9">
        <v>918857</v>
      </c>
      <c r="AE484" s="7">
        <v>0.147965994238212</v>
      </c>
      <c r="AF484" s="7">
        <v>0.15169265105281701</v>
      </c>
      <c r="AG484" s="7">
        <v>0.47742003209392603</v>
      </c>
      <c r="AH484" s="7">
        <v>0.34107886156093198</v>
      </c>
      <c r="AI484" s="7">
        <v>0.40092091335262497</v>
      </c>
      <c r="AJ484" s="7">
        <v>0.40144834485134701</v>
      </c>
      <c r="AK484" s="7">
        <v>0.36751597930562702</v>
      </c>
      <c r="AL484" s="7">
        <v>0.35285045079395</v>
      </c>
      <c r="AM484" s="7">
        <v>0.35114792646087101</v>
      </c>
      <c r="AN484" s="7">
        <v>0.53494880097871</v>
      </c>
      <c r="AO484" s="7">
        <v>0.353498561401412</v>
      </c>
      <c r="AP484" s="7">
        <v>0.49361118772770401</v>
      </c>
      <c r="AQ484" s="9">
        <v>191646</v>
      </c>
    </row>
    <row r="485" spans="1:43" ht="15">
      <c r="A485" s="2" t="s">
        <v>1740</v>
      </c>
      <c r="B485" s="5">
        <v>4995564</v>
      </c>
      <c r="C485" s="2" t="s">
        <v>23</v>
      </c>
      <c r="D485" s="2" t="s">
        <v>1741</v>
      </c>
      <c r="E485" s="2" t="s">
        <v>1742</v>
      </c>
      <c r="F485" s="2" t="s">
        <v>26</v>
      </c>
      <c r="G485" s="2" t="s">
        <v>26</v>
      </c>
      <c r="H485" s="2" t="s">
        <v>27</v>
      </c>
      <c r="I485" s="2" t="s">
        <v>40</v>
      </c>
      <c r="J485" s="6"/>
      <c r="K485" s="2" t="s">
        <v>1743</v>
      </c>
      <c r="L485" s="2" t="s">
        <v>182</v>
      </c>
      <c r="M485" s="2" t="s">
        <v>430</v>
      </c>
      <c r="N485" s="2" t="s">
        <v>1743</v>
      </c>
      <c r="O485" s="2"/>
      <c r="P485" s="7">
        <v>29.633311443641201</v>
      </c>
      <c r="Q485" s="8">
        <v>67.697397272527994</v>
      </c>
      <c r="R485" s="9">
        <v>0</v>
      </c>
      <c r="S485" s="2" t="s">
        <v>1744</v>
      </c>
      <c r="T485" s="9">
        <v>0</v>
      </c>
      <c r="U485" s="9">
        <v>0</v>
      </c>
      <c r="V485" s="9">
        <v>0</v>
      </c>
      <c r="W485" s="9">
        <v>0</v>
      </c>
      <c r="X485" s="9">
        <v>0</v>
      </c>
      <c r="Y485" s="9">
        <v>34</v>
      </c>
      <c r="Z485" s="9">
        <v>23</v>
      </c>
      <c r="AA485" s="9">
        <v>31569</v>
      </c>
      <c r="AB485" s="9">
        <v>0</v>
      </c>
      <c r="AC485" s="9">
        <v>0</v>
      </c>
      <c r="AD485" s="9">
        <v>0</v>
      </c>
      <c r="AE485" s="7">
        <v>0</v>
      </c>
      <c r="AF485" s="7">
        <v>0</v>
      </c>
      <c r="AG485" s="7">
        <v>0</v>
      </c>
      <c r="AH485" s="7">
        <v>0</v>
      </c>
      <c r="AI485" s="7">
        <v>0</v>
      </c>
      <c r="AJ485" s="7">
        <v>0</v>
      </c>
      <c r="AK485" s="7">
        <v>3.6028312167609801E-06</v>
      </c>
      <c r="AL485" s="7">
        <v>2.4002776336866E-06</v>
      </c>
      <c r="AM485" s="7">
        <v>0.0033487819132429699</v>
      </c>
      <c r="AN485" s="7">
        <v>0</v>
      </c>
      <c r="AO485" s="7">
        <v>0</v>
      </c>
      <c r="AP485" s="7">
        <v>0</v>
      </c>
      <c r="AQ485" s="9">
        <v>0</v>
      </c>
    </row>
    <row r="486" spans="1:43" ht="15">
      <c r="A486" s="2" t="s">
        <v>1745</v>
      </c>
      <c r="B486" s="5">
        <v>28747061</v>
      </c>
      <c r="C486" s="2" t="s">
        <v>23</v>
      </c>
      <c r="D486" s="2" t="s">
        <v>1746</v>
      </c>
      <c r="E486" s="2" t="s">
        <v>1747</v>
      </c>
      <c r="F486" s="2" t="s">
        <v>26</v>
      </c>
      <c r="G486" s="2" t="s">
        <v>26</v>
      </c>
      <c r="H486" s="2" t="s">
        <v>27</v>
      </c>
      <c r="I486" s="2" t="s">
        <v>28</v>
      </c>
      <c r="J486" s="6"/>
      <c r="K486" s="2" t="s">
        <v>55</v>
      </c>
      <c r="L486" s="2" t="s">
        <v>56</v>
      </c>
      <c r="M486" s="2" t="s">
        <v>55</v>
      </c>
      <c r="N486" s="2"/>
      <c r="O486" s="2"/>
      <c r="P486" s="6" t="s">
        <v>57</v>
      </c>
      <c r="Q486" s="6" t="s">
        <v>57</v>
      </c>
      <c r="R486" s="9">
        <v>0</v>
      </c>
      <c r="S486" s="2"/>
      <c r="T486" s="9">
        <v>0</v>
      </c>
      <c r="U486" s="9">
        <v>0</v>
      </c>
      <c r="V486" s="9">
        <v>0</v>
      </c>
      <c r="W486" s="9">
        <v>0</v>
      </c>
      <c r="X486" s="9">
        <v>0</v>
      </c>
      <c r="Y486" s="9">
        <v>47</v>
      </c>
      <c r="Z486" s="9">
        <v>100</v>
      </c>
      <c r="AA486" s="9">
        <v>184</v>
      </c>
      <c r="AB486" s="9">
        <v>0</v>
      </c>
      <c r="AC486" s="9">
        <v>0</v>
      </c>
      <c r="AD486" s="9">
        <v>0</v>
      </c>
      <c r="AE486" s="6" t="s">
        <v>57</v>
      </c>
      <c r="AF486" s="6" t="s">
        <v>57</v>
      </c>
      <c r="AG486" s="6" t="s">
        <v>57</v>
      </c>
      <c r="AH486" s="6" t="s">
        <v>57</v>
      </c>
      <c r="AI486" s="6" t="s">
        <v>57</v>
      </c>
      <c r="AJ486" s="6" t="s">
        <v>57</v>
      </c>
      <c r="AK486" s="6" t="s">
        <v>57</v>
      </c>
      <c r="AL486" s="6" t="s">
        <v>57</v>
      </c>
      <c r="AM486" s="6" t="s">
        <v>57</v>
      </c>
      <c r="AN486" s="6" t="s">
        <v>57</v>
      </c>
      <c r="AO486" s="6" t="s">
        <v>57</v>
      </c>
      <c r="AP486" s="6" t="s">
        <v>57</v>
      </c>
      <c r="AQ486" s="9">
        <v>0</v>
      </c>
    </row>
    <row r="487" spans="1:43" ht="15">
      <c r="A487" s="2" t="s">
        <v>1748</v>
      </c>
      <c r="B487" s="5">
        <v>4916840</v>
      </c>
      <c r="C487" s="2" t="s">
        <v>46</v>
      </c>
      <c r="D487" s="2" t="s">
        <v>1749</v>
      </c>
      <c r="E487" s="2" t="s">
        <v>1750</v>
      </c>
      <c r="F487" s="2" t="s">
        <v>49</v>
      </c>
      <c r="G487" s="2" t="s">
        <v>49</v>
      </c>
      <c r="H487" s="2" t="s">
        <v>50</v>
      </c>
      <c r="I487" s="2" t="s">
        <v>28</v>
      </c>
      <c r="J487" s="6"/>
      <c r="K487" s="2" t="s">
        <v>1153</v>
      </c>
      <c r="L487" s="2" t="s">
        <v>30</v>
      </c>
      <c r="M487" s="2" t="s">
        <v>189</v>
      </c>
      <c r="N487" s="2" t="s">
        <v>1154</v>
      </c>
      <c r="O487" s="2" t="s">
        <v>1153</v>
      </c>
      <c r="P487" s="7">
        <v>12.7182562715067</v>
      </c>
      <c r="Q487" s="8">
        <v>13.3212946473723</v>
      </c>
      <c r="R487" s="9">
        <v>0</v>
      </c>
      <c r="S487" s="2" t="s">
        <v>1751</v>
      </c>
      <c r="T487" s="9">
        <v>0</v>
      </c>
      <c r="U487" s="9">
        <v>0</v>
      </c>
      <c r="V487" s="9">
        <v>11</v>
      </c>
      <c r="W487" s="9">
        <v>14</v>
      </c>
      <c r="X487" s="9">
        <v>14</v>
      </c>
      <c r="Y487" s="9">
        <v>10</v>
      </c>
      <c r="Z487" s="9">
        <v>27</v>
      </c>
      <c r="AA487" s="9">
        <v>24</v>
      </c>
      <c r="AB487" s="9">
        <v>0</v>
      </c>
      <c r="AC487" s="9">
        <v>12</v>
      </c>
      <c r="AD487" s="9">
        <v>6</v>
      </c>
      <c r="AE487" s="7">
        <v>0</v>
      </c>
      <c r="AF487" s="7">
        <v>0</v>
      </c>
      <c r="AG487" s="7">
        <v>0</v>
      </c>
      <c r="AH487" s="7">
        <v>0.00046804200668500103</v>
      </c>
      <c r="AI487" s="7">
        <v>0.00059534806545839499</v>
      </c>
      <c r="AJ487" s="7">
        <v>0.00059296667319656197</v>
      </c>
      <c r="AK487" s="7">
        <v>0.00042498111884096301</v>
      </c>
      <c r="AL487" s="7">
        <v>0.00113742717479122</v>
      </c>
      <c r="AM487" s="7">
        <v>0.0010183618015042199</v>
      </c>
      <c r="AN487" s="7">
        <v>0</v>
      </c>
      <c r="AO487" s="7">
        <v>0.00049106046603016496</v>
      </c>
      <c r="AP487" s="7">
        <v>0.000241570067966452</v>
      </c>
      <c r="AQ487" s="9">
        <v>0</v>
      </c>
    </row>
    <row r="488" spans="1:43" ht="15">
      <c r="A488" s="2" t="s">
        <v>1752</v>
      </c>
      <c r="B488" s="5">
        <v>132465691</v>
      </c>
      <c r="C488" s="2" t="s">
        <v>46</v>
      </c>
      <c r="D488" s="2" t="s">
        <v>1753</v>
      </c>
      <c r="E488" s="2" t="s">
        <v>1754</v>
      </c>
      <c r="F488" s="2" t="s">
        <v>49</v>
      </c>
      <c r="G488" s="2" t="s">
        <v>49</v>
      </c>
      <c r="H488" s="2" t="s">
        <v>50</v>
      </c>
      <c r="I488" s="2" t="s">
        <v>28</v>
      </c>
      <c r="J488" s="6"/>
      <c r="K488" s="2" t="s">
        <v>55</v>
      </c>
      <c r="L488" s="2" t="s">
        <v>56</v>
      </c>
      <c r="M488" s="2" t="s">
        <v>55</v>
      </c>
      <c r="N488" s="2"/>
      <c r="O488" s="2"/>
      <c r="P488" s="6" t="s">
        <v>57</v>
      </c>
      <c r="Q488" s="6" t="s">
        <v>57</v>
      </c>
      <c r="R488" s="9">
        <v>563</v>
      </c>
      <c r="S488" s="2"/>
      <c r="T488" s="9">
        <v>942</v>
      </c>
      <c r="U488" s="9">
        <v>1761</v>
      </c>
      <c r="V488" s="9">
        <v>1255</v>
      </c>
      <c r="W488" s="9">
        <v>2444</v>
      </c>
      <c r="X488" s="9">
        <v>2434</v>
      </c>
      <c r="Y488" s="9">
        <v>2896</v>
      </c>
      <c r="Z488" s="9">
        <v>2896</v>
      </c>
      <c r="AA488" s="9">
        <v>2896</v>
      </c>
      <c r="AB488" s="9">
        <v>1845</v>
      </c>
      <c r="AC488" s="9">
        <v>1287</v>
      </c>
      <c r="AD488" s="9">
        <v>1408</v>
      </c>
      <c r="AE488" s="6" t="s">
        <v>57</v>
      </c>
      <c r="AF488" s="6" t="s">
        <v>57</v>
      </c>
      <c r="AG488" s="6" t="s">
        <v>57</v>
      </c>
      <c r="AH488" s="6" t="s">
        <v>57</v>
      </c>
      <c r="AI488" s="6" t="s">
        <v>57</v>
      </c>
      <c r="AJ488" s="6" t="s">
        <v>57</v>
      </c>
      <c r="AK488" s="6" t="s">
        <v>57</v>
      </c>
      <c r="AL488" s="6" t="s">
        <v>57</v>
      </c>
      <c r="AM488" s="6" t="s">
        <v>57</v>
      </c>
      <c r="AN488" s="6" t="s">
        <v>57</v>
      </c>
      <c r="AO488" s="6" t="s">
        <v>57</v>
      </c>
      <c r="AP488" s="6" t="s">
        <v>57</v>
      </c>
      <c r="AQ488" s="9">
        <v>0</v>
      </c>
    </row>
    <row r="489" spans="1:43" ht="15">
      <c r="A489" s="2" t="s">
        <v>1755</v>
      </c>
      <c r="B489" s="5">
        <v>133960718</v>
      </c>
      <c r="C489" s="2" t="s">
        <v>46</v>
      </c>
      <c r="D489" s="2" t="s">
        <v>1756</v>
      </c>
      <c r="E489" s="2"/>
      <c r="F489" s="2" t="s">
        <v>49</v>
      </c>
      <c r="G489" s="2" t="s">
        <v>49</v>
      </c>
      <c r="H489" s="2" t="s">
        <v>50</v>
      </c>
      <c r="I489" s="2" t="s">
        <v>28</v>
      </c>
      <c r="J489" s="6"/>
      <c r="K489" s="2" t="s">
        <v>55</v>
      </c>
      <c r="L489" s="2" t="s">
        <v>56</v>
      </c>
      <c r="M489" s="2" t="s">
        <v>55</v>
      </c>
      <c r="N489" s="2"/>
      <c r="O489" s="2"/>
      <c r="P489" s="6" t="s">
        <v>57</v>
      </c>
      <c r="Q489" s="6" t="s">
        <v>57</v>
      </c>
      <c r="R489" s="6" t="s">
        <v>57</v>
      </c>
      <c r="S489" s="2"/>
      <c r="T489" s="6" t="s">
        <v>57</v>
      </c>
      <c r="U489" s="6" t="s">
        <v>57</v>
      </c>
      <c r="V489" s="6" t="s">
        <v>57</v>
      </c>
      <c r="W489" s="6" t="s">
        <v>57</v>
      </c>
      <c r="X489" s="6" t="s">
        <v>57</v>
      </c>
      <c r="Y489" s="6" t="s">
        <v>57</v>
      </c>
      <c r="Z489" s="6" t="s">
        <v>57</v>
      </c>
      <c r="AA489" s="6" t="s">
        <v>57</v>
      </c>
      <c r="AB489" s="6" t="s">
        <v>57</v>
      </c>
      <c r="AC489" s="6" t="s">
        <v>57</v>
      </c>
      <c r="AD489" s="6" t="s">
        <v>57</v>
      </c>
      <c r="AE489" s="6" t="s">
        <v>57</v>
      </c>
      <c r="AF489" s="6" t="s">
        <v>57</v>
      </c>
      <c r="AG489" s="6" t="s">
        <v>57</v>
      </c>
      <c r="AH489" s="6" t="s">
        <v>57</v>
      </c>
      <c r="AI489" s="6" t="s">
        <v>57</v>
      </c>
      <c r="AJ489" s="6" t="s">
        <v>57</v>
      </c>
      <c r="AK489" s="6" t="s">
        <v>57</v>
      </c>
      <c r="AL489" s="6" t="s">
        <v>57</v>
      </c>
      <c r="AM489" s="6" t="s">
        <v>57</v>
      </c>
      <c r="AN489" s="6" t="s">
        <v>57</v>
      </c>
      <c r="AO489" s="6" t="s">
        <v>57</v>
      </c>
      <c r="AP489" s="6" t="s">
        <v>57</v>
      </c>
      <c r="AQ489" s="6" t="s">
        <v>57</v>
      </c>
    </row>
    <row r="490" spans="1:43" ht="15">
      <c r="A490" s="2" t="s">
        <v>1757</v>
      </c>
      <c r="B490" s="5">
        <v>124231614</v>
      </c>
      <c r="C490" s="2" t="s">
        <v>46</v>
      </c>
      <c r="D490" s="2" t="s">
        <v>1758</v>
      </c>
      <c r="E490" s="2" t="s">
        <v>1759</v>
      </c>
      <c r="F490" s="2" t="s">
        <v>49</v>
      </c>
      <c r="G490" s="2" t="s">
        <v>49</v>
      </c>
      <c r="H490" s="2" t="s">
        <v>50</v>
      </c>
      <c r="I490" s="2" t="s">
        <v>28</v>
      </c>
      <c r="J490" s="6"/>
      <c r="K490" s="2" t="s">
        <v>55</v>
      </c>
      <c r="L490" s="2" t="s">
        <v>56</v>
      </c>
      <c r="M490" s="2" t="s">
        <v>55</v>
      </c>
      <c r="N490" s="2"/>
      <c r="O490" s="2"/>
      <c r="P490" s="6" t="s">
        <v>57</v>
      </c>
      <c r="Q490" s="6" t="s">
        <v>57</v>
      </c>
      <c r="R490" s="9">
        <v>248</v>
      </c>
      <c r="S490" s="2"/>
      <c r="T490" s="9">
        <v>1676</v>
      </c>
      <c r="U490" s="9">
        <v>868</v>
      </c>
      <c r="V490" s="9">
        <v>1156</v>
      </c>
      <c r="W490" s="9">
        <v>2233</v>
      </c>
      <c r="X490" s="9">
        <v>2225</v>
      </c>
      <c r="Y490" s="9">
        <v>2490</v>
      </c>
      <c r="Z490" s="9">
        <v>2490</v>
      </c>
      <c r="AA490" s="9">
        <v>2490</v>
      </c>
      <c r="AB490" s="9">
        <v>858</v>
      </c>
      <c r="AC490" s="9">
        <v>1210</v>
      </c>
      <c r="AD490" s="9">
        <v>1475</v>
      </c>
      <c r="AE490" s="6" t="s">
        <v>57</v>
      </c>
      <c r="AF490" s="6" t="s">
        <v>57</v>
      </c>
      <c r="AG490" s="6" t="s">
        <v>57</v>
      </c>
      <c r="AH490" s="6" t="s">
        <v>57</v>
      </c>
      <c r="AI490" s="6" t="s">
        <v>57</v>
      </c>
      <c r="AJ490" s="6" t="s">
        <v>57</v>
      </c>
      <c r="AK490" s="6" t="s">
        <v>57</v>
      </c>
      <c r="AL490" s="6" t="s">
        <v>57</v>
      </c>
      <c r="AM490" s="6" t="s">
        <v>57</v>
      </c>
      <c r="AN490" s="6" t="s">
        <v>57</v>
      </c>
      <c r="AO490" s="6" t="s">
        <v>57</v>
      </c>
      <c r="AP490" s="6" t="s">
        <v>57</v>
      </c>
      <c r="AQ490" s="9">
        <v>55</v>
      </c>
    </row>
    <row r="491" spans="1:43" ht="15">
      <c r="A491" s="2" t="s">
        <v>1760</v>
      </c>
      <c r="B491" s="5">
        <v>4587052</v>
      </c>
      <c r="C491" s="2" t="s">
        <v>46</v>
      </c>
      <c r="D491" s="2" t="s">
        <v>1761</v>
      </c>
      <c r="E491" s="2" t="s">
        <v>1762</v>
      </c>
      <c r="F491" s="2" t="s">
        <v>49</v>
      </c>
      <c r="G491" s="2" t="s">
        <v>49</v>
      </c>
      <c r="H491" s="2" t="s">
        <v>50</v>
      </c>
      <c r="I491" s="2" t="s">
        <v>40</v>
      </c>
      <c r="J491" s="6"/>
      <c r="K491" s="2" t="s">
        <v>1763</v>
      </c>
      <c r="L491" s="2" t="s">
        <v>56</v>
      </c>
      <c r="M491" s="2" t="s">
        <v>1764</v>
      </c>
      <c r="N491" s="2" t="s">
        <v>1763</v>
      </c>
      <c r="O491" s="2"/>
      <c r="P491" s="7">
        <v>87.721824458084498</v>
      </c>
      <c r="Q491" s="6" t="s">
        <v>57</v>
      </c>
      <c r="R491" s="9">
        <v>0</v>
      </c>
      <c r="S491" s="2" t="s">
        <v>1765</v>
      </c>
      <c r="T491" s="9">
        <v>0</v>
      </c>
      <c r="U491" s="9">
        <v>0</v>
      </c>
      <c r="V491" s="9">
        <v>0</v>
      </c>
      <c r="W491" s="9">
        <v>0</v>
      </c>
      <c r="X491" s="9">
        <v>0</v>
      </c>
      <c r="Y491" s="9">
        <v>0</v>
      </c>
      <c r="Z491" s="9">
        <v>0</v>
      </c>
      <c r="AA491" s="9">
        <v>0</v>
      </c>
      <c r="AB491" s="9">
        <v>0</v>
      </c>
      <c r="AC491" s="9">
        <v>0</v>
      </c>
      <c r="AD491" s="9">
        <v>0</v>
      </c>
      <c r="AE491" s="7">
        <v>0</v>
      </c>
      <c r="AF491" s="7">
        <v>0</v>
      </c>
      <c r="AG491" s="7">
        <v>0</v>
      </c>
      <c r="AH491" s="7">
        <v>0</v>
      </c>
      <c r="AI491" s="7">
        <v>0</v>
      </c>
      <c r="AJ491" s="7">
        <v>0</v>
      </c>
      <c r="AK491" s="7">
        <v>0</v>
      </c>
      <c r="AL491" s="7">
        <v>0</v>
      </c>
      <c r="AM491" s="7">
        <v>2.6679368559890601E-05</v>
      </c>
      <c r="AN491" s="7">
        <v>0</v>
      </c>
      <c r="AO491" s="7">
        <v>0</v>
      </c>
      <c r="AP491" s="7">
        <v>0</v>
      </c>
      <c r="AQ491" s="9">
        <v>0</v>
      </c>
    </row>
    <row r="492" spans="1:43" ht="15">
      <c r="A492" s="2" t="s">
        <v>1766</v>
      </c>
      <c r="B492" s="5">
        <v>4772968</v>
      </c>
      <c r="C492" s="2" t="s">
        <v>46</v>
      </c>
      <c r="D492" s="2" t="s">
        <v>1767</v>
      </c>
      <c r="E492" s="2" t="s">
        <v>1768</v>
      </c>
      <c r="F492" s="2" t="s">
        <v>49</v>
      </c>
      <c r="G492" s="2" t="s">
        <v>49</v>
      </c>
      <c r="H492" s="2" t="s">
        <v>50</v>
      </c>
      <c r="I492" s="2" t="s">
        <v>40</v>
      </c>
      <c r="J492" s="6"/>
      <c r="K492" s="2" t="s">
        <v>1763</v>
      </c>
      <c r="L492" s="2" t="s">
        <v>56</v>
      </c>
      <c r="M492" s="2" t="s">
        <v>1764</v>
      </c>
      <c r="N492" s="2" t="s">
        <v>1763</v>
      </c>
      <c r="O492" s="2"/>
      <c r="P492" s="7">
        <v>108.07839788898301</v>
      </c>
      <c r="Q492" s="6" t="s">
        <v>57</v>
      </c>
      <c r="R492" s="9">
        <v>0</v>
      </c>
      <c r="S492" s="2" t="s">
        <v>1769</v>
      </c>
      <c r="T492" s="9">
        <v>0</v>
      </c>
      <c r="U492" s="9">
        <v>0</v>
      </c>
      <c r="V492" s="9">
        <v>0</v>
      </c>
      <c r="W492" s="9">
        <v>0</v>
      </c>
      <c r="X492" s="9">
        <v>0</v>
      </c>
      <c r="Y492" s="9">
        <v>0</v>
      </c>
      <c r="Z492" s="9">
        <v>0</v>
      </c>
      <c r="AA492" s="9">
        <v>0</v>
      </c>
      <c r="AB492" s="9">
        <v>0</v>
      </c>
      <c r="AC492" s="9">
        <v>0</v>
      </c>
      <c r="AD492" s="9">
        <v>0</v>
      </c>
      <c r="AE492" s="7">
        <v>0</v>
      </c>
      <c r="AF492" s="7">
        <v>0</v>
      </c>
      <c r="AG492" s="7">
        <v>0</v>
      </c>
      <c r="AH492" s="7">
        <v>0</v>
      </c>
      <c r="AI492" s="7">
        <v>0</v>
      </c>
      <c r="AJ492" s="7">
        <v>0</v>
      </c>
      <c r="AK492" s="7">
        <v>0</v>
      </c>
      <c r="AL492" s="7">
        <v>0</v>
      </c>
      <c r="AM492" s="7">
        <v>0</v>
      </c>
      <c r="AN492" s="7">
        <v>0</v>
      </c>
      <c r="AO492" s="7">
        <v>0</v>
      </c>
      <c r="AP492" s="7">
        <v>0</v>
      </c>
      <c r="AQ492" s="9">
        <v>0</v>
      </c>
    </row>
    <row r="493" spans="1:43" ht="15">
      <c r="A493" s="2" t="s">
        <v>1770</v>
      </c>
      <c r="B493" s="5">
        <v>4997533</v>
      </c>
      <c r="C493" s="2" t="s">
        <v>46</v>
      </c>
      <c r="D493" s="2" t="s">
        <v>1771</v>
      </c>
      <c r="E493" s="2" t="s">
        <v>1772</v>
      </c>
      <c r="F493" s="2" t="s">
        <v>49</v>
      </c>
      <c r="G493" s="2" t="s">
        <v>49</v>
      </c>
      <c r="H493" s="2" t="s">
        <v>50</v>
      </c>
      <c r="I493" s="2" t="s">
        <v>28</v>
      </c>
      <c r="J493" s="6"/>
      <c r="K493" s="2" t="s">
        <v>226</v>
      </c>
      <c r="L493" s="2" t="s">
        <v>56</v>
      </c>
      <c r="M493" s="2" t="s">
        <v>227</v>
      </c>
      <c r="N493" s="2" t="s">
        <v>226</v>
      </c>
      <c r="O493" s="2"/>
      <c r="P493" s="7">
        <v>27.653200134710801</v>
      </c>
      <c r="Q493" s="6" t="s">
        <v>57</v>
      </c>
      <c r="R493" s="9">
        <v>0</v>
      </c>
      <c r="S493" s="2" t="s">
        <v>1773</v>
      </c>
      <c r="T493" s="9">
        <v>0</v>
      </c>
      <c r="U493" s="9">
        <v>0</v>
      </c>
      <c r="V493" s="9">
        <v>0</v>
      </c>
      <c r="W493" s="9">
        <v>0</v>
      </c>
      <c r="X493" s="9">
        <v>0</v>
      </c>
      <c r="Y493" s="9">
        <v>0</v>
      </c>
      <c r="Z493" s="9">
        <v>0</v>
      </c>
      <c r="AA493" s="9">
        <v>0</v>
      </c>
      <c r="AB493" s="9">
        <v>0</v>
      </c>
      <c r="AC493" s="9">
        <v>0</v>
      </c>
      <c r="AD493" s="9">
        <v>0</v>
      </c>
      <c r="AE493" s="7">
        <v>0</v>
      </c>
      <c r="AF493" s="7">
        <v>0</v>
      </c>
      <c r="AG493" s="7">
        <v>0</v>
      </c>
      <c r="AH493" s="7">
        <v>0</v>
      </c>
      <c r="AI493" s="7">
        <v>0</v>
      </c>
      <c r="AJ493" s="7">
        <v>0</v>
      </c>
      <c r="AK493" s="7">
        <v>0</v>
      </c>
      <c r="AL493" s="7">
        <v>0</v>
      </c>
      <c r="AM493" s="7">
        <v>0</v>
      </c>
      <c r="AN493" s="7">
        <v>0</v>
      </c>
      <c r="AO493" s="7">
        <v>0</v>
      </c>
      <c r="AP493" s="7">
        <v>0</v>
      </c>
      <c r="AQ493" s="9">
        <v>0</v>
      </c>
    </row>
    <row r="494" spans="1:43" ht="15">
      <c r="A494" s="2" t="s">
        <v>1774</v>
      </c>
      <c r="B494" s="5">
        <v>106226124</v>
      </c>
      <c r="C494" s="2" t="s">
        <v>23</v>
      </c>
      <c r="D494" s="2" t="s">
        <v>1775</v>
      </c>
      <c r="E494" s="2" t="s">
        <v>1776</v>
      </c>
      <c r="F494" s="2" t="s">
        <v>26</v>
      </c>
      <c r="G494" s="2" t="s">
        <v>26</v>
      </c>
      <c r="H494" s="2" t="s">
        <v>27</v>
      </c>
      <c r="I494" s="2" t="s">
        <v>28</v>
      </c>
      <c r="J494" s="6"/>
      <c r="K494" s="2" t="s">
        <v>55</v>
      </c>
      <c r="L494" s="2" t="s">
        <v>56</v>
      </c>
      <c r="M494" s="2" t="s">
        <v>55</v>
      </c>
      <c r="N494" s="2"/>
      <c r="O494" s="2"/>
      <c r="P494" s="6" t="s">
        <v>57</v>
      </c>
      <c r="Q494" s="6" t="s">
        <v>57</v>
      </c>
      <c r="R494" s="9">
        <v>0</v>
      </c>
      <c r="S494" s="2"/>
      <c r="T494" s="9">
        <v>0</v>
      </c>
      <c r="U494" s="9">
        <v>0</v>
      </c>
      <c r="V494" s="9">
        <v>0</v>
      </c>
      <c r="W494" s="9">
        <v>1</v>
      </c>
      <c r="X494" s="9">
        <v>1</v>
      </c>
      <c r="Y494" s="9">
        <v>8</v>
      </c>
      <c r="Z494" s="9">
        <v>13</v>
      </c>
      <c r="AA494" s="9">
        <v>60</v>
      </c>
      <c r="AB494" s="9">
        <v>0</v>
      </c>
      <c r="AC494" s="9">
        <v>0</v>
      </c>
      <c r="AD494" s="9">
        <v>0</v>
      </c>
      <c r="AE494" s="6" t="s">
        <v>57</v>
      </c>
      <c r="AF494" s="6" t="s">
        <v>57</v>
      </c>
      <c r="AG494" s="6" t="s">
        <v>57</v>
      </c>
      <c r="AH494" s="6" t="s">
        <v>57</v>
      </c>
      <c r="AI494" s="6" t="s">
        <v>57</v>
      </c>
      <c r="AJ494" s="6" t="s">
        <v>57</v>
      </c>
      <c r="AK494" s="6" t="s">
        <v>57</v>
      </c>
      <c r="AL494" s="6" t="s">
        <v>57</v>
      </c>
      <c r="AM494" s="6" t="s">
        <v>57</v>
      </c>
      <c r="AN494" s="6" t="s">
        <v>57</v>
      </c>
      <c r="AO494" s="6" t="s">
        <v>57</v>
      </c>
      <c r="AP494" s="6" t="s">
        <v>57</v>
      </c>
      <c r="AQ494" s="9">
        <v>0</v>
      </c>
    </row>
    <row r="495" spans="1:43" ht="15">
      <c r="A495" s="2" t="s">
        <v>1777</v>
      </c>
      <c r="B495" s="5">
        <v>116320133</v>
      </c>
      <c r="C495" s="2" t="s">
        <v>35</v>
      </c>
      <c r="D495" s="2" t="s">
        <v>1778</v>
      </c>
      <c r="E495" s="2" t="s">
        <v>1779</v>
      </c>
      <c r="F495" s="2" t="s">
        <v>38</v>
      </c>
      <c r="G495" s="2" t="s">
        <v>38</v>
      </c>
      <c r="H495" s="2" t="s">
        <v>39</v>
      </c>
      <c r="I495" s="2" t="s">
        <v>28</v>
      </c>
      <c r="J495" s="6"/>
      <c r="K495" s="2" t="s">
        <v>55</v>
      </c>
      <c r="L495" s="2" t="s">
        <v>56</v>
      </c>
      <c r="M495" s="2" t="s">
        <v>55</v>
      </c>
      <c r="N495" s="2"/>
      <c r="O495" s="2"/>
      <c r="P495" s="6" t="s">
        <v>57</v>
      </c>
      <c r="Q495" s="6" t="s">
        <v>57</v>
      </c>
      <c r="R495" s="9">
        <v>299</v>
      </c>
      <c r="S495" s="2"/>
      <c r="T495" s="9">
        <v>418</v>
      </c>
      <c r="U495" s="9">
        <v>2182</v>
      </c>
      <c r="V495" s="9">
        <v>2727</v>
      </c>
      <c r="W495" s="9">
        <v>2691</v>
      </c>
      <c r="X495" s="9">
        <v>2680</v>
      </c>
      <c r="Y495" s="9">
        <v>1736</v>
      </c>
      <c r="Z495" s="9">
        <v>1736</v>
      </c>
      <c r="AA495" s="9">
        <v>1736</v>
      </c>
      <c r="AB495" s="9">
        <v>2336</v>
      </c>
      <c r="AC495" s="9">
        <v>2776</v>
      </c>
      <c r="AD495" s="9">
        <v>5238</v>
      </c>
      <c r="AE495" s="6" t="s">
        <v>57</v>
      </c>
      <c r="AF495" s="6" t="s">
        <v>57</v>
      </c>
      <c r="AG495" s="6" t="s">
        <v>57</v>
      </c>
      <c r="AH495" s="6" t="s">
        <v>57</v>
      </c>
      <c r="AI495" s="6" t="s">
        <v>57</v>
      </c>
      <c r="AJ495" s="6" t="s">
        <v>57</v>
      </c>
      <c r="AK495" s="6" t="s">
        <v>57</v>
      </c>
      <c r="AL495" s="6" t="s">
        <v>57</v>
      </c>
      <c r="AM495" s="6" t="s">
        <v>57</v>
      </c>
      <c r="AN495" s="6" t="s">
        <v>57</v>
      </c>
      <c r="AO495" s="6" t="s">
        <v>57</v>
      </c>
      <c r="AP495" s="6" t="s">
        <v>57</v>
      </c>
      <c r="AQ495" s="9">
        <v>24</v>
      </c>
    </row>
    <row r="496" spans="1:43" ht="15">
      <c r="A496" s="2" t="s">
        <v>1780</v>
      </c>
      <c r="B496" s="5">
        <v>5735925</v>
      </c>
      <c r="C496" s="2" t="s">
        <v>35</v>
      </c>
      <c r="D496" s="2" t="s">
        <v>1781</v>
      </c>
      <c r="E496" s="2" t="s">
        <v>1782</v>
      </c>
      <c r="F496" s="2" t="s">
        <v>1783</v>
      </c>
      <c r="G496" s="2" t="s">
        <v>38</v>
      </c>
      <c r="H496" s="2" t="s">
        <v>39</v>
      </c>
      <c r="I496" s="2" t="s">
        <v>28</v>
      </c>
      <c r="J496" s="6"/>
      <c r="K496" s="2" t="s">
        <v>55</v>
      </c>
      <c r="L496" s="2" t="s">
        <v>56</v>
      </c>
      <c r="M496" s="2" t="s">
        <v>55</v>
      </c>
      <c r="N496" s="2"/>
      <c r="O496" s="2"/>
      <c r="P496" s="7">
        <v>0.075643725285000005</v>
      </c>
      <c r="Q496" s="6" t="s">
        <v>57</v>
      </c>
      <c r="R496" s="9">
        <v>475</v>
      </c>
      <c r="S496" s="2" t="s">
        <v>1784</v>
      </c>
      <c r="T496" s="9">
        <v>25915</v>
      </c>
      <c r="U496" s="9">
        <v>26369</v>
      </c>
      <c r="V496" s="9">
        <v>82431</v>
      </c>
      <c r="W496" s="9">
        <v>49905</v>
      </c>
      <c r="X496" s="9">
        <v>49700</v>
      </c>
      <c r="Y496" s="9">
        <v>24799</v>
      </c>
      <c r="Z496" s="9">
        <v>34454</v>
      </c>
      <c r="AA496" s="9">
        <v>59535</v>
      </c>
      <c r="AB496" s="9">
        <v>28140</v>
      </c>
      <c r="AC496" s="9">
        <v>86672</v>
      </c>
      <c r="AD496" s="9">
        <v>86530</v>
      </c>
      <c r="AE496" s="6" t="s">
        <v>57</v>
      </c>
      <c r="AF496" s="6" t="s">
        <v>57</v>
      </c>
      <c r="AG496" s="6" t="s">
        <v>57</v>
      </c>
      <c r="AH496" s="6" t="s">
        <v>57</v>
      </c>
      <c r="AI496" s="6" t="s">
        <v>57</v>
      </c>
      <c r="AJ496" s="6" t="s">
        <v>57</v>
      </c>
      <c r="AK496" s="6" t="s">
        <v>57</v>
      </c>
      <c r="AL496" s="6" t="s">
        <v>57</v>
      </c>
      <c r="AM496" s="6" t="s">
        <v>57</v>
      </c>
      <c r="AN496" s="6" t="s">
        <v>57</v>
      </c>
      <c r="AO496" s="6" t="s">
        <v>57</v>
      </c>
      <c r="AP496" s="6" t="s">
        <v>57</v>
      </c>
      <c r="AQ496" s="9">
        <v>357</v>
      </c>
    </row>
    <row r="497" spans="1:43" ht="15">
      <c r="A497" s="2" t="s">
        <v>1785</v>
      </c>
      <c r="B497" s="5">
        <v>5732325</v>
      </c>
      <c r="C497" s="2" t="s">
        <v>35</v>
      </c>
      <c r="D497" s="2" t="s">
        <v>1786</v>
      </c>
      <c r="E497" s="2" t="s">
        <v>1787</v>
      </c>
      <c r="F497" s="2" t="s">
        <v>113</v>
      </c>
      <c r="G497" s="2" t="s">
        <v>38</v>
      </c>
      <c r="H497" s="2" t="s">
        <v>39</v>
      </c>
      <c r="I497" s="2" t="s">
        <v>28</v>
      </c>
      <c r="J497" s="6"/>
      <c r="K497" s="2" t="s">
        <v>55</v>
      </c>
      <c r="L497" s="2" t="s">
        <v>56</v>
      </c>
      <c r="M497" s="2" t="s">
        <v>55</v>
      </c>
      <c r="N497" s="2"/>
      <c r="O497" s="2"/>
      <c r="P497" s="7">
        <v>2702.58786513729</v>
      </c>
      <c r="Q497" s="6" t="s">
        <v>57</v>
      </c>
      <c r="R497" s="9">
        <v>26700</v>
      </c>
      <c r="S497" s="2" t="s">
        <v>1788</v>
      </c>
      <c r="T497" s="9">
        <v>1034745</v>
      </c>
      <c r="U497" s="9">
        <v>839545</v>
      </c>
      <c r="V497" s="9">
        <v>579987</v>
      </c>
      <c r="W497" s="9">
        <v>303249</v>
      </c>
      <c r="X497" s="9">
        <v>302007</v>
      </c>
      <c r="Y497" s="9">
        <v>150754</v>
      </c>
      <c r="Z497" s="9">
        <v>193111</v>
      </c>
      <c r="AA497" s="9">
        <v>260403</v>
      </c>
      <c r="AB497" s="9">
        <v>891024</v>
      </c>
      <c r="AC497" s="9">
        <v>588207</v>
      </c>
      <c r="AD497" s="9">
        <v>603340</v>
      </c>
      <c r="AE497" s="6" t="s">
        <v>57</v>
      </c>
      <c r="AF497" s="6" t="s">
        <v>57</v>
      </c>
      <c r="AG497" s="6" t="s">
        <v>57</v>
      </c>
      <c r="AH497" s="6" t="s">
        <v>57</v>
      </c>
      <c r="AI497" s="6" t="s">
        <v>57</v>
      </c>
      <c r="AJ497" s="6" t="s">
        <v>57</v>
      </c>
      <c r="AK497" s="6" t="s">
        <v>57</v>
      </c>
      <c r="AL497" s="6" t="s">
        <v>57</v>
      </c>
      <c r="AM497" s="6" t="s">
        <v>57</v>
      </c>
      <c r="AN497" s="6" t="s">
        <v>57</v>
      </c>
      <c r="AO497" s="6" t="s">
        <v>57</v>
      </c>
      <c r="AP497" s="6" t="s">
        <v>57</v>
      </c>
      <c r="AQ497" s="9">
        <v>18038</v>
      </c>
    </row>
    <row r="498" spans="1:43" ht="15">
      <c r="A498" s="2" t="s">
        <v>1789</v>
      </c>
      <c r="B498" s="5">
        <v>26048431</v>
      </c>
      <c r="C498" s="2" t="s">
        <v>46</v>
      </c>
      <c r="D498" s="2" t="s">
        <v>1790</v>
      </c>
      <c r="E498" s="2" t="s">
        <v>1791</v>
      </c>
      <c r="F498" s="2" t="s">
        <v>49</v>
      </c>
      <c r="G498" s="2" t="s">
        <v>49</v>
      </c>
      <c r="H498" s="2" t="s">
        <v>50</v>
      </c>
      <c r="I498" s="2" t="s">
        <v>28</v>
      </c>
      <c r="J498" s="6"/>
      <c r="K498" s="2" t="s">
        <v>55</v>
      </c>
      <c r="L498" s="2" t="s">
        <v>56</v>
      </c>
      <c r="M498" s="2" t="s">
        <v>55</v>
      </c>
      <c r="N498" s="2"/>
      <c r="O498" s="2"/>
      <c r="P498" s="7">
        <v>135.70095000000001</v>
      </c>
      <c r="Q498" s="6" t="s">
        <v>57</v>
      </c>
      <c r="R498" s="9">
        <v>182</v>
      </c>
      <c r="S498" s="2"/>
      <c r="T498" s="9">
        <v>436</v>
      </c>
      <c r="U498" s="9">
        <v>998</v>
      </c>
      <c r="V498" s="9">
        <v>839</v>
      </c>
      <c r="W498" s="9">
        <v>757</v>
      </c>
      <c r="X498" s="9">
        <v>1967</v>
      </c>
      <c r="Y498" s="9">
        <v>14084</v>
      </c>
      <c r="Z498" s="9">
        <v>17382</v>
      </c>
      <c r="AA498" s="9">
        <v>19013</v>
      </c>
      <c r="AB498" s="9">
        <v>1089</v>
      </c>
      <c r="AC498" s="9">
        <v>867</v>
      </c>
      <c r="AD498" s="9">
        <v>845</v>
      </c>
      <c r="AE498" s="6" t="s">
        <v>57</v>
      </c>
      <c r="AF498" s="6" t="s">
        <v>57</v>
      </c>
      <c r="AG498" s="6" t="s">
        <v>57</v>
      </c>
      <c r="AH498" s="6" t="s">
        <v>57</v>
      </c>
      <c r="AI498" s="6" t="s">
        <v>57</v>
      </c>
      <c r="AJ498" s="6" t="s">
        <v>57</v>
      </c>
      <c r="AK498" s="6" t="s">
        <v>57</v>
      </c>
      <c r="AL498" s="6" t="s">
        <v>57</v>
      </c>
      <c r="AM498" s="6" t="s">
        <v>57</v>
      </c>
      <c r="AN498" s="6" t="s">
        <v>57</v>
      </c>
      <c r="AO498" s="6" t="s">
        <v>57</v>
      </c>
      <c r="AP498" s="6" t="s">
        <v>57</v>
      </c>
      <c r="AQ498" s="9">
        <v>133</v>
      </c>
    </row>
    <row r="499" spans="1:43" ht="15">
      <c r="A499" s="2" t="s">
        <v>1792</v>
      </c>
      <c r="B499" s="5">
        <v>27453975</v>
      </c>
      <c r="C499" s="2" t="s">
        <v>46</v>
      </c>
      <c r="D499" s="2" t="s">
        <v>1793</v>
      </c>
      <c r="E499" s="2" t="s">
        <v>1794</v>
      </c>
      <c r="F499" s="2" t="s">
        <v>49</v>
      </c>
      <c r="G499" s="2" t="s">
        <v>49</v>
      </c>
      <c r="H499" s="2" t="s">
        <v>50</v>
      </c>
      <c r="I499" s="2" t="s">
        <v>28</v>
      </c>
      <c r="J499" s="6"/>
      <c r="K499" s="2" t="s">
        <v>55</v>
      </c>
      <c r="L499" s="2" t="s">
        <v>56</v>
      </c>
      <c r="M499" s="2" t="s">
        <v>55</v>
      </c>
      <c r="N499" s="2"/>
      <c r="O499" s="2"/>
      <c r="P499" s="7">
        <v>1.58144</v>
      </c>
      <c r="Q499" s="6" t="s">
        <v>57</v>
      </c>
      <c r="R499" s="9">
        <v>0</v>
      </c>
      <c r="S499" s="2"/>
      <c r="T499" s="9">
        <v>0</v>
      </c>
      <c r="U499" s="9">
        <v>0</v>
      </c>
      <c r="V499" s="9">
        <v>0</v>
      </c>
      <c r="W499" s="9">
        <v>0</v>
      </c>
      <c r="X499" s="9">
        <v>0</v>
      </c>
      <c r="Y499" s="9">
        <v>2</v>
      </c>
      <c r="Z499" s="9">
        <v>2</v>
      </c>
      <c r="AA499" s="9">
        <v>2</v>
      </c>
      <c r="AB499" s="9">
        <v>0</v>
      </c>
      <c r="AC499" s="9">
        <v>0</v>
      </c>
      <c r="AD499" s="9">
        <v>0</v>
      </c>
      <c r="AE499" s="6" t="s">
        <v>57</v>
      </c>
      <c r="AF499" s="6" t="s">
        <v>57</v>
      </c>
      <c r="AG499" s="6" t="s">
        <v>57</v>
      </c>
      <c r="AH499" s="6" t="s">
        <v>57</v>
      </c>
      <c r="AI499" s="6" t="s">
        <v>57</v>
      </c>
      <c r="AJ499" s="6" t="s">
        <v>57</v>
      </c>
      <c r="AK499" s="6" t="s">
        <v>57</v>
      </c>
      <c r="AL499" s="6" t="s">
        <v>57</v>
      </c>
      <c r="AM499" s="6" t="s">
        <v>57</v>
      </c>
      <c r="AN499" s="6" t="s">
        <v>57</v>
      </c>
      <c r="AO499" s="6" t="s">
        <v>57</v>
      </c>
      <c r="AP499" s="6" t="s">
        <v>57</v>
      </c>
      <c r="AQ499" s="9">
        <v>0</v>
      </c>
    </row>
    <row r="500" spans="1:43" ht="15">
      <c r="A500" s="2" t="s">
        <v>1795</v>
      </c>
      <c r="B500" s="5">
        <v>10619743</v>
      </c>
      <c r="C500" s="2" t="s">
        <v>23</v>
      </c>
      <c r="D500" s="2" t="s">
        <v>1796</v>
      </c>
      <c r="E500" s="2" t="s">
        <v>1797</v>
      </c>
      <c r="F500" s="2" t="s">
        <v>26</v>
      </c>
      <c r="G500" s="2" t="s">
        <v>26</v>
      </c>
      <c r="H500" s="2" t="s">
        <v>27</v>
      </c>
      <c r="I500" s="2" t="s">
        <v>28</v>
      </c>
      <c r="J500" s="6"/>
      <c r="K500" s="2" t="s">
        <v>55</v>
      </c>
      <c r="L500" s="2" t="s">
        <v>56</v>
      </c>
      <c r="M500" s="2" t="s">
        <v>55</v>
      </c>
      <c r="N500" s="2"/>
      <c r="O500" s="2"/>
      <c r="P500" s="6" t="s">
        <v>57</v>
      </c>
      <c r="Q500" s="6" t="s">
        <v>57</v>
      </c>
      <c r="R500" s="9">
        <v>0</v>
      </c>
      <c r="S500" s="2"/>
      <c r="T500" s="9">
        <v>0</v>
      </c>
      <c r="U500" s="9">
        <v>0</v>
      </c>
      <c r="V500" s="9">
        <v>0</v>
      </c>
      <c r="W500" s="9">
        <v>0</v>
      </c>
      <c r="X500" s="9">
        <v>0</v>
      </c>
      <c r="Y500" s="9">
        <v>131</v>
      </c>
      <c r="Z500" s="9">
        <v>87</v>
      </c>
      <c r="AA500" s="9">
        <v>193</v>
      </c>
      <c r="AB500" s="9">
        <v>0</v>
      </c>
      <c r="AC500" s="9">
        <v>0</v>
      </c>
      <c r="AD500" s="9">
        <v>0</v>
      </c>
      <c r="AE500" s="6" t="s">
        <v>57</v>
      </c>
      <c r="AF500" s="6" t="s">
        <v>57</v>
      </c>
      <c r="AG500" s="6" t="s">
        <v>57</v>
      </c>
      <c r="AH500" s="6" t="s">
        <v>57</v>
      </c>
      <c r="AI500" s="6" t="s">
        <v>57</v>
      </c>
      <c r="AJ500" s="6" t="s">
        <v>57</v>
      </c>
      <c r="AK500" s="6" t="s">
        <v>57</v>
      </c>
      <c r="AL500" s="6" t="s">
        <v>57</v>
      </c>
      <c r="AM500" s="6" t="s">
        <v>57</v>
      </c>
      <c r="AN500" s="6" t="s">
        <v>57</v>
      </c>
      <c r="AO500" s="6" t="s">
        <v>57</v>
      </c>
      <c r="AP500" s="6" t="s">
        <v>57</v>
      </c>
      <c r="AQ500" s="9">
        <v>0</v>
      </c>
    </row>
    <row r="501" spans="1:43" ht="15">
      <c r="A501" s="2" t="s">
        <v>1798</v>
      </c>
      <c r="B501" s="5">
        <v>7722423</v>
      </c>
      <c r="C501" s="2" t="s">
        <v>23</v>
      </c>
      <c r="D501" s="2" t="s">
        <v>1799</v>
      </c>
      <c r="E501" s="2" t="s">
        <v>1800</v>
      </c>
      <c r="F501" s="2" t="s">
        <v>26</v>
      </c>
      <c r="G501" s="2" t="s">
        <v>26</v>
      </c>
      <c r="H501" s="2" t="s">
        <v>27</v>
      </c>
      <c r="I501" s="2" t="s">
        <v>28</v>
      </c>
      <c r="J501" s="6"/>
      <c r="K501" s="2" t="s">
        <v>55</v>
      </c>
      <c r="L501" s="2" t="s">
        <v>56</v>
      </c>
      <c r="M501" s="2" t="s">
        <v>55</v>
      </c>
      <c r="N501" s="2"/>
      <c r="O501" s="2"/>
      <c r="P501" s="7">
        <v>7.8347472595007899</v>
      </c>
      <c r="Q501" s="6" t="s">
        <v>57</v>
      </c>
      <c r="R501" s="9">
        <v>0</v>
      </c>
      <c r="S501" s="2"/>
      <c r="T501" s="9">
        <v>0</v>
      </c>
      <c r="U501" s="9">
        <v>0</v>
      </c>
      <c r="V501" s="9">
        <v>0</v>
      </c>
      <c r="W501" s="9">
        <v>565</v>
      </c>
      <c r="X501" s="9">
        <v>563</v>
      </c>
      <c r="Y501" s="9">
        <v>283</v>
      </c>
      <c r="Z501" s="9">
        <v>1202</v>
      </c>
      <c r="AA501" s="9">
        <v>1202</v>
      </c>
      <c r="AB501" s="9">
        <v>0</v>
      </c>
      <c r="AC501" s="9">
        <v>0</v>
      </c>
      <c r="AD501" s="9">
        <v>0</v>
      </c>
      <c r="AE501" s="6" t="s">
        <v>57</v>
      </c>
      <c r="AF501" s="6" t="s">
        <v>57</v>
      </c>
      <c r="AG501" s="6" t="s">
        <v>57</v>
      </c>
      <c r="AH501" s="6" t="s">
        <v>57</v>
      </c>
      <c r="AI501" s="6" t="s">
        <v>57</v>
      </c>
      <c r="AJ501" s="6" t="s">
        <v>57</v>
      </c>
      <c r="AK501" s="6" t="s">
        <v>57</v>
      </c>
      <c r="AL501" s="6" t="s">
        <v>57</v>
      </c>
      <c r="AM501" s="6" t="s">
        <v>57</v>
      </c>
      <c r="AN501" s="6" t="s">
        <v>57</v>
      </c>
      <c r="AO501" s="6" t="s">
        <v>57</v>
      </c>
      <c r="AP501" s="6" t="s">
        <v>57</v>
      </c>
      <c r="AQ501" s="9">
        <v>0</v>
      </c>
    </row>
    <row r="502" spans="1:43" ht="15">
      <c r="A502" s="2" t="s">
        <v>1801</v>
      </c>
      <c r="B502" s="5">
        <v>24798208</v>
      </c>
      <c r="C502" s="2" t="s">
        <v>23</v>
      </c>
      <c r="D502" s="2" t="s">
        <v>1802</v>
      </c>
      <c r="E502" s="2" t="s">
        <v>1803</v>
      </c>
      <c r="F502" s="2" t="s">
        <v>26</v>
      </c>
      <c r="G502" s="2" t="s">
        <v>26</v>
      </c>
      <c r="H502" s="2" t="s">
        <v>27</v>
      </c>
      <c r="I502" s="2" t="s">
        <v>28</v>
      </c>
      <c r="J502" s="6"/>
      <c r="K502" s="2" t="s">
        <v>55</v>
      </c>
      <c r="L502" s="2" t="s">
        <v>56</v>
      </c>
      <c r="M502" s="2" t="s">
        <v>55</v>
      </c>
      <c r="N502" s="2"/>
      <c r="O502" s="2"/>
      <c r="P502" s="6" t="s">
        <v>57</v>
      </c>
      <c r="Q502" s="6" t="s">
        <v>57</v>
      </c>
      <c r="R502" s="9">
        <v>0</v>
      </c>
      <c r="S502" s="2"/>
      <c r="T502" s="9">
        <v>0</v>
      </c>
      <c r="U502" s="9">
        <v>0</v>
      </c>
      <c r="V502" s="9">
        <v>0</v>
      </c>
      <c r="W502" s="9">
        <v>0</v>
      </c>
      <c r="X502" s="9">
        <v>0</v>
      </c>
      <c r="Y502" s="9">
        <v>46</v>
      </c>
      <c r="Z502" s="9">
        <v>179</v>
      </c>
      <c r="AA502" s="9">
        <v>164</v>
      </c>
      <c r="AB502" s="9">
        <v>0</v>
      </c>
      <c r="AC502" s="9">
        <v>0</v>
      </c>
      <c r="AD502" s="9">
        <v>0</v>
      </c>
      <c r="AE502" s="6" t="s">
        <v>57</v>
      </c>
      <c r="AF502" s="6" t="s">
        <v>57</v>
      </c>
      <c r="AG502" s="6" t="s">
        <v>57</v>
      </c>
      <c r="AH502" s="6" t="s">
        <v>57</v>
      </c>
      <c r="AI502" s="6" t="s">
        <v>57</v>
      </c>
      <c r="AJ502" s="6" t="s">
        <v>57</v>
      </c>
      <c r="AK502" s="6" t="s">
        <v>57</v>
      </c>
      <c r="AL502" s="6" t="s">
        <v>57</v>
      </c>
      <c r="AM502" s="6" t="s">
        <v>57</v>
      </c>
      <c r="AN502" s="6" t="s">
        <v>57</v>
      </c>
      <c r="AO502" s="6" t="s">
        <v>57</v>
      </c>
      <c r="AP502" s="6" t="s">
        <v>57</v>
      </c>
      <c r="AQ502" s="9">
        <v>0</v>
      </c>
    </row>
    <row r="503" spans="1:43" ht="15">
      <c r="A503" s="2" t="s">
        <v>1804</v>
      </c>
      <c r="B503" s="5">
        <v>105840255</v>
      </c>
      <c r="C503" s="2" t="s">
        <v>23</v>
      </c>
      <c r="D503" s="2" t="s">
        <v>1805</v>
      </c>
      <c r="E503" s="2" t="s">
        <v>1806</v>
      </c>
      <c r="F503" s="2" t="s">
        <v>26</v>
      </c>
      <c r="G503" s="2" t="s">
        <v>26</v>
      </c>
      <c r="H503" s="2" t="s">
        <v>27</v>
      </c>
      <c r="I503" s="2" t="s">
        <v>28</v>
      </c>
      <c r="J503" s="6"/>
      <c r="K503" s="2" t="s">
        <v>55</v>
      </c>
      <c r="L503" s="2" t="s">
        <v>56</v>
      </c>
      <c r="M503" s="2" t="s">
        <v>55</v>
      </c>
      <c r="N503" s="2"/>
      <c r="O503" s="2"/>
      <c r="P503" s="6" t="s">
        <v>57</v>
      </c>
      <c r="Q503" s="6" t="s">
        <v>57</v>
      </c>
      <c r="R503" s="9">
        <v>0</v>
      </c>
      <c r="S503" s="2"/>
      <c r="T503" s="9">
        <v>0</v>
      </c>
      <c r="U503" s="9">
        <v>0</v>
      </c>
      <c r="V503" s="9">
        <v>0</v>
      </c>
      <c r="W503" s="9">
        <v>0</v>
      </c>
      <c r="X503" s="9">
        <v>0</v>
      </c>
      <c r="Y503" s="9">
        <v>839</v>
      </c>
      <c r="Z503" s="9">
        <v>11046</v>
      </c>
      <c r="AA503" s="9">
        <v>71301</v>
      </c>
      <c r="AB503" s="9">
        <v>0</v>
      </c>
      <c r="AC503" s="9">
        <v>0</v>
      </c>
      <c r="AD503" s="9">
        <v>0</v>
      </c>
      <c r="AE503" s="6" t="s">
        <v>57</v>
      </c>
      <c r="AF503" s="6" t="s">
        <v>57</v>
      </c>
      <c r="AG503" s="6" t="s">
        <v>57</v>
      </c>
      <c r="AH503" s="6" t="s">
        <v>57</v>
      </c>
      <c r="AI503" s="6" t="s">
        <v>57</v>
      </c>
      <c r="AJ503" s="6" t="s">
        <v>57</v>
      </c>
      <c r="AK503" s="6" t="s">
        <v>57</v>
      </c>
      <c r="AL503" s="6" t="s">
        <v>57</v>
      </c>
      <c r="AM503" s="6" t="s">
        <v>57</v>
      </c>
      <c r="AN503" s="6" t="s">
        <v>57</v>
      </c>
      <c r="AO503" s="6" t="s">
        <v>57</v>
      </c>
      <c r="AP503" s="6" t="s">
        <v>57</v>
      </c>
      <c r="AQ503" s="9">
        <v>0</v>
      </c>
    </row>
    <row r="504" spans="1:43" ht="15">
      <c r="A504" s="2" t="s">
        <v>1807</v>
      </c>
      <c r="B504" s="5">
        <v>10532763</v>
      </c>
      <c r="C504" s="2" t="s">
        <v>23</v>
      </c>
      <c r="D504" s="2" t="s">
        <v>1808</v>
      </c>
      <c r="E504" s="2" t="s">
        <v>1809</v>
      </c>
      <c r="F504" s="2" t="s">
        <v>26</v>
      </c>
      <c r="G504" s="2" t="s">
        <v>26</v>
      </c>
      <c r="H504" s="2" t="s">
        <v>27</v>
      </c>
      <c r="I504" s="2" t="s">
        <v>28</v>
      </c>
      <c r="J504" s="6"/>
      <c r="K504" s="2" t="s">
        <v>55</v>
      </c>
      <c r="L504" s="2" t="s">
        <v>56</v>
      </c>
      <c r="M504" s="2" t="s">
        <v>55</v>
      </c>
      <c r="N504" s="2"/>
      <c r="O504" s="2"/>
      <c r="P504" s="7">
        <v>14.2150150217345</v>
      </c>
      <c r="Q504" s="6" t="s">
        <v>57</v>
      </c>
      <c r="R504" s="9">
        <v>0</v>
      </c>
      <c r="S504" s="2"/>
      <c r="T504" s="9">
        <v>0</v>
      </c>
      <c r="U504" s="9">
        <v>0</v>
      </c>
      <c r="V504" s="9">
        <v>0</v>
      </c>
      <c r="W504" s="9">
        <v>0</v>
      </c>
      <c r="X504" s="9">
        <v>0</v>
      </c>
      <c r="Y504" s="9">
        <v>1</v>
      </c>
      <c r="Z504" s="9">
        <v>3</v>
      </c>
      <c r="AA504" s="9">
        <v>8</v>
      </c>
      <c r="AB504" s="9">
        <v>0</v>
      </c>
      <c r="AC504" s="9">
        <v>0</v>
      </c>
      <c r="AD504" s="9">
        <v>0</v>
      </c>
      <c r="AE504" s="6" t="s">
        <v>57</v>
      </c>
      <c r="AF504" s="6" t="s">
        <v>57</v>
      </c>
      <c r="AG504" s="6" t="s">
        <v>57</v>
      </c>
      <c r="AH504" s="6" t="s">
        <v>57</v>
      </c>
      <c r="AI504" s="6" t="s">
        <v>57</v>
      </c>
      <c r="AJ504" s="6" t="s">
        <v>57</v>
      </c>
      <c r="AK504" s="6" t="s">
        <v>57</v>
      </c>
      <c r="AL504" s="6" t="s">
        <v>57</v>
      </c>
      <c r="AM504" s="6" t="s">
        <v>57</v>
      </c>
      <c r="AN504" s="6" t="s">
        <v>57</v>
      </c>
      <c r="AO504" s="6" t="s">
        <v>57</v>
      </c>
      <c r="AP504" s="6" t="s">
        <v>57</v>
      </c>
      <c r="AQ504" s="9">
        <v>0</v>
      </c>
    </row>
    <row r="505" spans="1:43" ht="15">
      <c r="A505" s="2" t="s">
        <v>1810</v>
      </c>
      <c r="B505" s="5">
        <v>5733858</v>
      </c>
      <c r="C505" s="2" t="s">
        <v>23</v>
      </c>
      <c r="D505" s="2" t="s">
        <v>1811</v>
      </c>
      <c r="E505" s="2" t="s">
        <v>1812</v>
      </c>
      <c r="F505" s="2" t="s">
        <v>26</v>
      </c>
      <c r="G505" s="2" t="s">
        <v>26</v>
      </c>
      <c r="H505" s="2" t="s">
        <v>27</v>
      </c>
      <c r="I505" s="2" t="s">
        <v>28</v>
      </c>
      <c r="J505" s="6"/>
      <c r="K505" s="2" t="s">
        <v>55</v>
      </c>
      <c r="L505" s="2" t="s">
        <v>56</v>
      </c>
      <c r="M505" s="2" t="s">
        <v>55</v>
      </c>
      <c r="N505" s="2"/>
      <c r="O505" s="2"/>
      <c r="P505" s="7">
        <v>65.367849972314303</v>
      </c>
      <c r="Q505" s="6" t="s">
        <v>57</v>
      </c>
      <c r="R505" s="9">
        <v>0</v>
      </c>
      <c r="S505" s="2"/>
      <c r="T505" s="9">
        <v>0</v>
      </c>
      <c r="U505" s="9">
        <v>0</v>
      </c>
      <c r="V505" s="9">
        <v>0</v>
      </c>
      <c r="W505" s="9">
        <v>0</v>
      </c>
      <c r="X505" s="9">
        <v>0</v>
      </c>
      <c r="Y505" s="9">
        <v>22</v>
      </c>
      <c r="Z505" s="9">
        <v>30</v>
      </c>
      <c r="AA505" s="9">
        <v>164</v>
      </c>
      <c r="AB505" s="9">
        <v>0</v>
      </c>
      <c r="AC505" s="9">
        <v>0</v>
      </c>
      <c r="AD505" s="9">
        <v>0</v>
      </c>
      <c r="AE505" s="6" t="s">
        <v>57</v>
      </c>
      <c r="AF505" s="6" t="s">
        <v>57</v>
      </c>
      <c r="AG505" s="6" t="s">
        <v>57</v>
      </c>
      <c r="AH505" s="6" t="s">
        <v>57</v>
      </c>
      <c r="AI505" s="6" t="s">
        <v>57</v>
      </c>
      <c r="AJ505" s="6" t="s">
        <v>57</v>
      </c>
      <c r="AK505" s="6" t="s">
        <v>57</v>
      </c>
      <c r="AL505" s="6" t="s">
        <v>57</v>
      </c>
      <c r="AM505" s="6" t="s">
        <v>57</v>
      </c>
      <c r="AN505" s="6" t="s">
        <v>57</v>
      </c>
      <c r="AO505" s="6" t="s">
        <v>57</v>
      </c>
      <c r="AP505" s="6" t="s">
        <v>57</v>
      </c>
      <c r="AQ505" s="9">
        <v>0</v>
      </c>
    </row>
    <row r="506" spans="1:43" ht="15">
      <c r="A506" s="2" t="s">
        <v>1813</v>
      </c>
      <c r="B506" s="5">
        <v>5732181</v>
      </c>
      <c r="C506" s="2" t="s">
        <v>23</v>
      </c>
      <c r="D506" s="2" t="s">
        <v>1814</v>
      </c>
      <c r="E506" s="2" t="s">
        <v>1815</v>
      </c>
      <c r="F506" s="2" t="s">
        <v>26</v>
      </c>
      <c r="G506" s="2" t="s">
        <v>26</v>
      </c>
      <c r="H506" s="2" t="s">
        <v>27</v>
      </c>
      <c r="I506" s="2" t="s">
        <v>28</v>
      </c>
      <c r="J506" s="6"/>
      <c r="K506" s="2" t="s">
        <v>55</v>
      </c>
      <c r="L506" s="2" t="s">
        <v>56</v>
      </c>
      <c r="M506" s="2" t="s">
        <v>55</v>
      </c>
      <c r="N506" s="2"/>
      <c r="O506" s="2"/>
      <c r="P506" s="7">
        <v>93.476167927176704</v>
      </c>
      <c r="Q506" s="6" t="s">
        <v>57</v>
      </c>
      <c r="R506" s="9">
        <v>0</v>
      </c>
      <c r="S506" s="2" t="s">
        <v>1816</v>
      </c>
      <c r="T506" s="9">
        <v>0</v>
      </c>
      <c r="U506" s="9">
        <v>0</v>
      </c>
      <c r="V506" s="9">
        <v>22</v>
      </c>
      <c r="W506" s="9">
        <v>318</v>
      </c>
      <c r="X506" s="9">
        <v>317</v>
      </c>
      <c r="Y506" s="9">
        <v>265</v>
      </c>
      <c r="Z506" s="9">
        <v>369</v>
      </c>
      <c r="AA506" s="9">
        <v>242</v>
      </c>
      <c r="AB506" s="9">
        <v>0</v>
      </c>
      <c r="AC506" s="9">
        <v>23</v>
      </c>
      <c r="AD506" s="9">
        <v>496</v>
      </c>
      <c r="AE506" s="6" t="s">
        <v>57</v>
      </c>
      <c r="AF506" s="6" t="s">
        <v>57</v>
      </c>
      <c r="AG506" s="6" t="s">
        <v>57</v>
      </c>
      <c r="AH506" s="6" t="s">
        <v>57</v>
      </c>
      <c r="AI506" s="6" t="s">
        <v>57</v>
      </c>
      <c r="AJ506" s="6" t="s">
        <v>57</v>
      </c>
      <c r="AK506" s="6" t="s">
        <v>57</v>
      </c>
      <c r="AL506" s="6" t="s">
        <v>57</v>
      </c>
      <c r="AM506" s="6" t="s">
        <v>57</v>
      </c>
      <c r="AN506" s="6" t="s">
        <v>57</v>
      </c>
      <c r="AO506" s="6" t="s">
        <v>57</v>
      </c>
      <c r="AP506" s="6" t="s">
        <v>57</v>
      </c>
      <c r="AQ506" s="9">
        <v>0</v>
      </c>
    </row>
    <row r="507" spans="1:43" ht="15">
      <c r="A507" s="2" t="s">
        <v>1817</v>
      </c>
      <c r="B507" s="5">
        <v>5734914</v>
      </c>
      <c r="C507" s="2" t="s">
        <v>23</v>
      </c>
      <c r="D507" s="2" t="s">
        <v>1818</v>
      </c>
      <c r="E507" s="2" t="s">
        <v>1819</v>
      </c>
      <c r="F507" s="2" t="s">
        <v>26</v>
      </c>
      <c r="G507" s="2" t="s">
        <v>26</v>
      </c>
      <c r="H507" s="2" t="s">
        <v>27</v>
      </c>
      <c r="I507" s="2" t="s">
        <v>28</v>
      </c>
      <c r="J507" s="6"/>
      <c r="K507" s="2" t="s">
        <v>55</v>
      </c>
      <c r="L507" s="2" t="s">
        <v>56</v>
      </c>
      <c r="M507" s="2" t="s">
        <v>55</v>
      </c>
      <c r="N507" s="2"/>
      <c r="O507" s="2"/>
      <c r="P507" s="7">
        <v>3.6855407705213001</v>
      </c>
      <c r="Q507" s="6" t="s">
        <v>57</v>
      </c>
      <c r="R507" s="9">
        <v>0</v>
      </c>
      <c r="S507" s="2"/>
      <c r="T507" s="9">
        <v>0</v>
      </c>
      <c r="U507" s="9">
        <v>0</v>
      </c>
      <c r="V507" s="9">
        <v>0</v>
      </c>
      <c r="W507" s="9">
        <v>0</v>
      </c>
      <c r="X507" s="9">
        <v>0</v>
      </c>
      <c r="Y507" s="9">
        <v>0</v>
      </c>
      <c r="Z507" s="9">
        <v>0</v>
      </c>
      <c r="AA507" s="9">
        <v>0</v>
      </c>
      <c r="AB507" s="9">
        <v>0</v>
      </c>
      <c r="AC507" s="9">
        <v>0</v>
      </c>
      <c r="AD507" s="9">
        <v>0</v>
      </c>
      <c r="AE507" s="6" t="s">
        <v>57</v>
      </c>
      <c r="AF507" s="6" t="s">
        <v>57</v>
      </c>
      <c r="AG507" s="6" t="s">
        <v>57</v>
      </c>
      <c r="AH507" s="6" t="s">
        <v>57</v>
      </c>
      <c r="AI507" s="6" t="s">
        <v>57</v>
      </c>
      <c r="AJ507" s="6" t="s">
        <v>57</v>
      </c>
      <c r="AK507" s="6" t="s">
        <v>57</v>
      </c>
      <c r="AL507" s="6" t="s">
        <v>57</v>
      </c>
      <c r="AM507" s="6" t="s">
        <v>57</v>
      </c>
      <c r="AN507" s="6" t="s">
        <v>57</v>
      </c>
      <c r="AO507" s="6" t="s">
        <v>57</v>
      </c>
      <c r="AP507" s="6" t="s">
        <v>57</v>
      </c>
      <c r="AQ507" s="9">
        <v>0</v>
      </c>
    </row>
    <row r="508" spans="1:43" ht="15">
      <c r="A508" s="2" t="s">
        <v>1820</v>
      </c>
      <c r="B508" s="5">
        <v>6093600</v>
      </c>
      <c r="C508" s="2" t="s">
        <v>23</v>
      </c>
      <c r="D508" s="2" t="s">
        <v>1821</v>
      </c>
      <c r="E508" s="2" t="s">
        <v>1822</v>
      </c>
      <c r="F508" s="2" t="s">
        <v>26</v>
      </c>
      <c r="G508" s="2" t="s">
        <v>26</v>
      </c>
      <c r="H508" s="2" t="s">
        <v>27</v>
      </c>
      <c r="I508" s="2" t="s">
        <v>28</v>
      </c>
      <c r="J508" s="6"/>
      <c r="K508" s="2" t="s">
        <v>55</v>
      </c>
      <c r="L508" s="2" t="s">
        <v>56</v>
      </c>
      <c r="M508" s="2" t="s">
        <v>55</v>
      </c>
      <c r="N508" s="2"/>
      <c r="O508" s="2"/>
      <c r="P508" s="6" t="s">
        <v>57</v>
      </c>
      <c r="Q508" s="6" t="s">
        <v>57</v>
      </c>
      <c r="R508" s="9">
        <v>0</v>
      </c>
      <c r="S508" s="2"/>
      <c r="T508" s="9">
        <v>0</v>
      </c>
      <c r="U508" s="9">
        <v>0</v>
      </c>
      <c r="V508" s="9">
        <v>0</v>
      </c>
      <c r="W508" s="9">
        <v>0</v>
      </c>
      <c r="X508" s="9">
        <v>0</v>
      </c>
      <c r="Y508" s="9">
        <v>0</v>
      </c>
      <c r="Z508" s="9">
        <v>130</v>
      </c>
      <c r="AA508" s="9">
        <v>81</v>
      </c>
      <c r="AB508" s="9">
        <v>0</v>
      </c>
      <c r="AC508" s="9">
        <v>0</v>
      </c>
      <c r="AD508" s="9">
        <v>0</v>
      </c>
      <c r="AE508" s="6" t="s">
        <v>57</v>
      </c>
      <c r="AF508" s="6" t="s">
        <v>57</v>
      </c>
      <c r="AG508" s="6" t="s">
        <v>57</v>
      </c>
      <c r="AH508" s="6" t="s">
        <v>57</v>
      </c>
      <c r="AI508" s="6" t="s">
        <v>57</v>
      </c>
      <c r="AJ508" s="6" t="s">
        <v>57</v>
      </c>
      <c r="AK508" s="6" t="s">
        <v>57</v>
      </c>
      <c r="AL508" s="6" t="s">
        <v>57</v>
      </c>
      <c r="AM508" s="6" t="s">
        <v>57</v>
      </c>
      <c r="AN508" s="6" t="s">
        <v>57</v>
      </c>
      <c r="AO508" s="6" t="s">
        <v>57</v>
      </c>
      <c r="AP508" s="6" t="s">
        <v>57</v>
      </c>
      <c r="AQ508" s="9">
        <v>0</v>
      </c>
    </row>
    <row r="509" spans="1:43" ht="15">
      <c r="A509" s="2" t="s">
        <v>1823</v>
      </c>
      <c r="B509" s="5">
        <v>5735238</v>
      </c>
      <c r="C509" s="2" t="s">
        <v>23</v>
      </c>
      <c r="D509" s="2" t="s">
        <v>1824</v>
      </c>
      <c r="E509" s="2" t="s">
        <v>1825</v>
      </c>
      <c r="F509" s="2" t="s">
        <v>26</v>
      </c>
      <c r="G509" s="2" t="s">
        <v>26</v>
      </c>
      <c r="H509" s="2" t="s">
        <v>27</v>
      </c>
      <c r="I509" s="2" t="s">
        <v>28</v>
      </c>
      <c r="J509" s="6"/>
      <c r="K509" s="2" t="s">
        <v>55</v>
      </c>
      <c r="L509" s="2" t="s">
        <v>56</v>
      </c>
      <c r="M509" s="2" t="s">
        <v>55</v>
      </c>
      <c r="N509" s="2"/>
      <c r="O509" s="2"/>
      <c r="P509" s="6" t="s">
        <v>57</v>
      </c>
      <c r="Q509" s="6" t="s">
        <v>57</v>
      </c>
      <c r="R509" s="9">
        <v>677312</v>
      </c>
      <c r="S509" s="2"/>
      <c r="T509" s="9">
        <v>289322</v>
      </c>
      <c r="U509" s="9">
        <v>159818</v>
      </c>
      <c r="V509" s="9">
        <v>137783</v>
      </c>
      <c r="W509" s="9">
        <v>111778</v>
      </c>
      <c r="X509" s="9">
        <v>111617</v>
      </c>
      <c r="Y509" s="9">
        <v>80620</v>
      </c>
      <c r="Z509" s="9">
        <v>75120</v>
      </c>
      <c r="AA509" s="9">
        <v>57689</v>
      </c>
      <c r="AB509" s="9">
        <v>155039</v>
      </c>
      <c r="AC509" s="9">
        <v>143260</v>
      </c>
      <c r="AD509" s="9">
        <v>116102</v>
      </c>
      <c r="AE509" s="6" t="s">
        <v>57</v>
      </c>
      <c r="AF509" s="6" t="s">
        <v>57</v>
      </c>
      <c r="AG509" s="6" t="s">
        <v>57</v>
      </c>
      <c r="AH509" s="6" t="s">
        <v>57</v>
      </c>
      <c r="AI509" s="6" t="s">
        <v>57</v>
      </c>
      <c r="AJ509" s="6" t="s">
        <v>57</v>
      </c>
      <c r="AK509" s="6" t="s">
        <v>57</v>
      </c>
      <c r="AL509" s="6" t="s">
        <v>57</v>
      </c>
      <c r="AM509" s="6" t="s">
        <v>57</v>
      </c>
      <c r="AN509" s="6" t="s">
        <v>57</v>
      </c>
      <c r="AO509" s="6" t="s">
        <v>57</v>
      </c>
      <c r="AP509" s="6" t="s">
        <v>57</v>
      </c>
      <c r="AQ509" s="9">
        <v>43152</v>
      </c>
    </row>
    <row r="510" spans="1:43" ht="15">
      <c r="A510" s="2" t="s">
        <v>1826</v>
      </c>
      <c r="B510" s="5">
        <v>5737580</v>
      </c>
      <c r="C510" s="2" t="s">
        <v>23</v>
      </c>
      <c r="D510" s="2" t="s">
        <v>1827</v>
      </c>
      <c r="E510" s="2" t="s">
        <v>1828</v>
      </c>
      <c r="F510" s="2" t="s">
        <v>26</v>
      </c>
      <c r="G510" s="2" t="s">
        <v>26</v>
      </c>
      <c r="H510" s="2" t="s">
        <v>27</v>
      </c>
      <c r="I510" s="2" t="s">
        <v>28</v>
      </c>
      <c r="J510" s="6"/>
      <c r="K510" s="2" t="s">
        <v>55</v>
      </c>
      <c r="L510" s="2" t="s">
        <v>56</v>
      </c>
      <c r="M510" s="2" t="s">
        <v>55</v>
      </c>
      <c r="N510" s="2"/>
      <c r="O510" s="2"/>
      <c r="P510" s="7">
        <v>8.9169323591760996</v>
      </c>
      <c r="Q510" s="6" t="s">
        <v>57</v>
      </c>
      <c r="R510" s="9">
        <v>0</v>
      </c>
      <c r="S510" s="2"/>
      <c r="T510" s="9">
        <v>0</v>
      </c>
      <c r="U510" s="9">
        <v>0</v>
      </c>
      <c r="V510" s="9">
        <v>0</v>
      </c>
      <c r="W510" s="9">
        <v>0</v>
      </c>
      <c r="X510" s="9">
        <v>0</v>
      </c>
      <c r="Y510" s="9">
        <v>0</v>
      </c>
      <c r="Z510" s="9">
        <v>0</v>
      </c>
      <c r="AA510" s="9">
        <v>12</v>
      </c>
      <c r="AB510" s="9">
        <v>0</v>
      </c>
      <c r="AC510" s="9">
        <v>0</v>
      </c>
      <c r="AD510" s="9">
        <v>0</v>
      </c>
      <c r="AE510" s="6" t="s">
        <v>57</v>
      </c>
      <c r="AF510" s="6" t="s">
        <v>57</v>
      </c>
      <c r="AG510" s="6" t="s">
        <v>57</v>
      </c>
      <c r="AH510" s="6" t="s">
        <v>57</v>
      </c>
      <c r="AI510" s="6" t="s">
        <v>57</v>
      </c>
      <c r="AJ510" s="6" t="s">
        <v>57</v>
      </c>
      <c r="AK510" s="6" t="s">
        <v>57</v>
      </c>
      <c r="AL510" s="6" t="s">
        <v>57</v>
      </c>
      <c r="AM510" s="6" t="s">
        <v>57</v>
      </c>
      <c r="AN510" s="6" t="s">
        <v>57</v>
      </c>
      <c r="AO510" s="6" t="s">
        <v>57</v>
      </c>
      <c r="AP510" s="6" t="s">
        <v>57</v>
      </c>
      <c r="AQ510" s="9">
        <v>0</v>
      </c>
    </row>
    <row r="511" spans="1:43" ht="15">
      <c r="A511" s="2" t="s">
        <v>1829</v>
      </c>
      <c r="B511" s="5">
        <v>10707690</v>
      </c>
      <c r="C511" s="2" t="s">
        <v>23</v>
      </c>
      <c r="D511" s="2" t="s">
        <v>1830</v>
      </c>
      <c r="E511" s="2" t="s">
        <v>1831</v>
      </c>
      <c r="F511" s="2" t="s">
        <v>26</v>
      </c>
      <c r="G511" s="2" t="s">
        <v>26</v>
      </c>
      <c r="H511" s="2" t="s">
        <v>27</v>
      </c>
      <c r="I511" s="2" t="s">
        <v>28</v>
      </c>
      <c r="J511" s="6"/>
      <c r="K511" s="2" t="s">
        <v>55</v>
      </c>
      <c r="L511" s="2" t="s">
        <v>56</v>
      </c>
      <c r="M511" s="2" t="s">
        <v>55</v>
      </c>
      <c r="N511" s="2"/>
      <c r="O511" s="2"/>
      <c r="P511" s="6" t="s">
        <v>57</v>
      </c>
      <c r="Q511" s="6" t="s">
        <v>57</v>
      </c>
      <c r="R511" s="9">
        <v>0</v>
      </c>
      <c r="S511" s="2"/>
      <c r="T511" s="9">
        <v>0</v>
      </c>
      <c r="U511" s="9">
        <v>0</v>
      </c>
      <c r="V511" s="9">
        <v>0</v>
      </c>
      <c r="W511" s="9">
        <v>63</v>
      </c>
      <c r="X511" s="9">
        <v>63</v>
      </c>
      <c r="Y511" s="9">
        <v>60</v>
      </c>
      <c r="Z511" s="9">
        <v>46</v>
      </c>
      <c r="AA511" s="9">
        <v>43</v>
      </c>
      <c r="AB511" s="9">
        <v>0</v>
      </c>
      <c r="AC511" s="9">
        <v>0</v>
      </c>
      <c r="AD511" s="9">
        <v>0</v>
      </c>
      <c r="AE511" s="6" t="s">
        <v>57</v>
      </c>
      <c r="AF511" s="6" t="s">
        <v>57</v>
      </c>
      <c r="AG511" s="6" t="s">
        <v>57</v>
      </c>
      <c r="AH511" s="6" t="s">
        <v>57</v>
      </c>
      <c r="AI511" s="6" t="s">
        <v>57</v>
      </c>
      <c r="AJ511" s="6" t="s">
        <v>57</v>
      </c>
      <c r="AK511" s="6" t="s">
        <v>57</v>
      </c>
      <c r="AL511" s="6" t="s">
        <v>57</v>
      </c>
      <c r="AM511" s="6" t="s">
        <v>57</v>
      </c>
      <c r="AN511" s="6" t="s">
        <v>57</v>
      </c>
      <c r="AO511" s="6" t="s">
        <v>57</v>
      </c>
      <c r="AP511" s="6" t="s">
        <v>57</v>
      </c>
      <c r="AQ511" s="9">
        <v>0</v>
      </c>
    </row>
    <row r="512" spans="1:43" ht="15">
      <c r="A512" s="2" t="s">
        <v>1832</v>
      </c>
      <c r="B512" s="5">
        <v>15112124</v>
      </c>
      <c r="C512" s="2" t="s">
        <v>23</v>
      </c>
      <c r="D512" s="2" t="s">
        <v>1833</v>
      </c>
      <c r="E512" s="2" t="s">
        <v>1834</v>
      </c>
      <c r="F512" s="2" t="s">
        <v>26</v>
      </c>
      <c r="G512" s="2"/>
      <c r="H512" s="2"/>
      <c r="I512" s="2" t="s">
        <v>28</v>
      </c>
      <c r="J512" s="6"/>
      <c r="K512" s="2" t="s">
        <v>55</v>
      </c>
      <c r="L512" s="2" t="s">
        <v>56</v>
      </c>
      <c r="M512" s="2" t="s">
        <v>55</v>
      </c>
      <c r="N512" s="2"/>
      <c r="O512" s="2"/>
      <c r="P512" s="6" t="s">
        <v>57</v>
      </c>
      <c r="Q512" s="6" t="s">
        <v>57</v>
      </c>
      <c r="R512" s="9">
        <v>0</v>
      </c>
      <c r="S512" s="2"/>
      <c r="T512" s="9">
        <v>0</v>
      </c>
      <c r="U512" s="9">
        <v>0</v>
      </c>
      <c r="V512" s="9">
        <v>0</v>
      </c>
      <c r="W512" s="9">
        <v>10</v>
      </c>
      <c r="X512" s="9">
        <v>10</v>
      </c>
      <c r="Y512" s="9">
        <v>16</v>
      </c>
      <c r="Z512" s="9">
        <v>11</v>
      </c>
      <c r="AA512" s="9">
        <v>16</v>
      </c>
      <c r="AB512" s="9">
        <v>0</v>
      </c>
      <c r="AC512" s="9">
        <v>0</v>
      </c>
      <c r="AD512" s="9">
        <v>7</v>
      </c>
      <c r="AE512" s="6" t="s">
        <v>57</v>
      </c>
      <c r="AF512" s="6" t="s">
        <v>57</v>
      </c>
      <c r="AG512" s="6" t="s">
        <v>57</v>
      </c>
      <c r="AH512" s="6" t="s">
        <v>57</v>
      </c>
      <c r="AI512" s="6" t="s">
        <v>57</v>
      </c>
      <c r="AJ512" s="6" t="s">
        <v>57</v>
      </c>
      <c r="AK512" s="6" t="s">
        <v>57</v>
      </c>
      <c r="AL512" s="6" t="s">
        <v>57</v>
      </c>
      <c r="AM512" s="6" t="s">
        <v>57</v>
      </c>
      <c r="AN512" s="6" t="s">
        <v>57</v>
      </c>
      <c r="AO512" s="6" t="s">
        <v>57</v>
      </c>
      <c r="AP512" s="6" t="s">
        <v>57</v>
      </c>
      <c r="AQ512" s="9">
        <v>0</v>
      </c>
    </row>
    <row r="513" spans="1:43" ht="15">
      <c r="A513" s="2" t="s">
        <v>1835</v>
      </c>
      <c r="B513" s="5">
        <v>29628796</v>
      </c>
      <c r="C513" s="2" t="s">
        <v>23</v>
      </c>
      <c r="D513" s="2" t="s">
        <v>1836</v>
      </c>
      <c r="E513" s="2" t="s">
        <v>1837</v>
      </c>
      <c r="F513" s="2" t="s">
        <v>26</v>
      </c>
      <c r="G513" s="2" t="s">
        <v>26</v>
      </c>
      <c r="H513" s="2" t="s">
        <v>27</v>
      </c>
      <c r="I513" s="2" t="s">
        <v>28</v>
      </c>
      <c r="J513" s="6"/>
      <c r="K513" s="2" t="s">
        <v>55</v>
      </c>
      <c r="L513" s="2" t="s">
        <v>56</v>
      </c>
      <c r="M513" s="2" t="s">
        <v>55</v>
      </c>
      <c r="N513" s="2"/>
      <c r="O513" s="2"/>
      <c r="P513" s="6" t="s">
        <v>57</v>
      </c>
      <c r="Q513" s="6" t="s">
        <v>57</v>
      </c>
      <c r="R513" s="9">
        <v>0</v>
      </c>
      <c r="S513" s="2"/>
      <c r="T513" s="9">
        <v>0</v>
      </c>
      <c r="U513" s="9">
        <v>0</v>
      </c>
      <c r="V513" s="9">
        <v>0</v>
      </c>
      <c r="W513" s="9">
        <v>1917</v>
      </c>
      <c r="X513" s="9">
        <v>1910</v>
      </c>
      <c r="Y513" s="9">
        <v>1031</v>
      </c>
      <c r="Z513" s="9">
        <v>693</v>
      </c>
      <c r="AA513" s="9">
        <v>800</v>
      </c>
      <c r="AB513" s="9">
        <v>0</v>
      </c>
      <c r="AC513" s="9">
        <v>0</v>
      </c>
      <c r="AD513" s="9">
        <v>0</v>
      </c>
      <c r="AE513" s="6" t="s">
        <v>57</v>
      </c>
      <c r="AF513" s="6" t="s">
        <v>57</v>
      </c>
      <c r="AG513" s="6" t="s">
        <v>57</v>
      </c>
      <c r="AH513" s="6" t="s">
        <v>57</v>
      </c>
      <c r="AI513" s="6" t="s">
        <v>57</v>
      </c>
      <c r="AJ513" s="6" t="s">
        <v>57</v>
      </c>
      <c r="AK513" s="6" t="s">
        <v>57</v>
      </c>
      <c r="AL513" s="6" t="s">
        <v>57</v>
      </c>
      <c r="AM513" s="6" t="s">
        <v>57</v>
      </c>
      <c r="AN513" s="6" t="s">
        <v>57</v>
      </c>
      <c r="AO513" s="6" t="s">
        <v>57</v>
      </c>
      <c r="AP513" s="6" t="s">
        <v>57</v>
      </c>
      <c r="AQ513" s="9">
        <v>0</v>
      </c>
    </row>
    <row r="514" spans="1:43" ht="15">
      <c r="A514" s="2" t="s">
        <v>1838</v>
      </c>
      <c r="B514" s="5">
        <v>19442877</v>
      </c>
      <c r="C514" s="2" t="s">
        <v>23</v>
      </c>
      <c r="D514" s="2" t="s">
        <v>1839</v>
      </c>
      <c r="E514" s="2" t="s">
        <v>1840</v>
      </c>
      <c r="F514" s="2" t="s">
        <v>26</v>
      </c>
      <c r="G514" s="2" t="s">
        <v>26</v>
      </c>
      <c r="H514" s="2" t="s">
        <v>27</v>
      </c>
      <c r="I514" s="2" t="s">
        <v>28</v>
      </c>
      <c r="J514" s="6"/>
      <c r="K514" s="2" t="s">
        <v>55</v>
      </c>
      <c r="L514" s="2" t="s">
        <v>56</v>
      </c>
      <c r="M514" s="2" t="s">
        <v>55</v>
      </c>
      <c r="N514" s="2"/>
      <c r="O514" s="2"/>
      <c r="P514" s="6" t="s">
        <v>57</v>
      </c>
      <c r="Q514" s="6" t="s">
        <v>57</v>
      </c>
      <c r="R514" s="9">
        <v>0</v>
      </c>
      <c r="S514" s="2"/>
      <c r="T514" s="9">
        <v>0</v>
      </c>
      <c r="U514" s="9">
        <v>0</v>
      </c>
      <c r="V514" s="9">
        <v>0</v>
      </c>
      <c r="W514" s="9">
        <v>0</v>
      </c>
      <c r="X514" s="9">
        <v>0</v>
      </c>
      <c r="Y514" s="9">
        <v>0</v>
      </c>
      <c r="Z514" s="9">
        <v>113</v>
      </c>
      <c r="AA514" s="9">
        <v>641</v>
      </c>
      <c r="AB514" s="9">
        <v>0</v>
      </c>
      <c r="AC514" s="9">
        <v>0</v>
      </c>
      <c r="AD514" s="9">
        <v>0</v>
      </c>
      <c r="AE514" s="6" t="s">
        <v>57</v>
      </c>
      <c r="AF514" s="6" t="s">
        <v>57</v>
      </c>
      <c r="AG514" s="6" t="s">
        <v>57</v>
      </c>
      <c r="AH514" s="6" t="s">
        <v>57</v>
      </c>
      <c r="AI514" s="6" t="s">
        <v>57</v>
      </c>
      <c r="AJ514" s="6" t="s">
        <v>57</v>
      </c>
      <c r="AK514" s="6" t="s">
        <v>57</v>
      </c>
      <c r="AL514" s="6" t="s">
        <v>57</v>
      </c>
      <c r="AM514" s="6" t="s">
        <v>57</v>
      </c>
      <c r="AN514" s="6" t="s">
        <v>57</v>
      </c>
      <c r="AO514" s="6" t="s">
        <v>57</v>
      </c>
      <c r="AP514" s="6" t="s">
        <v>57</v>
      </c>
      <c r="AQ514" s="9">
        <v>0</v>
      </c>
    </row>
    <row r="515" spans="1:43" ht="15">
      <c r="A515" s="2" t="s">
        <v>1841</v>
      </c>
      <c r="B515" s="5">
        <v>13689290</v>
      </c>
      <c r="C515" s="2" t="s">
        <v>23</v>
      </c>
      <c r="D515" s="2" t="s">
        <v>1842</v>
      </c>
      <c r="E515" s="2" t="s">
        <v>1843</v>
      </c>
      <c r="F515" s="2" t="s">
        <v>26</v>
      </c>
      <c r="G515" s="2" t="s">
        <v>26</v>
      </c>
      <c r="H515" s="2" t="s">
        <v>27</v>
      </c>
      <c r="I515" s="2" t="s">
        <v>28</v>
      </c>
      <c r="J515" s="6"/>
      <c r="K515" s="2" t="s">
        <v>55</v>
      </c>
      <c r="L515" s="2" t="s">
        <v>56</v>
      </c>
      <c r="M515" s="2" t="s">
        <v>55</v>
      </c>
      <c r="N515" s="2"/>
      <c r="O515" s="2"/>
      <c r="P515" s="7">
        <v>13.333982666712499</v>
      </c>
      <c r="Q515" s="6" t="s">
        <v>57</v>
      </c>
      <c r="R515" s="9">
        <v>1132057</v>
      </c>
      <c r="S515" s="2"/>
      <c r="T515" s="9">
        <v>685724</v>
      </c>
      <c r="U515" s="9">
        <v>911470</v>
      </c>
      <c r="V515" s="9">
        <v>1106169</v>
      </c>
      <c r="W515" s="9">
        <v>1049414</v>
      </c>
      <c r="X515" s="9">
        <v>1046266</v>
      </c>
      <c r="Y515" s="9">
        <v>836039</v>
      </c>
      <c r="Z515" s="9">
        <v>680849</v>
      </c>
      <c r="AA515" s="9">
        <v>521643</v>
      </c>
      <c r="AB515" s="9">
        <v>905181</v>
      </c>
      <c r="AC515" s="9">
        <v>993712</v>
      </c>
      <c r="AD515" s="9">
        <v>1113640</v>
      </c>
      <c r="AE515" s="6" t="s">
        <v>57</v>
      </c>
      <c r="AF515" s="6" t="s">
        <v>57</v>
      </c>
      <c r="AG515" s="6" t="s">
        <v>57</v>
      </c>
      <c r="AH515" s="6" t="s">
        <v>57</v>
      </c>
      <c r="AI515" s="6" t="s">
        <v>57</v>
      </c>
      <c r="AJ515" s="6" t="s">
        <v>57</v>
      </c>
      <c r="AK515" s="6" t="s">
        <v>57</v>
      </c>
      <c r="AL515" s="6" t="s">
        <v>57</v>
      </c>
      <c r="AM515" s="6" t="s">
        <v>57</v>
      </c>
      <c r="AN515" s="6" t="s">
        <v>57</v>
      </c>
      <c r="AO515" s="6" t="s">
        <v>57</v>
      </c>
      <c r="AP515" s="6" t="s">
        <v>57</v>
      </c>
      <c r="AQ515" s="9">
        <v>759023</v>
      </c>
    </row>
    <row r="516" spans="1:43" ht="15">
      <c r="A516" s="2" t="s">
        <v>1844</v>
      </c>
      <c r="B516" s="5">
        <v>19956981</v>
      </c>
      <c r="C516" s="2" t="s">
        <v>23</v>
      </c>
      <c r="D516" s="2" t="s">
        <v>1845</v>
      </c>
      <c r="E516" s="2" t="s">
        <v>1846</v>
      </c>
      <c r="F516" s="2" t="s">
        <v>26</v>
      </c>
      <c r="G516" s="2" t="s">
        <v>26</v>
      </c>
      <c r="H516" s="2" t="s">
        <v>27</v>
      </c>
      <c r="I516" s="2" t="s">
        <v>28</v>
      </c>
      <c r="J516" s="6"/>
      <c r="K516" s="2" t="s">
        <v>55</v>
      </c>
      <c r="L516" s="2" t="s">
        <v>56</v>
      </c>
      <c r="M516" s="2" t="s">
        <v>55</v>
      </c>
      <c r="N516" s="2"/>
      <c r="O516" s="2"/>
      <c r="P516" s="6" t="s">
        <v>57</v>
      </c>
      <c r="Q516" s="6" t="s">
        <v>57</v>
      </c>
      <c r="R516" s="9">
        <v>585642</v>
      </c>
      <c r="S516" s="2"/>
      <c r="T516" s="9">
        <v>296140</v>
      </c>
      <c r="U516" s="9">
        <v>227145</v>
      </c>
      <c r="V516" s="9">
        <v>247701</v>
      </c>
      <c r="W516" s="9">
        <v>235788</v>
      </c>
      <c r="X516" s="9">
        <v>234965</v>
      </c>
      <c r="Y516" s="9">
        <v>236794</v>
      </c>
      <c r="Z516" s="9">
        <v>220312</v>
      </c>
      <c r="AA516" s="9">
        <v>156513</v>
      </c>
      <c r="AB516" s="9">
        <v>215987</v>
      </c>
      <c r="AC516" s="9">
        <v>253109</v>
      </c>
      <c r="AD516" s="9">
        <v>221836</v>
      </c>
      <c r="AE516" s="6" t="s">
        <v>57</v>
      </c>
      <c r="AF516" s="6" t="s">
        <v>57</v>
      </c>
      <c r="AG516" s="6" t="s">
        <v>57</v>
      </c>
      <c r="AH516" s="6" t="s">
        <v>57</v>
      </c>
      <c r="AI516" s="6" t="s">
        <v>57</v>
      </c>
      <c r="AJ516" s="6" t="s">
        <v>57</v>
      </c>
      <c r="AK516" s="6" t="s">
        <v>57</v>
      </c>
      <c r="AL516" s="6" t="s">
        <v>57</v>
      </c>
      <c r="AM516" s="6" t="s">
        <v>57</v>
      </c>
      <c r="AN516" s="6" t="s">
        <v>57</v>
      </c>
      <c r="AO516" s="6" t="s">
        <v>57</v>
      </c>
      <c r="AP516" s="6" t="s">
        <v>57</v>
      </c>
      <c r="AQ516" s="9">
        <v>1054761</v>
      </c>
    </row>
    <row r="517" spans="1:43" ht="15">
      <c r="A517" s="2" t="s">
        <v>1847</v>
      </c>
      <c r="B517" s="5">
        <v>118350320</v>
      </c>
      <c r="C517" s="2" t="s">
        <v>23</v>
      </c>
      <c r="D517" s="2" t="s">
        <v>1848</v>
      </c>
      <c r="E517" s="2" t="s">
        <v>1849</v>
      </c>
      <c r="F517" s="2" t="s">
        <v>26</v>
      </c>
      <c r="G517" s="2" t="s">
        <v>26</v>
      </c>
      <c r="H517" s="2" t="s">
        <v>27</v>
      </c>
      <c r="I517" s="2" t="s">
        <v>28</v>
      </c>
      <c r="J517" s="6"/>
      <c r="K517" s="2" t="s">
        <v>55</v>
      </c>
      <c r="L517" s="2" t="s">
        <v>56</v>
      </c>
      <c r="M517" s="2" t="s">
        <v>55</v>
      </c>
      <c r="N517" s="2"/>
      <c r="O517" s="2"/>
      <c r="P517" s="6" t="s">
        <v>57</v>
      </c>
      <c r="Q517" s="6" t="s">
        <v>57</v>
      </c>
      <c r="R517" s="9">
        <v>0</v>
      </c>
      <c r="S517" s="2"/>
      <c r="T517" s="9">
        <v>0</v>
      </c>
      <c r="U517" s="9">
        <v>0</v>
      </c>
      <c r="V517" s="9">
        <v>0</v>
      </c>
      <c r="W517" s="9">
        <v>49986</v>
      </c>
      <c r="X517" s="9">
        <v>51420</v>
      </c>
      <c r="Y517" s="9">
        <v>128084</v>
      </c>
      <c r="Z517" s="9">
        <v>128084</v>
      </c>
      <c r="AA517" s="9">
        <v>128084</v>
      </c>
      <c r="AB517" s="9">
        <v>0</v>
      </c>
      <c r="AC517" s="9">
        <v>0</v>
      </c>
      <c r="AD517" s="9">
        <v>0</v>
      </c>
      <c r="AE517" s="6" t="s">
        <v>57</v>
      </c>
      <c r="AF517" s="6" t="s">
        <v>57</v>
      </c>
      <c r="AG517" s="6" t="s">
        <v>57</v>
      </c>
      <c r="AH517" s="6" t="s">
        <v>57</v>
      </c>
      <c r="AI517" s="6" t="s">
        <v>57</v>
      </c>
      <c r="AJ517" s="6" t="s">
        <v>57</v>
      </c>
      <c r="AK517" s="6" t="s">
        <v>57</v>
      </c>
      <c r="AL517" s="6" t="s">
        <v>57</v>
      </c>
      <c r="AM517" s="6" t="s">
        <v>57</v>
      </c>
      <c r="AN517" s="6" t="s">
        <v>57</v>
      </c>
      <c r="AO517" s="6" t="s">
        <v>57</v>
      </c>
      <c r="AP517" s="6" t="s">
        <v>57</v>
      </c>
      <c r="AQ517" s="9">
        <v>0</v>
      </c>
    </row>
    <row r="518" spans="1:43" ht="15">
      <c r="A518" s="2" t="s">
        <v>1850</v>
      </c>
      <c r="B518" s="5">
        <v>142632849</v>
      </c>
      <c r="C518" s="2" t="s">
        <v>23</v>
      </c>
      <c r="D518" s="2" t="s">
        <v>1851</v>
      </c>
      <c r="E518" s="2" t="s">
        <v>1852</v>
      </c>
      <c r="F518" s="2" t="s">
        <v>26</v>
      </c>
      <c r="G518" s="2" t="s">
        <v>26</v>
      </c>
      <c r="H518" s="2" t="s">
        <v>27</v>
      </c>
      <c r="I518" s="2" t="s">
        <v>28</v>
      </c>
      <c r="J518" s="6"/>
      <c r="K518" s="2" t="s">
        <v>55</v>
      </c>
      <c r="L518" s="2" t="s">
        <v>56</v>
      </c>
      <c r="M518" s="2" t="s">
        <v>55</v>
      </c>
      <c r="N518" s="2"/>
      <c r="O518" s="2"/>
      <c r="P518" s="6" t="s">
        <v>57</v>
      </c>
      <c r="Q518" s="6" t="s">
        <v>57</v>
      </c>
      <c r="R518" s="9">
        <v>0</v>
      </c>
      <c r="S518" s="2" t="s">
        <v>1853</v>
      </c>
      <c r="T518" s="9">
        <v>0</v>
      </c>
      <c r="U518" s="9">
        <v>46</v>
      </c>
      <c r="V518" s="9">
        <v>21</v>
      </c>
      <c r="W518" s="9">
        <v>5253</v>
      </c>
      <c r="X518" s="9">
        <v>5253</v>
      </c>
      <c r="Y518" s="9">
        <v>5253</v>
      </c>
      <c r="Z518" s="9">
        <v>5253</v>
      </c>
      <c r="AA518" s="9">
        <v>5253</v>
      </c>
      <c r="AB518" s="9">
        <v>52</v>
      </c>
      <c r="AC518" s="9">
        <v>21</v>
      </c>
      <c r="AD518" s="9">
        <v>5489</v>
      </c>
      <c r="AE518" s="6" t="s">
        <v>57</v>
      </c>
      <c r="AF518" s="6" t="s">
        <v>57</v>
      </c>
      <c r="AG518" s="6" t="s">
        <v>57</v>
      </c>
      <c r="AH518" s="6" t="s">
        <v>57</v>
      </c>
      <c r="AI518" s="6" t="s">
        <v>57</v>
      </c>
      <c r="AJ518" s="6" t="s">
        <v>57</v>
      </c>
      <c r="AK518" s="6" t="s">
        <v>57</v>
      </c>
      <c r="AL518" s="6" t="s">
        <v>57</v>
      </c>
      <c r="AM518" s="6" t="s">
        <v>57</v>
      </c>
      <c r="AN518" s="6" t="s">
        <v>57</v>
      </c>
      <c r="AO518" s="6" t="s">
        <v>57</v>
      </c>
      <c r="AP518" s="6" t="s">
        <v>57</v>
      </c>
      <c r="AQ518" s="9">
        <v>0</v>
      </c>
    </row>
    <row r="519" spans="1:43" ht="15">
      <c r="A519" s="2" t="s">
        <v>1854</v>
      </c>
      <c r="B519" s="5">
        <v>13730486</v>
      </c>
      <c r="C519" s="2" t="s">
        <v>23</v>
      </c>
      <c r="D519" s="2" t="s">
        <v>1855</v>
      </c>
      <c r="E519" s="2" t="s">
        <v>1856</v>
      </c>
      <c r="F519" s="2" t="s">
        <v>26</v>
      </c>
      <c r="G519" s="2" t="s">
        <v>26</v>
      </c>
      <c r="H519" s="2" t="s">
        <v>27</v>
      </c>
      <c r="I519" s="2" t="s">
        <v>28</v>
      </c>
      <c r="J519" s="6"/>
      <c r="K519" s="2" t="s">
        <v>55</v>
      </c>
      <c r="L519" s="2" t="s">
        <v>56</v>
      </c>
      <c r="M519" s="2" t="s">
        <v>55</v>
      </c>
      <c r="N519" s="2"/>
      <c r="O519" s="2"/>
      <c r="P519" s="7">
        <v>15.5343938476012</v>
      </c>
      <c r="Q519" s="6" t="s">
        <v>57</v>
      </c>
      <c r="R519" s="9">
        <v>503559</v>
      </c>
      <c r="S519" s="2"/>
      <c r="T519" s="9">
        <v>558840</v>
      </c>
      <c r="U519" s="9">
        <v>471570</v>
      </c>
      <c r="V519" s="9">
        <v>355211</v>
      </c>
      <c r="W519" s="9">
        <v>261493</v>
      </c>
      <c r="X519" s="9">
        <v>261235</v>
      </c>
      <c r="Y519" s="9">
        <v>221337</v>
      </c>
      <c r="Z519" s="9">
        <v>179340</v>
      </c>
      <c r="AA519" s="9">
        <v>189015</v>
      </c>
      <c r="AB519" s="9">
        <v>504629</v>
      </c>
      <c r="AC519" s="9">
        <v>366065</v>
      </c>
      <c r="AD519" s="9">
        <v>290852</v>
      </c>
      <c r="AE519" s="6" t="s">
        <v>57</v>
      </c>
      <c r="AF519" s="6" t="s">
        <v>57</v>
      </c>
      <c r="AG519" s="6" t="s">
        <v>57</v>
      </c>
      <c r="AH519" s="6" t="s">
        <v>57</v>
      </c>
      <c r="AI519" s="6" t="s">
        <v>57</v>
      </c>
      <c r="AJ519" s="6" t="s">
        <v>57</v>
      </c>
      <c r="AK519" s="6" t="s">
        <v>57</v>
      </c>
      <c r="AL519" s="6" t="s">
        <v>57</v>
      </c>
      <c r="AM519" s="6" t="s">
        <v>57</v>
      </c>
      <c r="AN519" s="6" t="s">
        <v>57</v>
      </c>
      <c r="AO519" s="6" t="s">
        <v>57</v>
      </c>
      <c r="AP519" s="6" t="s">
        <v>57</v>
      </c>
      <c r="AQ519" s="9">
        <v>197299</v>
      </c>
    </row>
    <row r="520" spans="1:43" ht="15">
      <c r="A520" s="2" t="s">
        <v>1857</v>
      </c>
      <c r="B520" s="5">
        <v>117368931</v>
      </c>
      <c r="C520" s="2" t="s">
        <v>23</v>
      </c>
      <c r="D520" s="2" t="s">
        <v>1858</v>
      </c>
      <c r="E520" s="2" t="s">
        <v>1859</v>
      </c>
      <c r="F520" s="2" t="s">
        <v>26</v>
      </c>
      <c r="G520" s="2" t="s">
        <v>26</v>
      </c>
      <c r="H520" s="2" t="s">
        <v>27</v>
      </c>
      <c r="I520" s="2" t="s">
        <v>28</v>
      </c>
      <c r="J520" s="6"/>
      <c r="K520" s="2" t="s">
        <v>55</v>
      </c>
      <c r="L520" s="2" t="s">
        <v>56</v>
      </c>
      <c r="M520" s="2" t="s">
        <v>55</v>
      </c>
      <c r="N520" s="2"/>
      <c r="O520" s="2"/>
      <c r="P520" s="6" t="s">
        <v>57</v>
      </c>
      <c r="Q520" s="6" t="s">
        <v>57</v>
      </c>
      <c r="R520" s="9">
        <v>404560</v>
      </c>
      <c r="S520" s="2"/>
      <c r="T520" s="9">
        <v>342428</v>
      </c>
      <c r="U520" s="9">
        <v>395611</v>
      </c>
      <c r="V520" s="9">
        <v>331545</v>
      </c>
      <c r="W520" s="9">
        <v>262824</v>
      </c>
      <c r="X520" s="9">
        <v>261859</v>
      </c>
      <c r="Y520" s="9">
        <v>236447</v>
      </c>
      <c r="Z520" s="9">
        <v>192828</v>
      </c>
      <c r="AA520" s="9">
        <v>138680</v>
      </c>
      <c r="AB520" s="9">
        <v>412013</v>
      </c>
      <c r="AC520" s="9">
        <v>340642</v>
      </c>
      <c r="AD520" s="9">
        <v>322197</v>
      </c>
      <c r="AE520" s="6" t="s">
        <v>57</v>
      </c>
      <c r="AF520" s="6" t="s">
        <v>57</v>
      </c>
      <c r="AG520" s="6" t="s">
        <v>57</v>
      </c>
      <c r="AH520" s="6" t="s">
        <v>57</v>
      </c>
      <c r="AI520" s="6" t="s">
        <v>57</v>
      </c>
      <c r="AJ520" s="6" t="s">
        <v>57</v>
      </c>
      <c r="AK520" s="6" t="s">
        <v>57</v>
      </c>
      <c r="AL520" s="6" t="s">
        <v>57</v>
      </c>
      <c r="AM520" s="6" t="s">
        <v>57</v>
      </c>
      <c r="AN520" s="6" t="s">
        <v>57</v>
      </c>
      <c r="AO520" s="6" t="s">
        <v>57</v>
      </c>
      <c r="AP520" s="6" t="s">
        <v>57</v>
      </c>
      <c r="AQ520" s="9">
        <v>481934</v>
      </c>
    </row>
    <row r="521" spans="1:43" ht="15">
      <c r="A521" s="2" t="s">
        <v>1860</v>
      </c>
      <c r="B521" s="5">
        <v>5737296</v>
      </c>
      <c r="C521" s="2" t="s">
        <v>23</v>
      </c>
      <c r="D521" s="2" t="s">
        <v>1861</v>
      </c>
      <c r="E521" s="2" t="s">
        <v>1862</v>
      </c>
      <c r="F521" s="2" t="s">
        <v>26</v>
      </c>
      <c r="G521" s="2" t="s">
        <v>26</v>
      </c>
      <c r="H521" s="2" t="s">
        <v>27</v>
      </c>
      <c r="I521" s="2" t="s">
        <v>28</v>
      </c>
      <c r="J521" s="6"/>
      <c r="K521" s="2" t="s">
        <v>55</v>
      </c>
      <c r="L521" s="2" t="s">
        <v>56</v>
      </c>
      <c r="M521" s="2" t="s">
        <v>55</v>
      </c>
      <c r="N521" s="2"/>
      <c r="O521" s="2"/>
      <c r="P521" s="7">
        <v>3.4638092045826401</v>
      </c>
      <c r="Q521" s="6" t="s">
        <v>57</v>
      </c>
      <c r="R521" s="9">
        <v>0</v>
      </c>
      <c r="S521" s="2"/>
      <c r="T521" s="9">
        <v>0</v>
      </c>
      <c r="U521" s="9">
        <v>0</v>
      </c>
      <c r="V521" s="9">
        <v>0</v>
      </c>
      <c r="W521" s="9">
        <v>0</v>
      </c>
      <c r="X521" s="9">
        <v>0</v>
      </c>
      <c r="Y521" s="9">
        <v>0</v>
      </c>
      <c r="Z521" s="9">
        <v>0</v>
      </c>
      <c r="AA521" s="9">
        <v>0</v>
      </c>
      <c r="AB521" s="9">
        <v>0</v>
      </c>
      <c r="AC521" s="9">
        <v>0</v>
      </c>
      <c r="AD521" s="9">
        <v>0</v>
      </c>
      <c r="AE521" s="6" t="s">
        <v>57</v>
      </c>
      <c r="AF521" s="6" t="s">
        <v>57</v>
      </c>
      <c r="AG521" s="6" t="s">
        <v>57</v>
      </c>
      <c r="AH521" s="6" t="s">
        <v>57</v>
      </c>
      <c r="AI521" s="6" t="s">
        <v>57</v>
      </c>
      <c r="AJ521" s="6" t="s">
        <v>57</v>
      </c>
      <c r="AK521" s="6" t="s">
        <v>57</v>
      </c>
      <c r="AL521" s="6" t="s">
        <v>57</v>
      </c>
      <c r="AM521" s="6" t="s">
        <v>57</v>
      </c>
      <c r="AN521" s="6" t="s">
        <v>57</v>
      </c>
      <c r="AO521" s="6" t="s">
        <v>57</v>
      </c>
      <c r="AP521" s="6" t="s">
        <v>57</v>
      </c>
      <c r="AQ521" s="9">
        <v>0</v>
      </c>
    </row>
    <row r="522" spans="1:43" ht="15">
      <c r="A522" s="2" t="s">
        <v>1863</v>
      </c>
      <c r="B522" s="5">
        <v>5735877</v>
      </c>
      <c r="C522" s="2" t="s">
        <v>23</v>
      </c>
      <c r="D522" s="2" t="s">
        <v>1864</v>
      </c>
      <c r="E522" s="2" t="s">
        <v>1865</v>
      </c>
      <c r="F522" s="2" t="s">
        <v>26</v>
      </c>
      <c r="G522" s="2" t="s">
        <v>26</v>
      </c>
      <c r="H522" s="2" t="s">
        <v>27</v>
      </c>
      <c r="I522" s="2" t="s">
        <v>28</v>
      </c>
      <c r="J522" s="6"/>
      <c r="K522" s="2" t="s">
        <v>55</v>
      </c>
      <c r="L522" s="2" t="s">
        <v>56</v>
      </c>
      <c r="M522" s="2" t="s">
        <v>55</v>
      </c>
      <c r="N522" s="2"/>
      <c r="O522" s="2"/>
      <c r="P522" s="6" t="s">
        <v>57</v>
      </c>
      <c r="Q522" s="6" t="s">
        <v>57</v>
      </c>
      <c r="R522" s="9">
        <v>0</v>
      </c>
      <c r="S522" s="2"/>
      <c r="T522" s="9">
        <v>0</v>
      </c>
      <c r="U522" s="9">
        <v>2</v>
      </c>
      <c r="V522" s="9">
        <v>9</v>
      </c>
      <c r="W522" s="9">
        <v>2</v>
      </c>
      <c r="X522" s="9">
        <v>2</v>
      </c>
      <c r="Y522" s="9">
        <v>5</v>
      </c>
      <c r="Z522" s="9">
        <v>12</v>
      </c>
      <c r="AA522" s="9">
        <v>23</v>
      </c>
      <c r="AB522" s="9">
        <v>2</v>
      </c>
      <c r="AC522" s="9">
        <v>9</v>
      </c>
      <c r="AD522" s="9">
        <v>4</v>
      </c>
      <c r="AE522" s="6" t="s">
        <v>57</v>
      </c>
      <c r="AF522" s="6" t="s">
        <v>57</v>
      </c>
      <c r="AG522" s="6" t="s">
        <v>57</v>
      </c>
      <c r="AH522" s="6" t="s">
        <v>57</v>
      </c>
      <c r="AI522" s="6" t="s">
        <v>57</v>
      </c>
      <c r="AJ522" s="6" t="s">
        <v>57</v>
      </c>
      <c r="AK522" s="6" t="s">
        <v>57</v>
      </c>
      <c r="AL522" s="6" t="s">
        <v>57</v>
      </c>
      <c r="AM522" s="6" t="s">
        <v>57</v>
      </c>
      <c r="AN522" s="6" t="s">
        <v>57</v>
      </c>
      <c r="AO522" s="6" t="s">
        <v>57</v>
      </c>
      <c r="AP522" s="6" t="s">
        <v>57</v>
      </c>
      <c r="AQ522" s="9">
        <v>0</v>
      </c>
    </row>
    <row r="523" spans="1:43" ht="15">
      <c r="A523" s="2" t="s">
        <v>1866</v>
      </c>
      <c r="B523" s="5">
        <v>5737297</v>
      </c>
      <c r="C523" s="2" t="s">
        <v>23</v>
      </c>
      <c r="D523" s="2" t="s">
        <v>1867</v>
      </c>
      <c r="E523" s="2" t="s">
        <v>1868</v>
      </c>
      <c r="F523" s="2" t="s">
        <v>26</v>
      </c>
      <c r="G523" s="2" t="s">
        <v>26</v>
      </c>
      <c r="H523" s="2" t="s">
        <v>27</v>
      </c>
      <c r="I523" s="2" t="s">
        <v>743</v>
      </c>
      <c r="J523" s="6"/>
      <c r="K523" s="2" t="s">
        <v>55</v>
      </c>
      <c r="L523" s="2" t="s">
        <v>56</v>
      </c>
      <c r="M523" s="2" t="s">
        <v>55</v>
      </c>
      <c r="N523" s="2"/>
      <c r="O523" s="2"/>
      <c r="P523" s="7">
        <v>1.4913762167089899</v>
      </c>
      <c r="Q523" s="6" t="s">
        <v>57</v>
      </c>
      <c r="R523" s="9">
        <v>0</v>
      </c>
      <c r="S523" s="2" t="s">
        <v>1869</v>
      </c>
      <c r="T523" s="9">
        <v>0</v>
      </c>
      <c r="U523" s="9">
        <v>0</v>
      </c>
      <c r="V523" s="9">
        <v>0</v>
      </c>
      <c r="W523" s="9">
        <v>0</v>
      </c>
      <c r="X523" s="9">
        <v>0</v>
      </c>
      <c r="Y523" s="9">
        <v>0</v>
      </c>
      <c r="Z523" s="9">
        <v>0</v>
      </c>
      <c r="AA523" s="9">
        <v>0</v>
      </c>
      <c r="AB523" s="9">
        <v>0</v>
      </c>
      <c r="AC523" s="9">
        <v>0</v>
      </c>
      <c r="AD523" s="9">
        <v>0</v>
      </c>
      <c r="AE523" s="6" t="s">
        <v>57</v>
      </c>
      <c r="AF523" s="6" t="s">
        <v>57</v>
      </c>
      <c r="AG523" s="6" t="s">
        <v>57</v>
      </c>
      <c r="AH523" s="6" t="s">
        <v>57</v>
      </c>
      <c r="AI523" s="6" t="s">
        <v>57</v>
      </c>
      <c r="AJ523" s="6" t="s">
        <v>57</v>
      </c>
      <c r="AK523" s="6" t="s">
        <v>57</v>
      </c>
      <c r="AL523" s="6" t="s">
        <v>57</v>
      </c>
      <c r="AM523" s="6" t="s">
        <v>57</v>
      </c>
      <c r="AN523" s="6" t="s">
        <v>57</v>
      </c>
      <c r="AO523" s="6" t="s">
        <v>57</v>
      </c>
      <c r="AP523" s="6" t="s">
        <v>57</v>
      </c>
      <c r="AQ523" s="9">
        <v>0</v>
      </c>
    </row>
    <row r="524" spans="1:43" ht="15">
      <c r="A524" s="2" t="s">
        <v>1870</v>
      </c>
      <c r="B524" s="5">
        <v>25811781</v>
      </c>
      <c r="C524" s="2" t="s">
        <v>23</v>
      </c>
      <c r="D524" s="2" t="s">
        <v>1871</v>
      </c>
      <c r="E524" s="2" t="s">
        <v>1872</v>
      </c>
      <c r="F524" s="2" t="s">
        <v>26</v>
      </c>
      <c r="G524" s="2" t="s">
        <v>26</v>
      </c>
      <c r="H524" s="2" t="s">
        <v>27</v>
      </c>
      <c r="I524" s="2" t="s">
        <v>28</v>
      </c>
      <c r="J524" s="6"/>
      <c r="K524" s="2" t="s">
        <v>55</v>
      </c>
      <c r="L524" s="2" t="s">
        <v>56</v>
      </c>
      <c r="M524" s="2" t="s">
        <v>55</v>
      </c>
      <c r="N524" s="2"/>
      <c r="O524" s="2"/>
      <c r="P524" s="6" t="s">
        <v>57</v>
      </c>
      <c r="Q524" s="6" t="s">
        <v>57</v>
      </c>
      <c r="R524" s="9">
        <v>0</v>
      </c>
      <c r="S524" s="2"/>
      <c r="T524" s="9">
        <v>0</v>
      </c>
      <c r="U524" s="9">
        <v>0</v>
      </c>
      <c r="V524" s="9">
        <v>0</v>
      </c>
      <c r="W524" s="9">
        <v>0</v>
      </c>
      <c r="X524" s="9">
        <v>0</v>
      </c>
      <c r="Y524" s="9">
        <v>0</v>
      </c>
      <c r="Z524" s="9">
        <v>279</v>
      </c>
      <c r="AA524" s="9">
        <v>279</v>
      </c>
      <c r="AB524" s="9">
        <v>0</v>
      </c>
      <c r="AC524" s="9">
        <v>0</v>
      </c>
      <c r="AD524" s="9">
        <v>0</v>
      </c>
      <c r="AE524" s="6" t="s">
        <v>57</v>
      </c>
      <c r="AF524" s="6" t="s">
        <v>57</v>
      </c>
      <c r="AG524" s="6" t="s">
        <v>57</v>
      </c>
      <c r="AH524" s="6" t="s">
        <v>57</v>
      </c>
      <c r="AI524" s="6" t="s">
        <v>57</v>
      </c>
      <c r="AJ524" s="6" t="s">
        <v>57</v>
      </c>
      <c r="AK524" s="6" t="s">
        <v>57</v>
      </c>
      <c r="AL524" s="6" t="s">
        <v>57</v>
      </c>
      <c r="AM524" s="6" t="s">
        <v>57</v>
      </c>
      <c r="AN524" s="6" t="s">
        <v>57</v>
      </c>
      <c r="AO524" s="6" t="s">
        <v>57</v>
      </c>
      <c r="AP524" s="6" t="s">
        <v>57</v>
      </c>
      <c r="AQ524" s="9">
        <v>0</v>
      </c>
    </row>
    <row r="525" spans="1:43" ht="15">
      <c r="A525" s="2" t="s">
        <v>1873</v>
      </c>
      <c r="B525" s="5">
        <v>5737276</v>
      </c>
      <c r="C525" s="2" t="s">
        <v>23</v>
      </c>
      <c r="D525" s="2" t="s">
        <v>1874</v>
      </c>
      <c r="E525" s="2" t="s">
        <v>1875</v>
      </c>
      <c r="F525" s="2" t="s">
        <v>26</v>
      </c>
      <c r="G525" s="2" t="s">
        <v>26</v>
      </c>
      <c r="H525" s="2" t="s">
        <v>27</v>
      </c>
      <c r="I525" s="2" t="s">
        <v>28</v>
      </c>
      <c r="J525" s="6"/>
      <c r="K525" s="2" t="s">
        <v>55</v>
      </c>
      <c r="L525" s="2" t="s">
        <v>56</v>
      </c>
      <c r="M525" s="2" t="s">
        <v>55</v>
      </c>
      <c r="N525" s="2"/>
      <c r="O525" s="2"/>
      <c r="P525" s="7">
        <v>111.11258624532999</v>
      </c>
      <c r="Q525" s="6" t="s">
        <v>57</v>
      </c>
      <c r="R525" s="9">
        <v>7103</v>
      </c>
      <c r="S525" s="2" t="s">
        <v>1876</v>
      </c>
      <c r="T525" s="9">
        <v>28145</v>
      </c>
      <c r="U525" s="9">
        <v>97286</v>
      </c>
      <c r="V525" s="9">
        <v>101136</v>
      </c>
      <c r="W525" s="9">
        <v>106478</v>
      </c>
      <c r="X525" s="9">
        <v>108001</v>
      </c>
      <c r="Y525" s="9">
        <v>97058</v>
      </c>
      <c r="Z525" s="9">
        <v>115797</v>
      </c>
      <c r="AA525" s="9">
        <v>116299</v>
      </c>
      <c r="AB525" s="9">
        <v>60545</v>
      </c>
      <c r="AC525" s="9">
        <v>103482</v>
      </c>
      <c r="AD525" s="9">
        <v>80998</v>
      </c>
      <c r="AE525" s="6" t="s">
        <v>57</v>
      </c>
      <c r="AF525" s="6" t="s">
        <v>57</v>
      </c>
      <c r="AG525" s="6" t="s">
        <v>57</v>
      </c>
      <c r="AH525" s="6" t="s">
        <v>57</v>
      </c>
      <c r="AI525" s="6" t="s">
        <v>57</v>
      </c>
      <c r="AJ525" s="6" t="s">
        <v>57</v>
      </c>
      <c r="AK525" s="6" t="s">
        <v>57</v>
      </c>
      <c r="AL525" s="6" t="s">
        <v>57</v>
      </c>
      <c r="AM525" s="6" t="s">
        <v>57</v>
      </c>
      <c r="AN525" s="6" t="s">
        <v>57</v>
      </c>
      <c r="AO525" s="6" t="s">
        <v>57</v>
      </c>
      <c r="AP525" s="6" t="s">
        <v>57</v>
      </c>
      <c r="AQ525" s="9">
        <v>11612</v>
      </c>
    </row>
    <row r="526" spans="1:43" ht="15">
      <c r="A526" s="2" t="s">
        <v>1877</v>
      </c>
      <c r="B526" s="5">
        <v>108123199</v>
      </c>
      <c r="C526" s="2" t="s">
        <v>23</v>
      </c>
      <c r="D526" s="2" t="s">
        <v>1878</v>
      </c>
      <c r="E526" s="2" t="s">
        <v>1879</v>
      </c>
      <c r="F526" s="2" t="s">
        <v>26</v>
      </c>
      <c r="G526" s="2" t="s">
        <v>26</v>
      </c>
      <c r="H526" s="2" t="s">
        <v>27</v>
      </c>
      <c r="I526" s="2" t="s">
        <v>28</v>
      </c>
      <c r="J526" s="6"/>
      <c r="K526" s="2" t="s">
        <v>55</v>
      </c>
      <c r="L526" s="2" t="s">
        <v>56</v>
      </c>
      <c r="M526" s="2" t="s">
        <v>55</v>
      </c>
      <c r="N526" s="2"/>
      <c r="O526" s="2"/>
      <c r="P526" s="6" t="s">
        <v>57</v>
      </c>
      <c r="Q526" s="6" t="s">
        <v>57</v>
      </c>
      <c r="R526" s="9">
        <v>0</v>
      </c>
      <c r="S526" s="2"/>
      <c r="T526" s="9">
        <v>0</v>
      </c>
      <c r="U526" s="9">
        <v>0</v>
      </c>
      <c r="V526" s="9">
        <v>0</v>
      </c>
      <c r="W526" s="9">
        <v>0</v>
      </c>
      <c r="X526" s="9">
        <v>0</v>
      </c>
      <c r="Y526" s="9">
        <v>0</v>
      </c>
      <c r="Z526" s="9">
        <v>4</v>
      </c>
      <c r="AA526" s="9">
        <v>7</v>
      </c>
      <c r="AB526" s="9">
        <v>0</v>
      </c>
      <c r="AC526" s="9">
        <v>0</v>
      </c>
      <c r="AD526" s="9">
        <v>0</v>
      </c>
      <c r="AE526" s="6" t="s">
        <v>57</v>
      </c>
      <c r="AF526" s="6" t="s">
        <v>57</v>
      </c>
      <c r="AG526" s="6" t="s">
        <v>57</v>
      </c>
      <c r="AH526" s="6" t="s">
        <v>57</v>
      </c>
      <c r="AI526" s="6" t="s">
        <v>57</v>
      </c>
      <c r="AJ526" s="6" t="s">
        <v>57</v>
      </c>
      <c r="AK526" s="6" t="s">
        <v>57</v>
      </c>
      <c r="AL526" s="6" t="s">
        <v>57</v>
      </c>
      <c r="AM526" s="6" t="s">
        <v>57</v>
      </c>
      <c r="AN526" s="6" t="s">
        <v>57</v>
      </c>
      <c r="AO526" s="6" t="s">
        <v>57</v>
      </c>
      <c r="AP526" s="6" t="s">
        <v>57</v>
      </c>
      <c r="AQ526" s="9">
        <v>0</v>
      </c>
    </row>
    <row r="527" spans="1:43" ht="15">
      <c r="A527" s="2" t="s">
        <v>1880</v>
      </c>
      <c r="B527" s="5">
        <v>100362222</v>
      </c>
      <c r="C527" s="2" t="s">
        <v>23</v>
      </c>
      <c r="D527" s="2" t="s">
        <v>1881</v>
      </c>
      <c r="E527" s="2" t="s">
        <v>1882</v>
      </c>
      <c r="F527" s="2" t="s">
        <v>26</v>
      </c>
      <c r="G527" s="2" t="s">
        <v>26</v>
      </c>
      <c r="H527" s="2" t="s">
        <v>27</v>
      </c>
      <c r="I527" s="2" t="s">
        <v>28</v>
      </c>
      <c r="J527" s="6"/>
      <c r="K527" s="2" t="s">
        <v>55</v>
      </c>
      <c r="L527" s="2" t="s">
        <v>56</v>
      </c>
      <c r="M527" s="2" t="s">
        <v>55</v>
      </c>
      <c r="N527" s="2"/>
      <c r="O527" s="2"/>
      <c r="P527" s="6" t="s">
        <v>57</v>
      </c>
      <c r="Q527" s="6" t="s">
        <v>57</v>
      </c>
      <c r="R527" s="9">
        <v>0</v>
      </c>
      <c r="S527" s="2"/>
      <c r="T527" s="9">
        <v>8039</v>
      </c>
      <c r="U527" s="9">
        <v>2010</v>
      </c>
      <c r="V527" s="9">
        <v>3037</v>
      </c>
      <c r="W527" s="9">
        <v>2833</v>
      </c>
      <c r="X527" s="9">
        <v>2821</v>
      </c>
      <c r="Y527" s="9">
        <v>2683</v>
      </c>
      <c r="Z527" s="9">
        <v>4248</v>
      </c>
      <c r="AA527" s="9">
        <v>9596</v>
      </c>
      <c r="AB527" s="9">
        <v>2297</v>
      </c>
      <c r="AC527" s="9">
        <v>3187</v>
      </c>
      <c r="AD527" s="9">
        <v>2418</v>
      </c>
      <c r="AE527" s="6" t="s">
        <v>57</v>
      </c>
      <c r="AF527" s="6" t="s">
        <v>57</v>
      </c>
      <c r="AG527" s="6" t="s">
        <v>57</v>
      </c>
      <c r="AH527" s="6" t="s">
        <v>57</v>
      </c>
      <c r="AI527" s="6" t="s">
        <v>57</v>
      </c>
      <c r="AJ527" s="6" t="s">
        <v>57</v>
      </c>
      <c r="AK527" s="6" t="s">
        <v>57</v>
      </c>
      <c r="AL527" s="6" t="s">
        <v>57</v>
      </c>
      <c r="AM527" s="6" t="s">
        <v>57</v>
      </c>
      <c r="AN527" s="6" t="s">
        <v>57</v>
      </c>
      <c r="AO527" s="6" t="s">
        <v>57</v>
      </c>
      <c r="AP527" s="6" t="s">
        <v>57</v>
      </c>
      <c r="AQ527" s="9">
        <v>0</v>
      </c>
    </row>
    <row r="528" spans="1:43" ht="15">
      <c r="A528" s="2" t="s">
        <v>1883</v>
      </c>
      <c r="B528" s="5">
        <v>28746188</v>
      </c>
      <c r="C528" s="2" t="s">
        <v>23</v>
      </c>
      <c r="D528" s="2" t="s">
        <v>1884</v>
      </c>
      <c r="E528" s="2" t="s">
        <v>1885</v>
      </c>
      <c r="F528" s="2" t="s">
        <v>26</v>
      </c>
      <c r="G528" s="2" t="s">
        <v>26</v>
      </c>
      <c r="H528" s="2" t="s">
        <v>27</v>
      </c>
      <c r="I528" s="2" t="s">
        <v>28</v>
      </c>
      <c r="J528" s="6"/>
      <c r="K528" s="2" t="s">
        <v>55</v>
      </c>
      <c r="L528" s="2" t="s">
        <v>56</v>
      </c>
      <c r="M528" s="2" t="s">
        <v>55</v>
      </c>
      <c r="N528" s="2"/>
      <c r="O528" s="2"/>
      <c r="P528" s="7">
        <v>6.67318749631964</v>
      </c>
      <c r="Q528" s="6" t="s">
        <v>57</v>
      </c>
      <c r="R528" s="9">
        <v>0</v>
      </c>
      <c r="S528" s="2"/>
      <c r="T528" s="9">
        <v>0</v>
      </c>
      <c r="U528" s="9">
        <v>0</v>
      </c>
      <c r="V528" s="9">
        <v>0</v>
      </c>
      <c r="W528" s="9">
        <v>0</v>
      </c>
      <c r="X528" s="9">
        <v>0</v>
      </c>
      <c r="Y528" s="9">
        <v>0</v>
      </c>
      <c r="Z528" s="9">
        <v>1</v>
      </c>
      <c r="AA528" s="9">
        <v>92</v>
      </c>
      <c r="AB528" s="9">
        <v>0</v>
      </c>
      <c r="AC528" s="9">
        <v>0</v>
      </c>
      <c r="AD528" s="9">
        <v>0</v>
      </c>
      <c r="AE528" s="6" t="s">
        <v>57</v>
      </c>
      <c r="AF528" s="6" t="s">
        <v>57</v>
      </c>
      <c r="AG528" s="6" t="s">
        <v>57</v>
      </c>
      <c r="AH528" s="6" t="s">
        <v>57</v>
      </c>
      <c r="AI528" s="6" t="s">
        <v>57</v>
      </c>
      <c r="AJ528" s="6" t="s">
        <v>57</v>
      </c>
      <c r="AK528" s="6" t="s">
        <v>57</v>
      </c>
      <c r="AL528" s="6" t="s">
        <v>57</v>
      </c>
      <c r="AM528" s="6" t="s">
        <v>57</v>
      </c>
      <c r="AN528" s="6" t="s">
        <v>57</v>
      </c>
      <c r="AO528" s="6" t="s">
        <v>57</v>
      </c>
      <c r="AP528" s="6" t="s">
        <v>57</v>
      </c>
      <c r="AQ528" s="9">
        <v>0</v>
      </c>
    </row>
    <row r="529" spans="1:43" ht="15">
      <c r="A529" s="2" t="s">
        <v>1886</v>
      </c>
      <c r="B529" s="5">
        <v>15144162</v>
      </c>
      <c r="C529" s="2" t="s">
        <v>23</v>
      </c>
      <c r="D529" s="2" t="s">
        <v>1887</v>
      </c>
      <c r="E529" s="2" t="s">
        <v>1888</v>
      </c>
      <c r="F529" s="2" t="s">
        <v>26</v>
      </c>
      <c r="G529" s="2" t="s">
        <v>26</v>
      </c>
      <c r="H529" s="2" t="s">
        <v>27</v>
      </c>
      <c r="I529" s="2" t="s">
        <v>28</v>
      </c>
      <c r="J529" s="6"/>
      <c r="K529" s="2" t="s">
        <v>55</v>
      </c>
      <c r="L529" s="2" t="s">
        <v>56</v>
      </c>
      <c r="M529" s="2" t="s">
        <v>55</v>
      </c>
      <c r="N529" s="2"/>
      <c r="O529" s="2"/>
      <c r="P529" s="6" t="s">
        <v>57</v>
      </c>
      <c r="Q529" s="6" t="s">
        <v>57</v>
      </c>
      <c r="R529" s="9">
        <v>4449</v>
      </c>
      <c r="S529" s="2"/>
      <c r="T529" s="9">
        <v>8319</v>
      </c>
      <c r="U529" s="9">
        <v>5002</v>
      </c>
      <c r="V529" s="9">
        <v>6100</v>
      </c>
      <c r="W529" s="9">
        <v>7429</v>
      </c>
      <c r="X529" s="9">
        <v>7420</v>
      </c>
      <c r="Y529" s="9">
        <v>4232</v>
      </c>
      <c r="Z529" s="9">
        <v>3129</v>
      </c>
      <c r="AA529" s="9">
        <v>2404</v>
      </c>
      <c r="AB529" s="9">
        <v>4253</v>
      </c>
      <c r="AC529" s="9">
        <v>6368</v>
      </c>
      <c r="AD529" s="9">
        <v>7719</v>
      </c>
      <c r="AE529" s="6" t="s">
        <v>57</v>
      </c>
      <c r="AF529" s="6" t="s">
        <v>57</v>
      </c>
      <c r="AG529" s="6" t="s">
        <v>57</v>
      </c>
      <c r="AH529" s="6" t="s">
        <v>57</v>
      </c>
      <c r="AI529" s="6" t="s">
        <v>57</v>
      </c>
      <c r="AJ529" s="6" t="s">
        <v>57</v>
      </c>
      <c r="AK529" s="6" t="s">
        <v>57</v>
      </c>
      <c r="AL529" s="6" t="s">
        <v>57</v>
      </c>
      <c r="AM529" s="6" t="s">
        <v>57</v>
      </c>
      <c r="AN529" s="6" t="s">
        <v>57</v>
      </c>
      <c r="AO529" s="6" t="s">
        <v>57</v>
      </c>
      <c r="AP529" s="6" t="s">
        <v>57</v>
      </c>
      <c r="AQ529" s="9">
        <v>3803</v>
      </c>
    </row>
    <row r="530" spans="1:43" ht="15">
      <c r="A530" s="2" t="s">
        <v>1889</v>
      </c>
      <c r="B530" s="5">
        <v>11135154</v>
      </c>
      <c r="C530" s="2" t="s">
        <v>23</v>
      </c>
      <c r="D530" s="2" t="s">
        <v>1890</v>
      </c>
      <c r="E530" s="2" t="s">
        <v>1891</v>
      </c>
      <c r="F530" s="2" t="s">
        <v>26</v>
      </c>
      <c r="G530" s="2" t="s">
        <v>26</v>
      </c>
      <c r="H530" s="2" t="s">
        <v>27</v>
      </c>
      <c r="I530" s="2" t="s">
        <v>28</v>
      </c>
      <c r="J530" s="6"/>
      <c r="K530" s="2" t="s">
        <v>55</v>
      </c>
      <c r="L530" s="2" t="s">
        <v>56</v>
      </c>
      <c r="M530" s="2" t="s">
        <v>55</v>
      </c>
      <c r="N530" s="2"/>
      <c r="O530" s="2"/>
      <c r="P530" s="7">
        <v>1.9876917666148599</v>
      </c>
      <c r="Q530" s="6" t="s">
        <v>57</v>
      </c>
      <c r="R530" s="9">
        <v>0</v>
      </c>
      <c r="S530" s="2"/>
      <c r="T530" s="9">
        <v>0</v>
      </c>
      <c r="U530" s="9">
        <v>0</v>
      </c>
      <c r="V530" s="9">
        <v>0</v>
      </c>
      <c r="W530" s="9">
        <v>0</v>
      </c>
      <c r="X530" s="9">
        <v>0</v>
      </c>
      <c r="Y530" s="9">
        <v>0</v>
      </c>
      <c r="Z530" s="9">
        <v>0</v>
      </c>
      <c r="AA530" s="9">
        <v>125</v>
      </c>
      <c r="AB530" s="9">
        <v>0</v>
      </c>
      <c r="AC530" s="9">
        <v>0</v>
      </c>
      <c r="AD530" s="9">
        <v>0</v>
      </c>
      <c r="AE530" s="6" t="s">
        <v>57</v>
      </c>
      <c r="AF530" s="6" t="s">
        <v>57</v>
      </c>
      <c r="AG530" s="6" t="s">
        <v>57</v>
      </c>
      <c r="AH530" s="6" t="s">
        <v>57</v>
      </c>
      <c r="AI530" s="6" t="s">
        <v>57</v>
      </c>
      <c r="AJ530" s="6" t="s">
        <v>57</v>
      </c>
      <c r="AK530" s="6" t="s">
        <v>57</v>
      </c>
      <c r="AL530" s="6" t="s">
        <v>57</v>
      </c>
      <c r="AM530" s="6" t="s">
        <v>57</v>
      </c>
      <c r="AN530" s="6" t="s">
        <v>57</v>
      </c>
      <c r="AO530" s="6" t="s">
        <v>57</v>
      </c>
      <c r="AP530" s="6" t="s">
        <v>57</v>
      </c>
      <c r="AQ530" s="9">
        <v>0</v>
      </c>
    </row>
    <row r="531" spans="1:43" ht="15">
      <c r="A531" s="2" t="s">
        <v>1892</v>
      </c>
      <c r="B531" s="5">
        <v>5738061</v>
      </c>
      <c r="C531" s="2" t="s">
        <v>23</v>
      </c>
      <c r="D531" s="2" t="s">
        <v>1893</v>
      </c>
      <c r="E531" s="2" t="s">
        <v>1894</v>
      </c>
      <c r="F531" s="2" t="s">
        <v>26</v>
      </c>
      <c r="G531" s="2" t="s">
        <v>26</v>
      </c>
      <c r="H531" s="2" t="s">
        <v>27</v>
      </c>
      <c r="I531" s="2" t="s">
        <v>28</v>
      </c>
      <c r="J531" s="6"/>
      <c r="K531" s="2" t="s">
        <v>55</v>
      </c>
      <c r="L531" s="2" t="s">
        <v>56</v>
      </c>
      <c r="M531" s="2" t="s">
        <v>55</v>
      </c>
      <c r="N531" s="2"/>
      <c r="O531" s="2"/>
      <c r="P531" s="7">
        <v>15.680897217459799</v>
      </c>
      <c r="Q531" s="6" t="s">
        <v>57</v>
      </c>
      <c r="R531" s="9">
        <v>0</v>
      </c>
      <c r="S531" s="2"/>
      <c r="T531" s="9">
        <v>0</v>
      </c>
      <c r="U531" s="9">
        <v>0</v>
      </c>
      <c r="V531" s="9">
        <v>3</v>
      </c>
      <c r="W531" s="9">
        <v>1</v>
      </c>
      <c r="X531" s="9">
        <v>1</v>
      </c>
      <c r="Y531" s="9">
        <v>13</v>
      </c>
      <c r="Z531" s="9">
        <v>15</v>
      </c>
      <c r="AA531" s="9">
        <v>15</v>
      </c>
      <c r="AB531" s="9">
        <v>0</v>
      </c>
      <c r="AC531" s="9">
        <v>3</v>
      </c>
      <c r="AD531" s="9">
        <v>1</v>
      </c>
      <c r="AE531" s="6" t="s">
        <v>57</v>
      </c>
      <c r="AF531" s="6" t="s">
        <v>57</v>
      </c>
      <c r="AG531" s="6" t="s">
        <v>57</v>
      </c>
      <c r="AH531" s="6" t="s">
        <v>57</v>
      </c>
      <c r="AI531" s="6" t="s">
        <v>57</v>
      </c>
      <c r="AJ531" s="6" t="s">
        <v>57</v>
      </c>
      <c r="AK531" s="6" t="s">
        <v>57</v>
      </c>
      <c r="AL531" s="6" t="s">
        <v>57</v>
      </c>
      <c r="AM531" s="6" t="s">
        <v>57</v>
      </c>
      <c r="AN531" s="6" t="s">
        <v>57</v>
      </c>
      <c r="AO531" s="6" t="s">
        <v>57</v>
      </c>
      <c r="AP531" s="6" t="s">
        <v>57</v>
      </c>
      <c r="AQ531" s="9">
        <v>0</v>
      </c>
    </row>
    <row r="532" spans="1:43" ht="15">
      <c r="A532" s="2" t="s">
        <v>1895</v>
      </c>
      <c r="B532" s="5">
        <v>29444255</v>
      </c>
      <c r="C532" s="2" t="s">
        <v>23</v>
      </c>
      <c r="D532" s="2" t="s">
        <v>1896</v>
      </c>
      <c r="E532" s="2" t="s">
        <v>1897</v>
      </c>
      <c r="F532" s="2" t="s">
        <v>26</v>
      </c>
      <c r="G532" s="2" t="s">
        <v>26</v>
      </c>
      <c r="H532" s="2" t="s">
        <v>27</v>
      </c>
      <c r="I532" s="2" t="s">
        <v>28</v>
      </c>
      <c r="J532" s="6"/>
      <c r="K532" s="2" t="s">
        <v>55</v>
      </c>
      <c r="L532" s="2" t="s">
        <v>56</v>
      </c>
      <c r="M532" s="2" t="s">
        <v>55</v>
      </c>
      <c r="N532" s="2"/>
      <c r="O532" s="2"/>
      <c r="P532" s="6" t="s">
        <v>57</v>
      </c>
      <c r="Q532" s="6" t="s">
        <v>57</v>
      </c>
      <c r="R532" s="9">
        <v>0</v>
      </c>
      <c r="S532" s="2"/>
      <c r="T532" s="9">
        <v>0</v>
      </c>
      <c r="U532" s="9">
        <v>7533</v>
      </c>
      <c r="V532" s="9">
        <v>36526</v>
      </c>
      <c r="W532" s="9">
        <v>9446</v>
      </c>
      <c r="X532" s="9">
        <v>9408</v>
      </c>
      <c r="Y532" s="9">
        <v>28082</v>
      </c>
      <c r="Z532" s="9">
        <v>20157</v>
      </c>
      <c r="AA532" s="9">
        <v>18514</v>
      </c>
      <c r="AB532" s="9">
        <v>6732</v>
      </c>
      <c r="AC532" s="9">
        <v>38322</v>
      </c>
      <c r="AD532" s="9">
        <v>18852</v>
      </c>
      <c r="AE532" s="6" t="s">
        <v>57</v>
      </c>
      <c r="AF532" s="6" t="s">
        <v>57</v>
      </c>
      <c r="AG532" s="6" t="s">
        <v>57</v>
      </c>
      <c r="AH532" s="6" t="s">
        <v>57</v>
      </c>
      <c r="AI532" s="6" t="s">
        <v>57</v>
      </c>
      <c r="AJ532" s="6" t="s">
        <v>57</v>
      </c>
      <c r="AK532" s="6" t="s">
        <v>57</v>
      </c>
      <c r="AL532" s="6" t="s">
        <v>57</v>
      </c>
      <c r="AM532" s="6" t="s">
        <v>57</v>
      </c>
      <c r="AN532" s="6" t="s">
        <v>57</v>
      </c>
      <c r="AO532" s="6" t="s">
        <v>57</v>
      </c>
      <c r="AP532" s="6" t="s">
        <v>57</v>
      </c>
      <c r="AQ532" s="9">
        <v>0</v>
      </c>
    </row>
    <row r="533" spans="1:43" ht="15">
      <c r="A533" s="2" t="s">
        <v>1898</v>
      </c>
      <c r="B533" s="5">
        <v>29627545</v>
      </c>
      <c r="C533" s="2" t="s">
        <v>23</v>
      </c>
      <c r="D533" s="2" t="s">
        <v>1899</v>
      </c>
      <c r="E533" s="2" t="s">
        <v>1900</v>
      </c>
      <c r="F533" s="2" t="s">
        <v>26</v>
      </c>
      <c r="G533" s="2" t="s">
        <v>26</v>
      </c>
      <c r="H533" s="2" t="s">
        <v>27</v>
      </c>
      <c r="I533" s="2" t="s">
        <v>28</v>
      </c>
      <c r="J533" s="6"/>
      <c r="K533" s="2" t="s">
        <v>55</v>
      </c>
      <c r="L533" s="2" t="s">
        <v>56</v>
      </c>
      <c r="M533" s="2" t="s">
        <v>55</v>
      </c>
      <c r="N533" s="2"/>
      <c r="O533" s="2"/>
      <c r="P533" s="7">
        <v>300.60000000000002</v>
      </c>
      <c r="Q533" s="6" t="s">
        <v>57</v>
      </c>
      <c r="R533" s="9">
        <v>0</v>
      </c>
      <c r="S533" s="2"/>
      <c r="T533" s="9">
        <v>0</v>
      </c>
      <c r="U533" s="9">
        <v>0</v>
      </c>
      <c r="V533" s="9">
        <v>0</v>
      </c>
      <c r="W533" s="9">
        <v>342</v>
      </c>
      <c r="X533" s="9">
        <v>341</v>
      </c>
      <c r="Y533" s="9">
        <v>828</v>
      </c>
      <c r="Z533" s="9">
        <v>1011</v>
      </c>
      <c r="AA533" s="9">
        <v>1249</v>
      </c>
      <c r="AB533" s="9">
        <v>0</v>
      </c>
      <c r="AC533" s="9">
        <v>0</v>
      </c>
      <c r="AD533" s="9">
        <v>0</v>
      </c>
      <c r="AE533" s="6" t="s">
        <v>57</v>
      </c>
      <c r="AF533" s="6" t="s">
        <v>57</v>
      </c>
      <c r="AG533" s="6" t="s">
        <v>57</v>
      </c>
      <c r="AH533" s="6" t="s">
        <v>57</v>
      </c>
      <c r="AI533" s="6" t="s">
        <v>57</v>
      </c>
      <c r="AJ533" s="6" t="s">
        <v>57</v>
      </c>
      <c r="AK533" s="6" t="s">
        <v>57</v>
      </c>
      <c r="AL533" s="6" t="s">
        <v>57</v>
      </c>
      <c r="AM533" s="6" t="s">
        <v>57</v>
      </c>
      <c r="AN533" s="6" t="s">
        <v>57</v>
      </c>
      <c r="AO533" s="6" t="s">
        <v>57</v>
      </c>
      <c r="AP533" s="6" t="s">
        <v>57</v>
      </c>
      <c r="AQ533" s="9">
        <v>0</v>
      </c>
    </row>
    <row r="534" spans="1:43" ht="15">
      <c r="A534" s="2" t="s">
        <v>1901</v>
      </c>
      <c r="B534" s="5">
        <v>6722481</v>
      </c>
      <c r="C534" s="2" t="s">
        <v>23</v>
      </c>
      <c r="D534" s="2" t="s">
        <v>1902</v>
      </c>
      <c r="E534" s="2" t="s">
        <v>1903</v>
      </c>
      <c r="F534" s="2" t="s">
        <v>26</v>
      </c>
      <c r="G534" s="2" t="s">
        <v>26</v>
      </c>
      <c r="H534" s="2" t="s">
        <v>27</v>
      </c>
      <c r="I534" s="2" t="s">
        <v>28</v>
      </c>
      <c r="J534" s="6"/>
      <c r="K534" s="2" t="s">
        <v>55</v>
      </c>
      <c r="L534" s="2" t="s">
        <v>56</v>
      </c>
      <c r="M534" s="2" t="s">
        <v>55</v>
      </c>
      <c r="N534" s="2"/>
      <c r="O534" s="2"/>
      <c r="P534" s="7">
        <v>6.43943678363404</v>
      </c>
      <c r="Q534" s="6" t="s">
        <v>57</v>
      </c>
      <c r="R534" s="9">
        <v>0</v>
      </c>
      <c r="S534" s="2"/>
      <c r="T534" s="9">
        <v>0</v>
      </c>
      <c r="U534" s="9">
        <v>0</v>
      </c>
      <c r="V534" s="9">
        <v>0</v>
      </c>
      <c r="W534" s="9">
        <v>0</v>
      </c>
      <c r="X534" s="9">
        <v>0</v>
      </c>
      <c r="Y534" s="9">
        <v>0</v>
      </c>
      <c r="Z534" s="9">
        <v>0</v>
      </c>
      <c r="AA534" s="9">
        <v>11</v>
      </c>
      <c r="AB534" s="9">
        <v>0</v>
      </c>
      <c r="AC534" s="9">
        <v>0</v>
      </c>
      <c r="AD534" s="9">
        <v>0</v>
      </c>
      <c r="AE534" s="6" t="s">
        <v>57</v>
      </c>
      <c r="AF534" s="6" t="s">
        <v>57</v>
      </c>
      <c r="AG534" s="6" t="s">
        <v>57</v>
      </c>
      <c r="AH534" s="6" t="s">
        <v>57</v>
      </c>
      <c r="AI534" s="6" t="s">
        <v>57</v>
      </c>
      <c r="AJ534" s="6" t="s">
        <v>57</v>
      </c>
      <c r="AK534" s="6" t="s">
        <v>57</v>
      </c>
      <c r="AL534" s="6" t="s">
        <v>57</v>
      </c>
      <c r="AM534" s="6" t="s">
        <v>57</v>
      </c>
      <c r="AN534" s="6" t="s">
        <v>57</v>
      </c>
      <c r="AO534" s="6" t="s">
        <v>57</v>
      </c>
      <c r="AP534" s="6" t="s">
        <v>57</v>
      </c>
      <c r="AQ534" s="9">
        <v>0</v>
      </c>
    </row>
    <row r="535" spans="1:43" ht="15">
      <c r="A535" s="2" t="s">
        <v>1904</v>
      </c>
      <c r="B535" s="5">
        <v>5735261</v>
      </c>
      <c r="C535" s="2" t="s">
        <v>23</v>
      </c>
      <c r="D535" s="2" t="s">
        <v>1905</v>
      </c>
      <c r="E535" s="2" t="s">
        <v>1906</v>
      </c>
      <c r="F535" s="2" t="s">
        <v>26</v>
      </c>
      <c r="G535" s="2" t="s">
        <v>26</v>
      </c>
      <c r="H535" s="2" t="s">
        <v>27</v>
      </c>
      <c r="I535" s="2" t="s">
        <v>28</v>
      </c>
      <c r="J535" s="6"/>
      <c r="K535" s="2" t="s">
        <v>55</v>
      </c>
      <c r="L535" s="2" t="s">
        <v>56</v>
      </c>
      <c r="M535" s="2" t="s">
        <v>55</v>
      </c>
      <c r="N535" s="2"/>
      <c r="O535" s="2"/>
      <c r="P535" s="7">
        <v>112.733458027222</v>
      </c>
      <c r="Q535" s="6" t="s">
        <v>57</v>
      </c>
      <c r="R535" s="9">
        <v>0</v>
      </c>
      <c r="S535" s="2"/>
      <c r="T535" s="9">
        <v>0</v>
      </c>
      <c r="U535" s="9">
        <v>0</v>
      </c>
      <c r="V535" s="9">
        <v>0</v>
      </c>
      <c r="W535" s="9">
        <v>0</v>
      </c>
      <c r="X535" s="9">
        <v>0</v>
      </c>
      <c r="Y535" s="9">
        <v>0</v>
      </c>
      <c r="Z535" s="9">
        <v>0</v>
      </c>
      <c r="AA535" s="9">
        <v>127</v>
      </c>
      <c r="AB535" s="9">
        <v>0</v>
      </c>
      <c r="AC535" s="9">
        <v>0</v>
      </c>
      <c r="AD535" s="9">
        <v>0</v>
      </c>
      <c r="AE535" s="6" t="s">
        <v>57</v>
      </c>
      <c r="AF535" s="6" t="s">
        <v>57</v>
      </c>
      <c r="AG535" s="6" t="s">
        <v>57</v>
      </c>
      <c r="AH535" s="6" t="s">
        <v>57</v>
      </c>
      <c r="AI535" s="6" t="s">
        <v>57</v>
      </c>
      <c r="AJ535" s="6" t="s">
        <v>57</v>
      </c>
      <c r="AK535" s="6" t="s">
        <v>57</v>
      </c>
      <c r="AL535" s="6" t="s">
        <v>57</v>
      </c>
      <c r="AM535" s="6" t="s">
        <v>57</v>
      </c>
      <c r="AN535" s="6" t="s">
        <v>57</v>
      </c>
      <c r="AO535" s="6" t="s">
        <v>57</v>
      </c>
      <c r="AP535" s="6" t="s">
        <v>57</v>
      </c>
      <c r="AQ535" s="9">
        <v>0</v>
      </c>
    </row>
    <row r="536" spans="1:43" ht="15">
      <c r="A536" s="2" t="s">
        <v>1907</v>
      </c>
      <c r="B536" s="5">
        <v>5737135</v>
      </c>
      <c r="C536" s="2" t="s">
        <v>23</v>
      </c>
      <c r="D536" s="2" t="s">
        <v>1908</v>
      </c>
      <c r="E536" s="2" t="s">
        <v>1909</v>
      </c>
      <c r="F536" s="2" t="s">
        <v>26</v>
      </c>
      <c r="G536" s="2" t="s">
        <v>26</v>
      </c>
      <c r="H536" s="2" t="s">
        <v>27</v>
      </c>
      <c r="I536" s="2" t="s">
        <v>28</v>
      </c>
      <c r="J536" s="6"/>
      <c r="K536" s="2" t="s">
        <v>55</v>
      </c>
      <c r="L536" s="2" t="s">
        <v>56</v>
      </c>
      <c r="M536" s="2" t="s">
        <v>55</v>
      </c>
      <c r="N536" s="2"/>
      <c r="O536" s="2"/>
      <c r="P536" s="7">
        <v>94.940737854623606</v>
      </c>
      <c r="Q536" s="6" t="s">
        <v>57</v>
      </c>
      <c r="R536" s="9">
        <v>0</v>
      </c>
      <c r="S536" s="2" t="s">
        <v>1910</v>
      </c>
      <c r="T536" s="9">
        <v>0</v>
      </c>
      <c r="U536" s="9">
        <v>0</v>
      </c>
      <c r="V536" s="9">
        <v>0</v>
      </c>
      <c r="W536" s="9">
        <v>0</v>
      </c>
      <c r="X536" s="9">
        <v>0</v>
      </c>
      <c r="Y536" s="9">
        <v>0</v>
      </c>
      <c r="Z536" s="9">
        <v>0</v>
      </c>
      <c r="AA536" s="9">
        <v>183</v>
      </c>
      <c r="AB536" s="9">
        <v>0</v>
      </c>
      <c r="AC536" s="9">
        <v>0</v>
      </c>
      <c r="AD536" s="9">
        <v>0</v>
      </c>
      <c r="AE536" s="6" t="s">
        <v>57</v>
      </c>
      <c r="AF536" s="6" t="s">
        <v>57</v>
      </c>
      <c r="AG536" s="6" t="s">
        <v>57</v>
      </c>
      <c r="AH536" s="6" t="s">
        <v>57</v>
      </c>
      <c r="AI536" s="6" t="s">
        <v>57</v>
      </c>
      <c r="AJ536" s="6" t="s">
        <v>57</v>
      </c>
      <c r="AK536" s="6" t="s">
        <v>57</v>
      </c>
      <c r="AL536" s="6" t="s">
        <v>57</v>
      </c>
      <c r="AM536" s="6" t="s">
        <v>57</v>
      </c>
      <c r="AN536" s="6" t="s">
        <v>57</v>
      </c>
      <c r="AO536" s="6" t="s">
        <v>57</v>
      </c>
      <c r="AP536" s="6" t="s">
        <v>57</v>
      </c>
      <c r="AQ536" s="9">
        <v>0</v>
      </c>
    </row>
    <row r="537" spans="1:43" ht="15">
      <c r="A537" s="2" t="s">
        <v>1911</v>
      </c>
      <c r="B537" s="5">
        <v>10252433</v>
      </c>
      <c r="C537" s="2" t="s">
        <v>23</v>
      </c>
      <c r="D537" s="2" t="s">
        <v>1912</v>
      </c>
      <c r="E537" s="2" t="s">
        <v>1913</v>
      </c>
      <c r="F537" s="2" t="s">
        <v>26</v>
      </c>
      <c r="G537" s="2" t="s">
        <v>26</v>
      </c>
      <c r="H537" s="2" t="s">
        <v>27</v>
      </c>
      <c r="I537" s="2" t="s">
        <v>28</v>
      </c>
      <c r="J537" s="6"/>
      <c r="K537" s="2" t="s">
        <v>55</v>
      </c>
      <c r="L537" s="2" t="s">
        <v>56</v>
      </c>
      <c r="M537" s="2" t="s">
        <v>55</v>
      </c>
      <c r="N537" s="2"/>
      <c r="O537" s="2"/>
      <c r="P537" s="6" t="s">
        <v>57</v>
      </c>
      <c r="Q537" s="6" t="s">
        <v>57</v>
      </c>
      <c r="R537" s="9">
        <v>0</v>
      </c>
      <c r="S537" s="2"/>
      <c r="T537" s="9">
        <v>0</v>
      </c>
      <c r="U537" s="9">
        <v>0</v>
      </c>
      <c r="V537" s="9">
        <v>0</v>
      </c>
      <c r="W537" s="9">
        <v>11793</v>
      </c>
      <c r="X537" s="9">
        <v>11745</v>
      </c>
      <c r="Y537" s="9">
        <v>8281</v>
      </c>
      <c r="Z537" s="9">
        <v>6791</v>
      </c>
      <c r="AA537" s="9">
        <v>9345</v>
      </c>
      <c r="AB537" s="9">
        <v>0</v>
      </c>
      <c r="AC537" s="9">
        <v>0</v>
      </c>
      <c r="AD537" s="9">
        <v>10250</v>
      </c>
      <c r="AE537" s="6" t="s">
        <v>57</v>
      </c>
      <c r="AF537" s="6" t="s">
        <v>57</v>
      </c>
      <c r="AG537" s="6" t="s">
        <v>57</v>
      </c>
      <c r="AH537" s="6" t="s">
        <v>57</v>
      </c>
      <c r="AI537" s="6" t="s">
        <v>57</v>
      </c>
      <c r="AJ537" s="6" t="s">
        <v>57</v>
      </c>
      <c r="AK537" s="6" t="s">
        <v>57</v>
      </c>
      <c r="AL537" s="6" t="s">
        <v>57</v>
      </c>
      <c r="AM537" s="6" t="s">
        <v>57</v>
      </c>
      <c r="AN537" s="6" t="s">
        <v>57</v>
      </c>
      <c r="AO537" s="6" t="s">
        <v>57</v>
      </c>
      <c r="AP537" s="6" t="s">
        <v>57</v>
      </c>
      <c r="AQ537" s="9">
        <v>0</v>
      </c>
    </row>
    <row r="538" spans="1:43" ht="15">
      <c r="A538" s="2" t="s">
        <v>1914</v>
      </c>
      <c r="B538" s="5">
        <v>5731800</v>
      </c>
      <c r="C538" s="2" t="s">
        <v>23</v>
      </c>
      <c r="D538" s="2" t="s">
        <v>1915</v>
      </c>
      <c r="E538" s="2" t="s">
        <v>1916</v>
      </c>
      <c r="F538" s="2" t="s">
        <v>26</v>
      </c>
      <c r="G538" s="2" t="s">
        <v>26</v>
      </c>
      <c r="H538" s="2" t="s">
        <v>27</v>
      </c>
      <c r="I538" s="2" t="s">
        <v>28</v>
      </c>
      <c r="J538" s="6"/>
      <c r="K538" s="2" t="s">
        <v>918</v>
      </c>
      <c r="L538" s="2" t="s">
        <v>99</v>
      </c>
      <c r="M538" s="2" t="s">
        <v>919</v>
      </c>
      <c r="N538" s="2" t="s">
        <v>918</v>
      </c>
      <c r="O538" s="2"/>
      <c r="P538" s="7">
        <v>602.03330855081697</v>
      </c>
      <c r="Q538" s="6" t="s">
        <v>57</v>
      </c>
      <c r="R538" s="9">
        <v>13197</v>
      </c>
      <c r="S538" s="2" t="s">
        <v>1917</v>
      </c>
      <c r="T538" s="9">
        <v>18162</v>
      </c>
      <c r="U538" s="9">
        <v>32272</v>
      </c>
      <c r="V538" s="9">
        <v>178637</v>
      </c>
      <c r="W538" s="9">
        <v>83294</v>
      </c>
      <c r="X538" s="9">
        <v>83201</v>
      </c>
      <c r="Y538" s="9">
        <v>117209</v>
      </c>
      <c r="Z538" s="9">
        <v>106776</v>
      </c>
      <c r="AA538" s="9">
        <v>94566</v>
      </c>
      <c r="AB538" s="9">
        <v>30864</v>
      </c>
      <c r="AC538" s="9">
        <v>183206</v>
      </c>
      <c r="AD538" s="9">
        <v>112736</v>
      </c>
      <c r="AE538" s="6" t="s">
        <v>57</v>
      </c>
      <c r="AF538" s="6" t="s">
        <v>57</v>
      </c>
      <c r="AG538" s="6" t="s">
        <v>57</v>
      </c>
      <c r="AH538" s="6" t="s">
        <v>57</v>
      </c>
      <c r="AI538" s="6" t="s">
        <v>57</v>
      </c>
      <c r="AJ538" s="6" t="s">
        <v>57</v>
      </c>
      <c r="AK538" s="6" t="s">
        <v>57</v>
      </c>
      <c r="AL538" s="6" t="s">
        <v>57</v>
      </c>
      <c r="AM538" s="6" t="s">
        <v>57</v>
      </c>
      <c r="AN538" s="6" t="s">
        <v>57</v>
      </c>
      <c r="AO538" s="6" t="s">
        <v>57</v>
      </c>
      <c r="AP538" s="6" t="s">
        <v>57</v>
      </c>
      <c r="AQ538" s="9">
        <v>9849</v>
      </c>
    </row>
    <row r="539" spans="1:43" ht="15">
      <c r="A539" s="2" t="s">
        <v>1918</v>
      </c>
      <c r="B539" s="5">
        <v>5724359</v>
      </c>
      <c r="C539" s="2" t="s">
        <v>23</v>
      </c>
      <c r="D539" s="2" t="s">
        <v>1919</v>
      </c>
      <c r="E539" s="2" t="s">
        <v>1920</v>
      </c>
      <c r="F539" s="2" t="s">
        <v>26</v>
      </c>
      <c r="G539" s="2" t="s">
        <v>26</v>
      </c>
      <c r="H539" s="2" t="s">
        <v>27</v>
      </c>
      <c r="I539" s="2" t="s">
        <v>28</v>
      </c>
      <c r="J539" s="6"/>
      <c r="K539" s="2" t="s">
        <v>55</v>
      </c>
      <c r="L539" s="2" t="s">
        <v>56</v>
      </c>
      <c r="M539" s="2" t="s">
        <v>55</v>
      </c>
      <c r="N539" s="2"/>
      <c r="O539" s="2"/>
      <c r="P539" s="7">
        <v>222.17474033785999</v>
      </c>
      <c r="Q539" s="6" t="s">
        <v>57</v>
      </c>
      <c r="R539" s="9">
        <v>0</v>
      </c>
      <c r="S539" s="2" t="s">
        <v>1921</v>
      </c>
      <c r="T539" s="9">
        <v>0</v>
      </c>
      <c r="U539" s="9">
        <v>0</v>
      </c>
      <c r="V539" s="9">
        <v>0</v>
      </c>
      <c r="W539" s="9">
        <v>0</v>
      </c>
      <c r="X539" s="9">
        <v>0</v>
      </c>
      <c r="Y539" s="9">
        <v>0</v>
      </c>
      <c r="Z539" s="9">
        <v>1</v>
      </c>
      <c r="AA539" s="9">
        <v>0</v>
      </c>
      <c r="AB539" s="9">
        <v>0</v>
      </c>
      <c r="AC539" s="9">
        <v>0</v>
      </c>
      <c r="AD539" s="9">
        <v>0</v>
      </c>
      <c r="AE539" s="6" t="s">
        <v>57</v>
      </c>
      <c r="AF539" s="6" t="s">
        <v>57</v>
      </c>
      <c r="AG539" s="6" t="s">
        <v>57</v>
      </c>
      <c r="AH539" s="6" t="s">
        <v>57</v>
      </c>
      <c r="AI539" s="6" t="s">
        <v>57</v>
      </c>
      <c r="AJ539" s="6" t="s">
        <v>57</v>
      </c>
      <c r="AK539" s="6" t="s">
        <v>57</v>
      </c>
      <c r="AL539" s="6" t="s">
        <v>57</v>
      </c>
      <c r="AM539" s="6" t="s">
        <v>57</v>
      </c>
      <c r="AN539" s="6" t="s">
        <v>57</v>
      </c>
      <c r="AO539" s="6" t="s">
        <v>57</v>
      </c>
      <c r="AP539" s="6" t="s">
        <v>57</v>
      </c>
      <c r="AQ539" s="9">
        <v>0</v>
      </c>
    </row>
    <row r="540" spans="1:43" ht="15">
      <c r="A540" s="2" t="s">
        <v>1922</v>
      </c>
      <c r="B540" s="5">
        <v>5724694</v>
      </c>
      <c r="C540" s="2" t="s">
        <v>23</v>
      </c>
      <c r="D540" s="2" t="s">
        <v>1923</v>
      </c>
      <c r="E540" s="2" t="s">
        <v>1924</v>
      </c>
      <c r="F540" s="2" t="s">
        <v>26</v>
      </c>
      <c r="G540" s="2" t="s">
        <v>26</v>
      </c>
      <c r="H540" s="2" t="s">
        <v>27</v>
      </c>
      <c r="I540" s="2" t="s">
        <v>28</v>
      </c>
      <c r="J540" s="6"/>
      <c r="K540" s="2" t="s">
        <v>55</v>
      </c>
      <c r="L540" s="2" t="s">
        <v>56</v>
      </c>
      <c r="M540" s="2" t="s">
        <v>55</v>
      </c>
      <c r="N540" s="2"/>
      <c r="O540" s="2"/>
      <c r="P540" s="7">
        <v>61.731083853903499</v>
      </c>
      <c r="Q540" s="6" t="s">
        <v>57</v>
      </c>
      <c r="R540" s="9">
        <v>0</v>
      </c>
      <c r="S540" s="2" t="s">
        <v>1925</v>
      </c>
      <c r="T540" s="9">
        <v>0</v>
      </c>
      <c r="U540" s="9">
        <v>0</v>
      </c>
      <c r="V540" s="9">
        <v>0</v>
      </c>
      <c r="W540" s="9">
        <v>0</v>
      </c>
      <c r="X540" s="9">
        <v>0</v>
      </c>
      <c r="Y540" s="9">
        <v>0</v>
      </c>
      <c r="Z540" s="9">
        <v>0</v>
      </c>
      <c r="AA540" s="9">
        <v>254</v>
      </c>
      <c r="AB540" s="9">
        <v>0</v>
      </c>
      <c r="AC540" s="9">
        <v>0</v>
      </c>
      <c r="AD540" s="9">
        <v>0</v>
      </c>
      <c r="AE540" s="6" t="s">
        <v>57</v>
      </c>
      <c r="AF540" s="6" t="s">
        <v>57</v>
      </c>
      <c r="AG540" s="6" t="s">
        <v>57</v>
      </c>
      <c r="AH540" s="6" t="s">
        <v>57</v>
      </c>
      <c r="AI540" s="6" t="s">
        <v>57</v>
      </c>
      <c r="AJ540" s="6" t="s">
        <v>57</v>
      </c>
      <c r="AK540" s="6" t="s">
        <v>57</v>
      </c>
      <c r="AL540" s="6" t="s">
        <v>57</v>
      </c>
      <c r="AM540" s="6" t="s">
        <v>57</v>
      </c>
      <c r="AN540" s="6" t="s">
        <v>57</v>
      </c>
      <c r="AO540" s="6" t="s">
        <v>57</v>
      </c>
      <c r="AP540" s="6" t="s">
        <v>57</v>
      </c>
      <c r="AQ540" s="9">
        <v>0</v>
      </c>
    </row>
    <row r="541" spans="1:43" ht="15">
      <c r="A541" s="2" t="s">
        <v>1926</v>
      </c>
      <c r="B541" s="5">
        <v>5731768</v>
      </c>
      <c r="C541" s="2" t="s">
        <v>23</v>
      </c>
      <c r="D541" s="2" t="s">
        <v>1927</v>
      </c>
      <c r="E541" s="2" t="s">
        <v>1928</v>
      </c>
      <c r="F541" s="2" t="s">
        <v>26</v>
      </c>
      <c r="G541" s="2" t="s">
        <v>26</v>
      </c>
      <c r="H541" s="2" t="s">
        <v>27</v>
      </c>
      <c r="I541" s="2" t="s">
        <v>28</v>
      </c>
      <c r="J541" s="6"/>
      <c r="K541" s="2" t="s">
        <v>55</v>
      </c>
      <c r="L541" s="2" t="s">
        <v>56</v>
      </c>
      <c r="M541" s="2" t="s">
        <v>55</v>
      </c>
      <c r="N541" s="2"/>
      <c r="O541" s="2"/>
      <c r="P541" s="7">
        <v>65.842828142595593</v>
      </c>
      <c r="Q541" s="6" t="s">
        <v>57</v>
      </c>
      <c r="R541" s="9">
        <v>0</v>
      </c>
      <c r="S541" s="2"/>
      <c r="T541" s="9">
        <v>0</v>
      </c>
      <c r="U541" s="9">
        <v>0</v>
      </c>
      <c r="V541" s="9">
        <v>0</v>
      </c>
      <c r="W541" s="9">
        <v>0</v>
      </c>
      <c r="X541" s="9">
        <v>0</v>
      </c>
      <c r="Y541" s="9">
        <v>0</v>
      </c>
      <c r="Z541" s="9">
        <v>0</v>
      </c>
      <c r="AA541" s="9">
        <v>0</v>
      </c>
      <c r="AB541" s="9">
        <v>0</v>
      </c>
      <c r="AC541" s="9">
        <v>0</v>
      </c>
      <c r="AD541" s="9">
        <v>0</v>
      </c>
      <c r="AE541" s="6" t="s">
        <v>57</v>
      </c>
      <c r="AF541" s="6" t="s">
        <v>57</v>
      </c>
      <c r="AG541" s="6" t="s">
        <v>57</v>
      </c>
      <c r="AH541" s="6" t="s">
        <v>57</v>
      </c>
      <c r="AI541" s="6" t="s">
        <v>57</v>
      </c>
      <c r="AJ541" s="6" t="s">
        <v>57</v>
      </c>
      <c r="AK541" s="6" t="s">
        <v>57</v>
      </c>
      <c r="AL541" s="6" t="s">
        <v>57</v>
      </c>
      <c r="AM541" s="6" t="s">
        <v>57</v>
      </c>
      <c r="AN541" s="6" t="s">
        <v>57</v>
      </c>
      <c r="AO541" s="6" t="s">
        <v>57</v>
      </c>
      <c r="AP541" s="6" t="s">
        <v>57</v>
      </c>
      <c r="AQ541" s="9">
        <v>0</v>
      </c>
    </row>
    <row r="542" spans="1:43" ht="15">
      <c r="A542" s="2" t="s">
        <v>1929</v>
      </c>
      <c r="B542" s="5">
        <v>6834858</v>
      </c>
      <c r="C542" s="2" t="s">
        <v>23</v>
      </c>
      <c r="D542" s="2" t="s">
        <v>1930</v>
      </c>
      <c r="E542" s="2" t="s">
        <v>1931</v>
      </c>
      <c r="F542" s="2" t="s">
        <v>26</v>
      </c>
      <c r="G542" s="2" t="s">
        <v>26</v>
      </c>
      <c r="H542" s="2" t="s">
        <v>27</v>
      </c>
      <c r="I542" s="2" t="s">
        <v>28</v>
      </c>
      <c r="J542" s="6"/>
      <c r="K542" s="2" t="s">
        <v>55</v>
      </c>
      <c r="L542" s="2" t="s">
        <v>56</v>
      </c>
      <c r="M542" s="2" t="s">
        <v>55</v>
      </c>
      <c r="N542" s="2"/>
      <c r="O542" s="2"/>
      <c r="P542" s="7">
        <v>4.7651266288922098</v>
      </c>
      <c r="Q542" s="6" t="s">
        <v>57</v>
      </c>
      <c r="R542" s="9">
        <v>0</v>
      </c>
      <c r="S542" s="2"/>
      <c r="T542" s="9">
        <v>0</v>
      </c>
      <c r="U542" s="9">
        <v>0</v>
      </c>
      <c r="V542" s="9">
        <v>0</v>
      </c>
      <c r="W542" s="9">
        <v>0</v>
      </c>
      <c r="X542" s="9">
        <v>0</v>
      </c>
      <c r="Y542" s="9">
        <v>0</v>
      </c>
      <c r="Z542" s="9">
        <v>0</v>
      </c>
      <c r="AA542" s="9">
        <v>0</v>
      </c>
      <c r="AB542" s="9">
        <v>0</v>
      </c>
      <c r="AC542" s="9">
        <v>0</v>
      </c>
      <c r="AD542" s="9">
        <v>0</v>
      </c>
      <c r="AE542" s="6" t="s">
        <v>57</v>
      </c>
      <c r="AF542" s="6" t="s">
        <v>57</v>
      </c>
      <c r="AG542" s="6" t="s">
        <v>57</v>
      </c>
      <c r="AH542" s="6" t="s">
        <v>57</v>
      </c>
      <c r="AI542" s="6" t="s">
        <v>57</v>
      </c>
      <c r="AJ542" s="6" t="s">
        <v>57</v>
      </c>
      <c r="AK542" s="6" t="s">
        <v>57</v>
      </c>
      <c r="AL542" s="6" t="s">
        <v>57</v>
      </c>
      <c r="AM542" s="6" t="s">
        <v>57</v>
      </c>
      <c r="AN542" s="6" t="s">
        <v>57</v>
      </c>
      <c r="AO542" s="6" t="s">
        <v>57</v>
      </c>
      <c r="AP542" s="6" t="s">
        <v>57</v>
      </c>
      <c r="AQ542" s="9">
        <v>0</v>
      </c>
    </row>
    <row r="543" spans="1:43" ht="15">
      <c r="A543" s="2" t="s">
        <v>1932</v>
      </c>
      <c r="B543" s="5">
        <v>6042550</v>
      </c>
      <c r="C543" s="2" t="s">
        <v>23</v>
      </c>
      <c r="D543" s="2" t="s">
        <v>1933</v>
      </c>
      <c r="E543" s="2" t="s">
        <v>1934</v>
      </c>
      <c r="F543" s="2" t="s">
        <v>26</v>
      </c>
      <c r="G543" s="2" t="s">
        <v>26</v>
      </c>
      <c r="H543" s="2" t="s">
        <v>27</v>
      </c>
      <c r="I543" s="2" t="s">
        <v>28</v>
      </c>
      <c r="J543" s="6"/>
      <c r="K543" s="2" t="s">
        <v>55</v>
      </c>
      <c r="L543" s="2" t="s">
        <v>56</v>
      </c>
      <c r="M543" s="2" t="s">
        <v>55</v>
      </c>
      <c r="N543" s="2"/>
      <c r="O543" s="2"/>
      <c r="P543" s="7">
        <v>101.40642454368199</v>
      </c>
      <c r="Q543" s="6" t="s">
        <v>57</v>
      </c>
      <c r="R543" s="9">
        <v>0</v>
      </c>
      <c r="S543" s="2" t="s">
        <v>1935</v>
      </c>
      <c r="T543" s="9">
        <v>0</v>
      </c>
      <c r="U543" s="9">
        <v>0</v>
      </c>
      <c r="V543" s="9">
        <v>0</v>
      </c>
      <c r="W543" s="9">
        <v>0</v>
      </c>
      <c r="X543" s="9">
        <v>0</v>
      </c>
      <c r="Y543" s="9">
        <v>0</v>
      </c>
      <c r="Z543" s="9">
        <v>38200</v>
      </c>
      <c r="AA543" s="9">
        <v>38200</v>
      </c>
      <c r="AB543" s="9">
        <v>0</v>
      </c>
      <c r="AC543" s="9">
        <v>0</v>
      </c>
      <c r="AD543" s="9">
        <v>0</v>
      </c>
      <c r="AE543" s="7">
        <v>0</v>
      </c>
      <c r="AF543" s="7">
        <v>0</v>
      </c>
      <c r="AG543" s="7">
        <v>0</v>
      </c>
      <c r="AH543" s="7">
        <v>0</v>
      </c>
      <c r="AI543" s="7">
        <v>0</v>
      </c>
      <c r="AJ543" s="7">
        <v>0</v>
      </c>
      <c r="AK543" s="7">
        <v>0</v>
      </c>
      <c r="AL543" s="7">
        <v>0.236757509250548</v>
      </c>
      <c r="AM543" s="7">
        <v>0.236757509250548</v>
      </c>
      <c r="AN543" s="7">
        <v>0</v>
      </c>
      <c r="AO543" s="7">
        <v>0</v>
      </c>
      <c r="AP543" s="7">
        <v>0</v>
      </c>
      <c r="AQ543" s="9">
        <v>0</v>
      </c>
    </row>
    <row r="544" spans="1:43" ht="15">
      <c r="A544" s="2" t="s">
        <v>1936</v>
      </c>
      <c r="B544" s="5">
        <v>13482671</v>
      </c>
      <c r="C544" s="2" t="s">
        <v>23</v>
      </c>
      <c r="D544" s="2" t="s">
        <v>1937</v>
      </c>
      <c r="E544" s="2" t="s">
        <v>1938</v>
      </c>
      <c r="F544" s="2" t="s">
        <v>26</v>
      </c>
      <c r="G544" s="2" t="s">
        <v>26</v>
      </c>
      <c r="H544" s="2" t="s">
        <v>27</v>
      </c>
      <c r="I544" s="2" t="s">
        <v>28</v>
      </c>
      <c r="J544" s="6"/>
      <c r="K544" s="2" t="s">
        <v>55</v>
      </c>
      <c r="L544" s="2" t="s">
        <v>56</v>
      </c>
      <c r="M544" s="2" t="s">
        <v>55</v>
      </c>
      <c r="N544" s="2"/>
      <c r="O544" s="2"/>
      <c r="P544" s="6" t="s">
        <v>57</v>
      </c>
      <c r="Q544" s="6" t="s">
        <v>57</v>
      </c>
      <c r="R544" s="9">
        <v>0</v>
      </c>
      <c r="S544" s="2"/>
      <c r="T544" s="9">
        <v>0</v>
      </c>
      <c r="U544" s="9">
        <v>0</v>
      </c>
      <c r="V544" s="9">
        <v>0</v>
      </c>
      <c r="W544" s="9">
        <v>0</v>
      </c>
      <c r="X544" s="9">
        <v>0</v>
      </c>
      <c r="Y544" s="9">
        <v>363</v>
      </c>
      <c r="Z544" s="9">
        <v>242</v>
      </c>
      <c r="AA544" s="9">
        <v>145</v>
      </c>
      <c r="AB544" s="9">
        <v>0</v>
      </c>
      <c r="AC544" s="9">
        <v>0</v>
      </c>
      <c r="AD544" s="9">
        <v>0</v>
      </c>
      <c r="AE544" s="6" t="s">
        <v>57</v>
      </c>
      <c r="AF544" s="6" t="s">
        <v>57</v>
      </c>
      <c r="AG544" s="6" t="s">
        <v>57</v>
      </c>
      <c r="AH544" s="6" t="s">
        <v>57</v>
      </c>
      <c r="AI544" s="6" t="s">
        <v>57</v>
      </c>
      <c r="AJ544" s="6" t="s">
        <v>57</v>
      </c>
      <c r="AK544" s="6" t="s">
        <v>57</v>
      </c>
      <c r="AL544" s="6" t="s">
        <v>57</v>
      </c>
      <c r="AM544" s="6" t="s">
        <v>57</v>
      </c>
      <c r="AN544" s="6" t="s">
        <v>57</v>
      </c>
      <c r="AO544" s="6" t="s">
        <v>57</v>
      </c>
      <c r="AP544" s="6" t="s">
        <v>57</v>
      </c>
      <c r="AQ544" s="9">
        <v>0</v>
      </c>
    </row>
    <row r="545" spans="1:43" ht="15">
      <c r="A545" s="2" t="s">
        <v>1939</v>
      </c>
      <c r="B545" s="5">
        <v>25811638</v>
      </c>
      <c r="C545" s="2" t="s">
        <v>23</v>
      </c>
      <c r="D545" s="2" t="s">
        <v>1940</v>
      </c>
      <c r="E545" s="2" t="s">
        <v>1941</v>
      </c>
      <c r="F545" s="2" t="s">
        <v>26</v>
      </c>
      <c r="G545" s="2" t="s">
        <v>26</v>
      </c>
      <c r="H545" s="2" t="s">
        <v>27</v>
      </c>
      <c r="I545" s="2" t="s">
        <v>28</v>
      </c>
      <c r="J545" s="6"/>
      <c r="K545" s="2" t="s">
        <v>55</v>
      </c>
      <c r="L545" s="2" t="s">
        <v>56</v>
      </c>
      <c r="M545" s="2" t="s">
        <v>55</v>
      </c>
      <c r="N545" s="2"/>
      <c r="O545" s="2"/>
      <c r="P545" s="6" t="s">
        <v>57</v>
      </c>
      <c r="Q545" s="6" t="s">
        <v>57</v>
      </c>
      <c r="R545" s="9">
        <v>0</v>
      </c>
      <c r="S545" s="2"/>
      <c r="T545" s="9">
        <v>0</v>
      </c>
      <c r="U545" s="9">
        <v>0</v>
      </c>
      <c r="V545" s="9">
        <v>0</v>
      </c>
      <c r="W545" s="9">
        <v>0</v>
      </c>
      <c r="X545" s="9">
        <v>0</v>
      </c>
      <c r="Y545" s="9">
        <v>0</v>
      </c>
      <c r="Z545" s="9">
        <v>0</v>
      </c>
      <c r="AA545" s="9">
        <v>0</v>
      </c>
      <c r="AB545" s="9">
        <v>0</v>
      </c>
      <c r="AC545" s="9">
        <v>0</v>
      </c>
      <c r="AD545" s="9">
        <v>0</v>
      </c>
      <c r="AE545" s="6" t="s">
        <v>57</v>
      </c>
      <c r="AF545" s="6" t="s">
        <v>57</v>
      </c>
      <c r="AG545" s="6" t="s">
        <v>57</v>
      </c>
      <c r="AH545" s="6" t="s">
        <v>57</v>
      </c>
      <c r="AI545" s="6" t="s">
        <v>57</v>
      </c>
      <c r="AJ545" s="6" t="s">
        <v>57</v>
      </c>
      <c r="AK545" s="6" t="s">
        <v>57</v>
      </c>
      <c r="AL545" s="6" t="s">
        <v>57</v>
      </c>
      <c r="AM545" s="6" t="s">
        <v>57</v>
      </c>
      <c r="AN545" s="6" t="s">
        <v>57</v>
      </c>
      <c r="AO545" s="6" t="s">
        <v>57</v>
      </c>
      <c r="AP545" s="6" t="s">
        <v>57</v>
      </c>
      <c r="AQ545" s="9">
        <v>0</v>
      </c>
    </row>
    <row r="546" spans="1:43" ht="15">
      <c r="A546" s="2" t="s">
        <v>1942</v>
      </c>
      <c r="B546" s="5">
        <v>114238438</v>
      </c>
      <c r="C546" s="2" t="s">
        <v>23</v>
      </c>
      <c r="D546" s="2" t="s">
        <v>1943</v>
      </c>
      <c r="E546" s="2" t="s">
        <v>1944</v>
      </c>
      <c r="F546" s="2" t="s">
        <v>26</v>
      </c>
      <c r="G546" s="2" t="s">
        <v>26</v>
      </c>
      <c r="H546" s="2" t="s">
        <v>27</v>
      </c>
      <c r="I546" s="2" t="s">
        <v>28</v>
      </c>
      <c r="J546" s="6"/>
      <c r="K546" s="2" t="s">
        <v>55</v>
      </c>
      <c r="L546" s="2" t="s">
        <v>56</v>
      </c>
      <c r="M546" s="2" t="s">
        <v>55</v>
      </c>
      <c r="N546" s="2"/>
      <c r="O546" s="2"/>
      <c r="P546" s="6" t="s">
        <v>57</v>
      </c>
      <c r="Q546" s="6" t="s">
        <v>57</v>
      </c>
      <c r="R546" s="6" t="s">
        <v>57</v>
      </c>
      <c r="S546" s="2"/>
      <c r="T546" s="6" t="s">
        <v>57</v>
      </c>
      <c r="U546" s="6" t="s">
        <v>57</v>
      </c>
      <c r="V546" s="6" t="s">
        <v>57</v>
      </c>
      <c r="W546" s="6" t="s">
        <v>57</v>
      </c>
      <c r="X546" s="6" t="s">
        <v>57</v>
      </c>
      <c r="Y546" s="6" t="s">
        <v>57</v>
      </c>
      <c r="Z546" s="6" t="s">
        <v>57</v>
      </c>
      <c r="AA546" s="6" t="s">
        <v>57</v>
      </c>
      <c r="AB546" s="6" t="s">
        <v>57</v>
      </c>
      <c r="AC546" s="6" t="s">
        <v>57</v>
      </c>
      <c r="AD546" s="6" t="s">
        <v>57</v>
      </c>
      <c r="AE546" s="6" t="s">
        <v>57</v>
      </c>
      <c r="AF546" s="6" t="s">
        <v>57</v>
      </c>
      <c r="AG546" s="6" t="s">
        <v>57</v>
      </c>
      <c r="AH546" s="6" t="s">
        <v>57</v>
      </c>
      <c r="AI546" s="6" t="s">
        <v>57</v>
      </c>
      <c r="AJ546" s="6" t="s">
        <v>57</v>
      </c>
      <c r="AK546" s="6" t="s">
        <v>57</v>
      </c>
      <c r="AL546" s="6" t="s">
        <v>57</v>
      </c>
      <c r="AM546" s="6" t="s">
        <v>57</v>
      </c>
      <c r="AN546" s="6" t="s">
        <v>57</v>
      </c>
      <c r="AO546" s="6" t="s">
        <v>57</v>
      </c>
      <c r="AP546" s="6" t="s">
        <v>57</v>
      </c>
      <c r="AQ546" s="6" t="s">
        <v>57</v>
      </c>
    </row>
    <row r="547" spans="1:43" ht="15">
      <c r="A547" s="2" t="s">
        <v>1945</v>
      </c>
      <c r="B547" s="5">
        <v>5737581</v>
      </c>
      <c r="C547" s="2" t="s">
        <v>23</v>
      </c>
      <c r="D547" s="2" t="s">
        <v>1946</v>
      </c>
      <c r="E547" s="2" t="s">
        <v>1947</v>
      </c>
      <c r="F547" s="2" t="s">
        <v>26</v>
      </c>
      <c r="G547" s="2" t="s">
        <v>26</v>
      </c>
      <c r="H547" s="2" t="s">
        <v>27</v>
      </c>
      <c r="I547" s="2" t="s">
        <v>28</v>
      </c>
      <c r="J547" s="6"/>
      <c r="K547" s="2" t="s">
        <v>55</v>
      </c>
      <c r="L547" s="2" t="s">
        <v>56</v>
      </c>
      <c r="M547" s="2" t="s">
        <v>55</v>
      </c>
      <c r="N547" s="2"/>
      <c r="O547" s="2"/>
      <c r="P547" s="7">
        <v>33.260026853758703</v>
      </c>
      <c r="Q547" s="6" t="s">
        <v>57</v>
      </c>
      <c r="R547" s="9">
        <v>0</v>
      </c>
      <c r="S547" s="2" t="s">
        <v>1948</v>
      </c>
      <c r="T547" s="9">
        <v>0</v>
      </c>
      <c r="U547" s="9">
        <v>0</v>
      </c>
      <c r="V547" s="9">
        <v>0</v>
      </c>
      <c r="W547" s="9">
        <v>0</v>
      </c>
      <c r="X547" s="9">
        <v>0</v>
      </c>
      <c r="Y547" s="9">
        <v>0</v>
      </c>
      <c r="Z547" s="9">
        <v>0</v>
      </c>
      <c r="AA547" s="9">
        <v>0</v>
      </c>
      <c r="AB547" s="9">
        <v>0</v>
      </c>
      <c r="AC547" s="9">
        <v>0</v>
      </c>
      <c r="AD547" s="9">
        <v>0</v>
      </c>
      <c r="AE547" s="6" t="s">
        <v>57</v>
      </c>
      <c r="AF547" s="6" t="s">
        <v>57</v>
      </c>
      <c r="AG547" s="6" t="s">
        <v>57</v>
      </c>
      <c r="AH547" s="6" t="s">
        <v>57</v>
      </c>
      <c r="AI547" s="6" t="s">
        <v>57</v>
      </c>
      <c r="AJ547" s="6" t="s">
        <v>57</v>
      </c>
      <c r="AK547" s="6" t="s">
        <v>57</v>
      </c>
      <c r="AL547" s="6" t="s">
        <v>57</v>
      </c>
      <c r="AM547" s="6" t="s">
        <v>57</v>
      </c>
      <c r="AN547" s="6" t="s">
        <v>57</v>
      </c>
      <c r="AO547" s="6" t="s">
        <v>57</v>
      </c>
      <c r="AP547" s="6" t="s">
        <v>57</v>
      </c>
      <c r="AQ547" s="9">
        <v>0</v>
      </c>
    </row>
    <row r="548" spans="1:43" ht="15">
      <c r="A548" s="2" t="s">
        <v>1949</v>
      </c>
      <c r="B548" s="5">
        <v>5738309</v>
      </c>
      <c r="C548" s="2" t="s">
        <v>23</v>
      </c>
      <c r="D548" s="2" t="s">
        <v>1950</v>
      </c>
      <c r="E548" s="2" t="s">
        <v>1951</v>
      </c>
      <c r="F548" s="2" t="s">
        <v>26</v>
      </c>
      <c r="G548" s="2" t="s">
        <v>26</v>
      </c>
      <c r="H548" s="2" t="s">
        <v>27</v>
      </c>
      <c r="I548" s="2" t="s">
        <v>28</v>
      </c>
      <c r="J548" s="6"/>
      <c r="K548" s="2" t="s">
        <v>55</v>
      </c>
      <c r="L548" s="2" t="s">
        <v>56</v>
      </c>
      <c r="M548" s="2" t="s">
        <v>55</v>
      </c>
      <c r="N548" s="2"/>
      <c r="O548" s="2"/>
      <c r="P548" s="7">
        <v>39.0186196308901</v>
      </c>
      <c r="Q548" s="6" t="s">
        <v>57</v>
      </c>
      <c r="R548" s="9">
        <v>5661</v>
      </c>
      <c r="S548" s="2"/>
      <c r="T548" s="9">
        <v>15489</v>
      </c>
      <c r="U548" s="9">
        <v>11823</v>
      </c>
      <c r="V548" s="9">
        <v>6421</v>
      </c>
      <c r="W548" s="9">
        <v>6183</v>
      </c>
      <c r="X548" s="9">
        <v>6272</v>
      </c>
      <c r="Y548" s="9">
        <v>4520</v>
      </c>
      <c r="Z548" s="9">
        <v>3964</v>
      </c>
      <c r="AA548" s="9">
        <v>2861</v>
      </c>
      <c r="AB548" s="9">
        <v>10169</v>
      </c>
      <c r="AC548" s="9">
        <v>6565</v>
      </c>
      <c r="AD548" s="9">
        <v>5932</v>
      </c>
      <c r="AE548" s="6" t="s">
        <v>57</v>
      </c>
      <c r="AF548" s="6" t="s">
        <v>57</v>
      </c>
      <c r="AG548" s="6" t="s">
        <v>57</v>
      </c>
      <c r="AH548" s="6" t="s">
        <v>57</v>
      </c>
      <c r="AI548" s="6" t="s">
        <v>57</v>
      </c>
      <c r="AJ548" s="6" t="s">
        <v>57</v>
      </c>
      <c r="AK548" s="6" t="s">
        <v>57</v>
      </c>
      <c r="AL548" s="6" t="s">
        <v>57</v>
      </c>
      <c r="AM548" s="6" t="s">
        <v>57</v>
      </c>
      <c r="AN548" s="6" t="s">
        <v>57</v>
      </c>
      <c r="AO548" s="6" t="s">
        <v>57</v>
      </c>
      <c r="AP548" s="6" t="s">
        <v>57</v>
      </c>
      <c r="AQ548" s="9">
        <v>186</v>
      </c>
    </row>
    <row r="549" spans="1:43" ht="15">
      <c r="A549" s="2" t="s">
        <v>1952</v>
      </c>
      <c r="B549" s="5">
        <v>27838750</v>
      </c>
      <c r="C549" s="2" t="s">
        <v>23</v>
      </c>
      <c r="D549" s="2" t="s">
        <v>1953</v>
      </c>
      <c r="E549" s="2" t="s">
        <v>1954</v>
      </c>
      <c r="F549" s="2" t="s">
        <v>26</v>
      </c>
      <c r="G549" s="2" t="s">
        <v>26</v>
      </c>
      <c r="H549" s="2" t="s">
        <v>27</v>
      </c>
      <c r="I549" s="2" t="s">
        <v>28</v>
      </c>
      <c r="J549" s="6"/>
      <c r="K549" s="2" t="s">
        <v>55</v>
      </c>
      <c r="L549" s="2" t="s">
        <v>56</v>
      </c>
      <c r="M549" s="2" t="s">
        <v>55</v>
      </c>
      <c r="N549" s="2"/>
      <c r="O549" s="2"/>
      <c r="P549" s="6" t="s">
        <v>57</v>
      </c>
      <c r="Q549" s="6" t="s">
        <v>57</v>
      </c>
      <c r="R549" s="9">
        <v>0</v>
      </c>
      <c r="S549" s="2"/>
      <c r="T549" s="9">
        <v>0</v>
      </c>
      <c r="U549" s="9">
        <v>2381</v>
      </c>
      <c r="V549" s="9">
        <v>893</v>
      </c>
      <c r="W549" s="9">
        <v>506</v>
      </c>
      <c r="X549" s="9">
        <v>504</v>
      </c>
      <c r="Y549" s="9">
        <v>424</v>
      </c>
      <c r="Z549" s="9">
        <v>473</v>
      </c>
      <c r="AA549" s="9">
        <v>466</v>
      </c>
      <c r="AB549" s="9">
        <v>2721</v>
      </c>
      <c r="AC549" s="9">
        <v>937</v>
      </c>
      <c r="AD549" s="9">
        <v>461</v>
      </c>
      <c r="AE549" s="6" t="s">
        <v>57</v>
      </c>
      <c r="AF549" s="6" t="s">
        <v>57</v>
      </c>
      <c r="AG549" s="6" t="s">
        <v>57</v>
      </c>
      <c r="AH549" s="6" t="s">
        <v>57</v>
      </c>
      <c r="AI549" s="6" t="s">
        <v>57</v>
      </c>
      <c r="AJ549" s="6" t="s">
        <v>57</v>
      </c>
      <c r="AK549" s="6" t="s">
        <v>57</v>
      </c>
      <c r="AL549" s="6" t="s">
        <v>57</v>
      </c>
      <c r="AM549" s="6" t="s">
        <v>57</v>
      </c>
      <c r="AN549" s="6" t="s">
        <v>57</v>
      </c>
      <c r="AO549" s="6" t="s">
        <v>57</v>
      </c>
      <c r="AP549" s="6" t="s">
        <v>57</v>
      </c>
      <c r="AQ549" s="9">
        <v>0</v>
      </c>
    </row>
    <row r="550" spans="1:43" ht="15">
      <c r="A550" s="2" t="s">
        <v>1955</v>
      </c>
      <c r="B550" s="5">
        <v>5738188</v>
      </c>
      <c r="C550" s="2" t="s">
        <v>23</v>
      </c>
      <c r="D550" s="2" t="s">
        <v>1956</v>
      </c>
      <c r="E550" s="2" t="s">
        <v>1957</v>
      </c>
      <c r="F550" s="2" t="s">
        <v>26</v>
      </c>
      <c r="G550" s="2" t="s">
        <v>26</v>
      </c>
      <c r="H550" s="2" t="s">
        <v>27</v>
      </c>
      <c r="I550" s="2" t="s">
        <v>28</v>
      </c>
      <c r="J550" s="6"/>
      <c r="K550" s="2" t="s">
        <v>55</v>
      </c>
      <c r="L550" s="2" t="s">
        <v>56</v>
      </c>
      <c r="M550" s="2" t="s">
        <v>55</v>
      </c>
      <c r="N550" s="2"/>
      <c r="O550" s="2"/>
      <c r="P550" s="7">
        <v>33.689550635720003</v>
      </c>
      <c r="Q550" s="6" t="s">
        <v>57</v>
      </c>
      <c r="R550" s="9">
        <v>1476</v>
      </c>
      <c r="S550" s="2"/>
      <c r="T550" s="9">
        <v>4184</v>
      </c>
      <c r="U550" s="9">
        <v>3893</v>
      </c>
      <c r="V550" s="9">
        <v>3862</v>
      </c>
      <c r="W550" s="9">
        <v>7611</v>
      </c>
      <c r="X550" s="9">
        <v>8163</v>
      </c>
      <c r="Y550" s="9">
        <v>10028</v>
      </c>
      <c r="Z550" s="9">
        <v>12866</v>
      </c>
      <c r="AA550" s="9">
        <v>15949</v>
      </c>
      <c r="AB550" s="9">
        <v>4154</v>
      </c>
      <c r="AC550" s="9">
        <v>4032</v>
      </c>
      <c r="AD550" s="9">
        <v>5687</v>
      </c>
      <c r="AE550" s="6" t="s">
        <v>57</v>
      </c>
      <c r="AF550" s="6" t="s">
        <v>57</v>
      </c>
      <c r="AG550" s="6" t="s">
        <v>57</v>
      </c>
      <c r="AH550" s="6" t="s">
        <v>57</v>
      </c>
      <c r="AI550" s="6" t="s">
        <v>57</v>
      </c>
      <c r="AJ550" s="6" t="s">
        <v>57</v>
      </c>
      <c r="AK550" s="6" t="s">
        <v>57</v>
      </c>
      <c r="AL550" s="6" t="s">
        <v>57</v>
      </c>
      <c r="AM550" s="6" t="s">
        <v>57</v>
      </c>
      <c r="AN550" s="6" t="s">
        <v>57</v>
      </c>
      <c r="AO550" s="6" t="s">
        <v>57</v>
      </c>
      <c r="AP550" s="6" t="s">
        <v>57</v>
      </c>
      <c r="AQ550" s="9">
        <v>0</v>
      </c>
    </row>
    <row r="551" spans="1:43" ht="15">
      <c r="A551" s="2" t="s">
        <v>1958</v>
      </c>
      <c r="B551" s="5">
        <v>13341220</v>
      </c>
      <c r="C551" s="2" t="s">
        <v>23</v>
      </c>
      <c r="D551" s="2" t="s">
        <v>1959</v>
      </c>
      <c r="E551" s="2" t="s">
        <v>1960</v>
      </c>
      <c r="F551" s="2" t="s">
        <v>26</v>
      </c>
      <c r="G551" s="2" t="s">
        <v>26</v>
      </c>
      <c r="H551" s="2" t="s">
        <v>27</v>
      </c>
      <c r="I551" s="2" t="s">
        <v>28</v>
      </c>
      <c r="J551" s="6"/>
      <c r="K551" s="2" t="s">
        <v>55</v>
      </c>
      <c r="L551" s="2" t="s">
        <v>56</v>
      </c>
      <c r="M551" s="2" t="s">
        <v>55</v>
      </c>
      <c r="N551" s="2"/>
      <c r="O551" s="2"/>
      <c r="P551" s="6" t="s">
        <v>57</v>
      </c>
      <c r="Q551" s="6" t="s">
        <v>57</v>
      </c>
      <c r="R551" s="9">
        <v>0</v>
      </c>
      <c r="S551" s="2"/>
      <c r="T551" s="9">
        <v>0</v>
      </c>
      <c r="U551" s="9">
        <v>0</v>
      </c>
      <c r="V551" s="9">
        <v>0</v>
      </c>
      <c r="W551" s="9">
        <v>765</v>
      </c>
      <c r="X551" s="9">
        <v>762</v>
      </c>
      <c r="Y551" s="9">
        <v>383</v>
      </c>
      <c r="Z551" s="9">
        <v>255</v>
      </c>
      <c r="AA551" s="9">
        <v>299</v>
      </c>
      <c r="AB551" s="9">
        <v>0</v>
      </c>
      <c r="AC551" s="9">
        <v>0</v>
      </c>
      <c r="AD551" s="9">
        <v>1239</v>
      </c>
      <c r="AE551" s="6" t="s">
        <v>57</v>
      </c>
      <c r="AF551" s="6" t="s">
        <v>57</v>
      </c>
      <c r="AG551" s="6" t="s">
        <v>57</v>
      </c>
      <c r="AH551" s="6" t="s">
        <v>57</v>
      </c>
      <c r="AI551" s="6" t="s">
        <v>57</v>
      </c>
      <c r="AJ551" s="6" t="s">
        <v>57</v>
      </c>
      <c r="AK551" s="6" t="s">
        <v>57</v>
      </c>
      <c r="AL551" s="6" t="s">
        <v>57</v>
      </c>
      <c r="AM551" s="6" t="s">
        <v>57</v>
      </c>
      <c r="AN551" s="6" t="s">
        <v>57</v>
      </c>
      <c r="AO551" s="6" t="s">
        <v>57</v>
      </c>
      <c r="AP551" s="6" t="s">
        <v>57</v>
      </c>
      <c r="AQ551" s="9">
        <v>0</v>
      </c>
    </row>
    <row r="552" spans="1:43" ht="15">
      <c r="A552" s="2" t="s">
        <v>1961</v>
      </c>
      <c r="B552" s="5">
        <v>5737082</v>
      </c>
      <c r="C552" s="2" t="s">
        <v>23</v>
      </c>
      <c r="D552" s="2" t="s">
        <v>1962</v>
      </c>
      <c r="E552" s="2" t="s">
        <v>1963</v>
      </c>
      <c r="F552" s="2" t="s">
        <v>26</v>
      </c>
      <c r="G552" s="2" t="s">
        <v>26</v>
      </c>
      <c r="H552" s="2" t="s">
        <v>27</v>
      </c>
      <c r="I552" s="2" t="s">
        <v>28</v>
      </c>
      <c r="J552" s="6"/>
      <c r="K552" s="2" t="s">
        <v>55</v>
      </c>
      <c r="L552" s="2" t="s">
        <v>56</v>
      </c>
      <c r="M552" s="2" t="s">
        <v>55</v>
      </c>
      <c r="N552" s="2"/>
      <c r="O552" s="2"/>
      <c r="P552" s="7">
        <v>15.008718950011399</v>
      </c>
      <c r="Q552" s="6" t="s">
        <v>57</v>
      </c>
      <c r="R552" s="9">
        <v>0</v>
      </c>
      <c r="S552" s="2"/>
      <c r="T552" s="9">
        <v>0</v>
      </c>
      <c r="U552" s="9">
        <v>0</v>
      </c>
      <c r="V552" s="9">
        <v>0</v>
      </c>
      <c r="W552" s="9">
        <v>0</v>
      </c>
      <c r="X552" s="9">
        <v>0</v>
      </c>
      <c r="Y552" s="9">
        <v>0</v>
      </c>
      <c r="Z552" s="9">
        <v>0</v>
      </c>
      <c r="AA552" s="9">
        <v>0</v>
      </c>
      <c r="AB552" s="9">
        <v>0</v>
      </c>
      <c r="AC552" s="9">
        <v>0</v>
      </c>
      <c r="AD552" s="9">
        <v>0</v>
      </c>
      <c r="AE552" s="6" t="s">
        <v>57</v>
      </c>
      <c r="AF552" s="6" t="s">
        <v>57</v>
      </c>
      <c r="AG552" s="6" t="s">
        <v>57</v>
      </c>
      <c r="AH552" s="6" t="s">
        <v>57</v>
      </c>
      <c r="AI552" s="6" t="s">
        <v>57</v>
      </c>
      <c r="AJ552" s="6" t="s">
        <v>57</v>
      </c>
      <c r="AK552" s="6" t="s">
        <v>57</v>
      </c>
      <c r="AL552" s="6" t="s">
        <v>57</v>
      </c>
      <c r="AM552" s="6" t="s">
        <v>57</v>
      </c>
      <c r="AN552" s="6" t="s">
        <v>57</v>
      </c>
      <c r="AO552" s="6" t="s">
        <v>57</v>
      </c>
      <c r="AP552" s="6" t="s">
        <v>57</v>
      </c>
      <c r="AQ552" s="9">
        <v>0</v>
      </c>
    </row>
    <row r="553" spans="1:43" ht="15">
      <c r="A553" s="2" t="s">
        <v>1964</v>
      </c>
      <c r="B553" s="5">
        <v>27820593</v>
      </c>
      <c r="C553" s="2" t="s">
        <v>23</v>
      </c>
      <c r="D553" s="2" t="s">
        <v>1965</v>
      </c>
      <c r="E553" s="2" t="s">
        <v>1966</v>
      </c>
      <c r="F553" s="2" t="s">
        <v>26</v>
      </c>
      <c r="G553" s="2" t="s">
        <v>26</v>
      </c>
      <c r="H553" s="2" t="s">
        <v>27</v>
      </c>
      <c r="I553" s="2" t="s">
        <v>28</v>
      </c>
      <c r="J553" s="6"/>
      <c r="K553" s="2" t="s">
        <v>55</v>
      </c>
      <c r="L553" s="2" t="s">
        <v>56</v>
      </c>
      <c r="M553" s="2" t="s">
        <v>55</v>
      </c>
      <c r="N553" s="2"/>
      <c r="O553" s="2"/>
      <c r="P553" s="6" t="s">
        <v>57</v>
      </c>
      <c r="Q553" s="6" t="s">
        <v>57</v>
      </c>
      <c r="R553" s="9">
        <v>0</v>
      </c>
      <c r="S553" s="2"/>
      <c r="T553" s="9">
        <v>0</v>
      </c>
      <c r="U553" s="9">
        <v>0</v>
      </c>
      <c r="V553" s="9">
        <v>0</v>
      </c>
      <c r="W553" s="9">
        <v>0</v>
      </c>
      <c r="X553" s="9">
        <v>0</v>
      </c>
      <c r="Y553" s="9">
        <v>0</v>
      </c>
      <c r="Z553" s="9">
        <v>0</v>
      </c>
      <c r="AA553" s="9">
        <v>0</v>
      </c>
      <c r="AB553" s="9">
        <v>0</v>
      </c>
      <c r="AC553" s="9">
        <v>0</v>
      </c>
      <c r="AD553" s="9">
        <v>0</v>
      </c>
      <c r="AE553" s="6" t="s">
        <v>57</v>
      </c>
      <c r="AF553" s="6" t="s">
        <v>57</v>
      </c>
      <c r="AG553" s="6" t="s">
        <v>57</v>
      </c>
      <c r="AH553" s="6" t="s">
        <v>57</v>
      </c>
      <c r="AI553" s="6" t="s">
        <v>57</v>
      </c>
      <c r="AJ553" s="6" t="s">
        <v>57</v>
      </c>
      <c r="AK553" s="6" t="s">
        <v>57</v>
      </c>
      <c r="AL553" s="6" t="s">
        <v>57</v>
      </c>
      <c r="AM553" s="6" t="s">
        <v>57</v>
      </c>
      <c r="AN553" s="6" t="s">
        <v>57</v>
      </c>
      <c r="AO553" s="6" t="s">
        <v>57</v>
      </c>
      <c r="AP553" s="6" t="s">
        <v>57</v>
      </c>
      <c r="AQ553" s="9">
        <v>0</v>
      </c>
    </row>
    <row r="554" spans="1:43" ht="15">
      <c r="A554" s="2" t="s">
        <v>1967</v>
      </c>
      <c r="B554" s="5">
        <v>27622975</v>
      </c>
      <c r="C554" s="2" t="s">
        <v>23</v>
      </c>
      <c r="D554" s="2" t="s">
        <v>1968</v>
      </c>
      <c r="E554" s="2" t="s">
        <v>1969</v>
      </c>
      <c r="F554" s="2" t="s">
        <v>26</v>
      </c>
      <c r="G554" s="2" t="s">
        <v>26</v>
      </c>
      <c r="H554" s="2" t="s">
        <v>27</v>
      </c>
      <c r="I554" s="2" t="s">
        <v>28</v>
      </c>
      <c r="J554" s="6"/>
      <c r="K554" s="2" t="s">
        <v>55</v>
      </c>
      <c r="L554" s="2" t="s">
        <v>56</v>
      </c>
      <c r="M554" s="2" t="s">
        <v>55</v>
      </c>
      <c r="N554" s="2"/>
      <c r="O554" s="2"/>
      <c r="P554" s="6" t="s">
        <v>57</v>
      </c>
      <c r="Q554" s="6" t="s">
        <v>57</v>
      </c>
      <c r="R554" s="9">
        <v>0</v>
      </c>
      <c r="S554" s="2"/>
      <c r="T554" s="9">
        <v>0</v>
      </c>
      <c r="U554" s="9">
        <v>0</v>
      </c>
      <c r="V554" s="9">
        <v>0</v>
      </c>
      <c r="W554" s="9">
        <v>0</v>
      </c>
      <c r="X554" s="9">
        <v>0</v>
      </c>
      <c r="Y554" s="9">
        <v>2334</v>
      </c>
      <c r="Z554" s="9">
        <v>1903</v>
      </c>
      <c r="AA554" s="9">
        <v>2234</v>
      </c>
      <c r="AB554" s="9">
        <v>0</v>
      </c>
      <c r="AC554" s="9">
        <v>0</v>
      </c>
      <c r="AD554" s="9">
        <v>0</v>
      </c>
      <c r="AE554" s="6" t="s">
        <v>57</v>
      </c>
      <c r="AF554" s="6" t="s">
        <v>57</v>
      </c>
      <c r="AG554" s="6" t="s">
        <v>57</v>
      </c>
      <c r="AH554" s="6" t="s">
        <v>57</v>
      </c>
      <c r="AI554" s="6" t="s">
        <v>57</v>
      </c>
      <c r="AJ554" s="6" t="s">
        <v>57</v>
      </c>
      <c r="AK554" s="6" t="s">
        <v>57</v>
      </c>
      <c r="AL554" s="6" t="s">
        <v>57</v>
      </c>
      <c r="AM554" s="6" t="s">
        <v>57</v>
      </c>
      <c r="AN554" s="6" t="s">
        <v>57</v>
      </c>
      <c r="AO554" s="6" t="s">
        <v>57</v>
      </c>
      <c r="AP554" s="6" t="s">
        <v>57</v>
      </c>
      <c r="AQ554" s="9">
        <v>0</v>
      </c>
    </row>
    <row r="555" spans="1:43" ht="15">
      <c r="A555" s="2" t="s">
        <v>1970</v>
      </c>
      <c r="B555" s="5">
        <v>19126409</v>
      </c>
      <c r="C555" s="2" t="s">
        <v>23</v>
      </c>
      <c r="D555" s="2" t="s">
        <v>1971</v>
      </c>
      <c r="E555" s="2" t="s">
        <v>1972</v>
      </c>
      <c r="F555" s="2" t="s">
        <v>26</v>
      </c>
      <c r="G555" s="2" t="s">
        <v>26</v>
      </c>
      <c r="H555" s="2" t="s">
        <v>27</v>
      </c>
      <c r="I555" s="2" t="s">
        <v>28</v>
      </c>
      <c r="J555" s="6"/>
      <c r="K555" s="2" t="s">
        <v>55</v>
      </c>
      <c r="L555" s="2" t="s">
        <v>56</v>
      </c>
      <c r="M555" s="2" t="s">
        <v>55</v>
      </c>
      <c r="N555" s="2"/>
      <c r="O555" s="2"/>
      <c r="P555" s="6" t="s">
        <v>57</v>
      </c>
      <c r="Q555" s="6" t="s">
        <v>57</v>
      </c>
      <c r="R555" s="9">
        <v>0</v>
      </c>
      <c r="S555" s="2"/>
      <c r="T555" s="9">
        <v>0</v>
      </c>
      <c r="U555" s="9">
        <v>0</v>
      </c>
      <c r="V555" s="9">
        <v>1013</v>
      </c>
      <c r="W555" s="9">
        <v>880</v>
      </c>
      <c r="X555" s="9">
        <v>876</v>
      </c>
      <c r="Y555" s="9">
        <v>8755</v>
      </c>
      <c r="Z555" s="9">
        <v>6153</v>
      </c>
      <c r="AA555" s="9">
        <v>3687</v>
      </c>
      <c r="AB555" s="9">
        <v>0</v>
      </c>
      <c r="AC555" s="9">
        <v>1063</v>
      </c>
      <c r="AD555" s="9">
        <v>645</v>
      </c>
      <c r="AE555" s="6" t="s">
        <v>57</v>
      </c>
      <c r="AF555" s="6" t="s">
        <v>57</v>
      </c>
      <c r="AG555" s="6" t="s">
        <v>57</v>
      </c>
      <c r="AH555" s="6" t="s">
        <v>57</v>
      </c>
      <c r="AI555" s="6" t="s">
        <v>57</v>
      </c>
      <c r="AJ555" s="6" t="s">
        <v>57</v>
      </c>
      <c r="AK555" s="6" t="s">
        <v>57</v>
      </c>
      <c r="AL555" s="6" t="s">
        <v>57</v>
      </c>
      <c r="AM555" s="6" t="s">
        <v>57</v>
      </c>
      <c r="AN555" s="6" t="s">
        <v>57</v>
      </c>
      <c r="AO555" s="6" t="s">
        <v>57</v>
      </c>
      <c r="AP555" s="6" t="s">
        <v>57</v>
      </c>
      <c r="AQ555" s="9">
        <v>0</v>
      </c>
    </row>
    <row r="556" spans="1:43" ht="15">
      <c r="A556" s="2" t="s">
        <v>1973</v>
      </c>
      <c r="B556" s="5">
        <v>5735260</v>
      </c>
      <c r="C556" s="2" t="s">
        <v>23</v>
      </c>
      <c r="D556" s="2" t="s">
        <v>1974</v>
      </c>
      <c r="E556" s="2" t="s">
        <v>1975</v>
      </c>
      <c r="F556" s="2" t="s">
        <v>26</v>
      </c>
      <c r="G556" s="2" t="s">
        <v>26</v>
      </c>
      <c r="H556" s="2" t="s">
        <v>27</v>
      </c>
      <c r="I556" s="2" t="s">
        <v>28</v>
      </c>
      <c r="J556" s="6"/>
      <c r="K556" s="2" t="s">
        <v>55</v>
      </c>
      <c r="L556" s="2" t="s">
        <v>56</v>
      </c>
      <c r="M556" s="2" t="s">
        <v>55</v>
      </c>
      <c r="N556" s="2"/>
      <c r="O556" s="2"/>
      <c r="P556" s="7">
        <v>61.2546363047394</v>
      </c>
      <c r="Q556" s="6" t="s">
        <v>57</v>
      </c>
      <c r="R556" s="9">
        <v>0</v>
      </c>
      <c r="S556" s="2"/>
      <c r="T556" s="9">
        <v>0</v>
      </c>
      <c r="U556" s="9">
        <v>0</v>
      </c>
      <c r="V556" s="9">
        <v>0</v>
      </c>
      <c r="W556" s="9">
        <v>37</v>
      </c>
      <c r="X556" s="9">
        <v>37</v>
      </c>
      <c r="Y556" s="9">
        <v>51</v>
      </c>
      <c r="Z556" s="9">
        <v>63643</v>
      </c>
      <c r="AA556" s="9">
        <v>38180</v>
      </c>
      <c r="AB556" s="9">
        <v>0</v>
      </c>
      <c r="AC556" s="9">
        <v>0</v>
      </c>
      <c r="AD556" s="9">
        <v>0</v>
      </c>
      <c r="AE556" s="6" t="s">
        <v>57</v>
      </c>
      <c r="AF556" s="6" t="s">
        <v>57</v>
      </c>
      <c r="AG556" s="6" t="s">
        <v>57</v>
      </c>
      <c r="AH556" s="6" t="s">
        <v>57</v>
      </c>
      <c r="AI556" s="6" t="s">
        <v>57</v>
      </c>
      <c r="AJ556" s="6" t="s">
        <v>57</v>
      </c>
      <c r="AK556" s="6" t="s">
        <v>57</v>
      </c>
      <c r="AL556" s="6" t="s">
        <v>57</v>
      </c>
      <c r="AM556" s="6" t="s">
        <v>57</v>
      </c>
      <c r="AN556" s="6" t="s">
        <v>57</v>
      </c>
      <c r="AO556" s="6" t="s">
        <v>57</v>
      </c>
      <c r="AP556" s="6" t="s">
        <v>57</v>
      </c>
      <c r="AQ556" s="9">
        <v>0</v>
      </c>
    </row>
    <row r="557" spans="1:43" ht="15">
      <c r="A557" s="2" t="s">
        <v>1976</v>
      </c>
      <c r="B557" s="5">
        <v>5736605</v>
      </c>
      <c r="C557" s="2" t="s">
        <v>23</v>
      </c>
      <c r="D557" s="2" t="s">
        <v>1977</v>
      </c>
      <c r="E557" s="2" t="s">
        <v>1978</v>
      </c>
      <c r="F557" s="2" t="s">
        <v>26</v>
      </c>
      <c r="G557" s="2" t="s">
        <v>26</v>
      </c>
      <c r="H557" s="2" t="s">
        <v>27</v>
      </c>
      <c r="I557" s="2" t="s">
        <v>28</v>
      </c>
      <c r="J557" s="6"/>
      <c r="K557" s="2" t="s">
        <v>55</v>
      </c>
      <c r="L557" s="2" t="s">
        <v>56</v>
      </c>
      <c r="M557" s="2" t="s">
        <v>55</v>
      </c>
      <c r="N557" s="2"/>
      <c r="O557" s="2"/>
      <c r="P557" s="7">
        <v>20.740224993623102</v>
      </c>
      <c r="Q557" s="6" t="s">
        <v>57</v>
      </c>
      <c r="R557" s="9">
        <v>3854</v>
      </c>
      <c r="S557" s="2" t="s">
        <v>1979</v>
      </c>
      <c r="T557" s="9">
        <v>7004</v>
      </c>
      <c r="U557" s="9">
        <v>6322</v>
      </c>
      <c r="V557" s="9">
        <v>10154</v>
      </c>
      <c r="W557" s="9">
        <v>10003</v>
      </c>
      <c r="X557" s="9">
        <v>9979</v>
      </c>
      <c r="Y557" s="9">
        <v>10790</v>
      </c>
      <c r="Z557" s="9">
        <v>11525</v>
      </c>
      <c r="AA557" s="9">
        <v>8424</v>
      </c>
      <c r="AB557" s="9">
        <v>6807</v>
      </c>
      <c r="AC557" s="9">
        <v>10088</v>
      </c>
      <c r="AD557" s="9">
        <v>10718</v>
      </c>
      <c r="AE557" s="6" t="s">
        <v>57</v>
      </c>
      <c r="AF557" s="6" t="s">
        <v>57</v>
      </c>
      <c r="AG557" s="6" t="s">
        <v>57</v>
      </c>
      <c r="AH557" s="6" t="s">
        <v>57</v>
      </c>
      <c r="AI557" s="6" t="s">
        <v>57</v>
      </c>
      <c r="AJ557" s="6" t="s">
        <v>57</v>
      </c>
      <c r="AK557" s="6" t="s">
        <v>57</v>
      </c>
      <c r="AL557" s="6" t="s">
        <v>57</v>
      </c>
      <c r="AM557" s="6" t="s">
        <v>57</v>
      </c>
      <c r="AN557" s="6" t="s">
        <v>57</v>
      </c>
      <c r="AO557" s="6" t="s">
        <v>57</v>
      </c>
      <c r="AP557" s="6" t="s">
        <v>57</v>
      </c>
      <c r="AQ557" s="9">
        <v>835</v>
      </c>
    </row>
    <row r="558" spans="1:43" ht="15">
      <c r="A558" s="2" t="s">
        <v>1980</v>
      </c>
      <c r="B558" s="5">
        <v>7704883</v>
      </c>
      <c r="C558" s="2" t="s">
        <v>23</v>
      </c>
      <c r="D558" s="2" t="s">
        <v>1981</v>
      </c>
      <c r="E558" s="2" t="s">
        <v>1982</v>
      </c>
      <c r="F558" s="2" t="s">
        <v>26</v>
      </c>
      <c r="G558" s="2"/>
      <c r="H558" s="2"/>
      <c r="I558" s="2" t="s">
        <v>28</v>
      </c>
      <c r="J558" s="6"/>
      <c r="K558" s="2" t="s">
        <v>55</v>
      </c>
      <c r="L558" s="2" t="s">
        <v>56</v>
      </c>
      <c r="M558" s="2" t="s">
        <v>55</v>
      </c>
      <c r="N558" s="2"/>
      <c r="O558" s="2"/>
      <c r="P558" s="6" t="s">
        <v>57</v>
      </c>
      <c r="Q558" s="6" t="s">
        <v>57</v>
      </c>
      <c r="R558" s="9">
        <v>0</v>
      </c>
      <c r="S558" s="2" t="s">
        <v>1983</v>
      </c>
      <c r="T558" s="9">
        <v>0</v>
      </c>
      <c r="U558" s="9">
        <v>0</v>
      </c>
      <c r="V558" s="9">
        <v>0</v>
      </c>
      <c r="W558" s="9">
        <v>0</v>
      </c>
      <c r="X558" s="9">
        <v>0</v>
      </c>
      <c r="Y558" s="9">
        <v>0</v>
      </c>
      <c r="Z558" s="9">
        <v>0</v>
      </c>
      <c r="AA558" s="9">
        <v>0</v>
      </c>
      <c r="AB558" s="9">
        <v>0</v>
      </c>
      <c r="AC558" s="9">
        <v>0</v>
      </c>
      <c r="AD558" s="9">
        <v>0</v>
      </c>
      <c r="AE558" s="6" t="s">
        <v>57</v>
      </c>
      <c r="AF558" s="6" t="s">
        <v>57</v>
      </c>
      <c r="AG558" s="6" t="s">
        <v>57</v>
      </c>
      <c r="AH558" s="6" t="s">
        <v>57</v>
      </c>
      <c r="AI558" s="6" t="s">
        <v>57</v>
      </c>
      <c r="AJ558" s="6" t="s">
        <v>57</v>
      </c>
      <c r="AK558" s="6" t="s">
        <v>57</v>
      </c>
      <c r="AL558" s="6" t="s">
        <v>57</v>
      </c>
      <c r="AM558" s="6" t="s">
        <v>57</v>
      </c>
      <c r="AN558" s="6" t="s">
        <v>57</v>
      </c>
      <c r="AO558" s="6" t="s">
        <v>57</v>
      </c>
      <c r="AP558" s="6" t="s">
        <v>57</v>
      </c>
      <c r="AQ558" s="9">
        <v>0</v>
      </c>
    </row>
    <row r="559" spans="1:43" ht="15">
      <c r="A559" s="2" t="s">
        <v>1984</v>
      </c>
      <c r="B559" s="5">
        <v>6135545</v>
      </c>
      <c r="C559" s="2" t="s">
        <v>23</v>
      </c>
      <c r="D559" s="2" t="s">
        <v>1985</v>
      </c>
      <c r="E559" s="2" t="s">
        <v>1986</v>
      </c>
      <c r="F559" s="2" t="s">
        <v>26</v>
      </c>
      <c r="G559" s="2" t="s">
        <v>26</v>
      </c>
      <c r="H559" s="2" t="s">
        <v>27</v>
      </c>
      <c r="I559" s="2" t="s">
        <v>28</v>
      </c>
      <c r="J559" s="6"/>
      <c r="K559" s="2" t="s">
        <v>55</v>
      </c>
      <c r="L559" s="2" t="s">
        <v>56</v>
      </c>
      <c r="M559" s="2" t="s">
        <v>55</v>
      </c>
      <c r="N559" s="2"/>
      <c r="O559" s="2"/>
      <c r="P559" s="7">
        <v>47.406278170249401</v>
      </c>
      <c r="Q559" s="6" t="s">
        <v>57</v>
      </c>
      <c r="R559" s="9">
        <v>0</v>
      </c>
      <c r="S559" s="2"/>
      <c r="T559" s="9">
        <v>0</v>
      </c>
      <c r="U559" s="9">
        <v>0</v>
      </c>
      <c r="V559" s="9">
        <v>0</v>
      </c>
      <c r="W559" s="9">
        <v>0</v>
      </c>
      <c r="X559" s="9">
        <v>0</v>
      </c>
      <c r="Y559" s="9">
        <v>0</v>
      </c>
      <c r="Z559" s="9">
        <v>0</v>
      </c>
      <c r="AA559" s="9">
        <v>30978</v>
      </c>
      <c r="AB559" s="9">
        <v>0</v>
      </c>
      <c r="AC559" s="9">
        <v>0</v>
      </c>
      <c r="AD559" s="9">
        <v>0</v>
      </c>
      <c r="AE559" s="6" t="s">
        <v>57</v>
      </c>
      <c r="AF559" s="6" t="s">
        <v>57</v>
      </c>
      <c r="AG559" s="6" t="s">
        <v>57</v>
      </c>
      <c r="AH559" s="6" t="s">
        <v>57</v>
      </c>
      <c r="AI559" s="6" t="s">
        <v>57</v>
      </c>
      <c r="AJ559" s="6" t="s">
        <v>57</v>
      </c>
      <c r="AK559" s="6" t="s">
        <v>57</v>
      </c>
      <c r="AL559" s="6" t="s">
        <v>57</v>
      </c>
      <c r="AM559" s="6" t="s">
        <v>57</v>
      </c>
      <c r="AN559" s="6" t="s">
        <v>57</v>
      </c>
      <c r="AO559" s="6" t="s">
        <v>57</v>
      </c>
      <c r="AP559" s="6" t="s">
        <v>57</v>
      </c>
      <c r="AQ559" s="9">
        <v>0</v>
      </c>
    </row>
    <row r="560" spans="1:43" ht="15">
      <c r="A560" s="2" t="s">
        <v>1987</v>
      </c>
      <c r="B560" s="5">
        <v>5731750</v>
      </c>
      <c r="C560" s="2" t="s">
        <v>23</v>
      </c>
      <c r="D560" s="2" t="s">
        <v>1988</v>
      </c>
      <c r="E560" s="2" t="s">
        <v>1989</v>
      </c>
      <c r="F560" s="2" t="s">
        <v>26</v>
      </c>
      <c r="G560" s="2" t="s">
        <v>26</v>
      </c>
      <c r="H560" s="2" t="s">
        <v>27</v>
      </c>
      <c r="I560" s="2" t="s">
        <v>28</v>
      </c>
      <c r="J560" s="6"/>
      <c r="K560" s="2" t="s">
        <v>55</v>
      </c>
      <c r="L560" s="2" t="s">
        <v>56</v>
      </c>
      <c r="M560" s="2" t="s">
        <v>55</v>
      </c>
      <c r="N560" s="2"/>
      <c r="O560" s="2"/>
      <c r="P560" s="7">
        <v>24.196896277275801</v>
      </c>
      <c r="Q560" s="6" t="s">
        <v>57</v>
      </c>
      <c r="R560" s="9">
        <v>0</v>
      </c>
      <c r="S560" s="2" t="s">
        <v>1990</v>
      </c>
      <c r="T560" s="9">
        <v>0</v>
      </c>
      <c r="U560" s="9">
        <v>0</v>
      </c>
      <c r="V560" s="9">
        <v>0</v>
      </c>
      <c r="W560" s="9">
        <v>0</v>
      </c>
      <c r="X560" s="9">
        <v>0</v>
      </c>
      <c r="Y560" s="9">
        <v>0</v>
      </c>
      <c r="Z560" s="9">
        <v>0</v>
      </c>
      <c r="AA560" s="9">
        <v>0</v>
      </c>
      <c r="AB560" s="9">
        <v>0</v>
      </c>
      <c r="AC560" s="9">
        <v>0</v>
      </c>
      <c r="AD560" s="9">
        <v>0</v>
      </c>
      <c r="AE560" s="6" t="s">
        <v>57</v>
      </c>
      <c r="AF560" s="6" t="s">
        <v>57</v>
      </c>
      <c r="AG560" s="6" t="s">
        <v>57</v>
      </c>
      <c r="AH560" s="6" t="s">
        <v>57</v>
      </c>
      <c r="AI560" s="6" t="s">
        <v>57</v>
      </c>
      <c r="AJ560" s="6" t="s">
        <v>57</v>
      </c>
      <c r="AK560" s="6" t="s">
        <v>57</v>
      </c>
      <c r="AL560" s="6" t="s">
        <v>57</v>
      </c>
      <c r="AM560" s="6" t="s">
        <v>57</v>
      </c>
      <c r="AN560" s="6" t="s">
        <v>57</v>
      </c>
      <c r="AO560" s="6" t="s">
        <v>57</v>
      </c>
      <c r="AP560" s="6" t="s">
        <v>57</v>
      </c>
      <c r="AQ560" s="9">
        <v>0</v>
      </c>
    </row>
    <row r="561" spans="1:43" ht="15">
      <c r="A561" s="2" t="s">
        <v>1991</v>
      </c>
      <c r="B561" s="5">
        <v>5732552</v>
      </c>
      <c r="C561" s="2" t="s">
        <v>23</v>
      </c>
      <c r="D561" s="2" t="s">
        <v>1992</v>
      </c>
      <c r="E561" s="2" t="s">
        <v>1993</v>
      </c>
      <c r="F561" s="2" t="s">
        <v>26</v>
      </c>
      <c r="G561" s="2" t="s">
        <v>26</v>
      </c>
      <c r="H561" s="2" t="s">
        <v>27</v>
      </c>
      <c r="I561" s="2" t="s">
        <v>28</v>
      </c>
      <c r="J561" s="6"/>
      <c r="K561" s="2" t="s">
        <v>55</v>
      </c>
      <c r="L561" s="2" t="s">
        <v>56</v>
      </c>
      <c r="M561" s="2" t="s">
        <v>55</v>
      </c>
      <c r="N561" s="2"/>
      <c r="O561" s="2"/>
      <c r="P561" s="7">
        <v>82.740143003142805</v>
      </c>
      <c r="Q561" s="6" t="s">
        <v>57</v>
      </c>
      <c r="R561" s="9">
        <v>0</v>
      </c>
      <c r="S561" s="2" t="s">
        <v>1994</v>
      </c>
      <c r="T561" s="9">
        <v>0</v>
      </c>
      <c r="U561" s="9">
        <v>0</v>
      </c>
      <c r="V561" s="9">
        <v>0</v>
      </c>
      <c r="W561" s="9">
        <v>0</v>
      </c>
      <c r="X561" s="9">
        <v>0</v>
      </c>
      <c r="Y561" s="9">
        <v>0</v>
      </c>
      <c r="Z561" s="9">
        <v>0</v>
      </c>
      <c r="AA561" s="9">
        <v>0</v>
      </c>
      <c r="AB561" s="9">
        <v>0</v>
      </c>
      <c r="AC561" s="9">
        <v>0</v>
      </c>
      <c r="AD561" s="9">
        <v>0</v>
      </c>
      <c r="AE561" s="6" t="s">
        <v>57</v>
      </c>
      <c r="AF561" s="6" t="s">
        <v>57</v>
      </c>
      <c r="AG561" s="6" t="s">
        <v>57</v>
      </c>
      <c r="AH561" s="6" t="s">
        <v>57</v>
      </c>
      <c r="AI561" s="6" t="s">
        <v>57</v>
      </c>
      <c r="AJ561" s="6" t="s">
        <v>57</v>
      </c>
      <c r="AK561" s="6" t="s">
        <v>57</v>
      </c>
      <c r="AL561" s="6" t="s">
        <v>57</v>
      </c>
      <c r="AM561" s="6" t="s">
        <v>57</v>
      </c>
      <c r="AN561" s="6" t="s">
        <v>57</v>
      </c>
      <c r="AO561" s="6" t="s">
        <v>57</v>
      </c>
      <c r="AP561" s="6" t="s">
        <v>57</v>
      </c>
      <c r="AQ561" s="9">
        <v>0</v>
      </c>
    </row>
    <row r="562" spans="1:43" ht="15">
      <c r="A562" s="2" t="s">
        <v>1995</v>
      </c>
      <c r="B562" s="5">
        <v>28746271</v>
      </c>
      <c r="C562" s="2" t="s">
        <v>23</v>
      </c>
      <c r="D562" s="2" t="s">
        <v>1996</v>
      </c>
      <c r="E562" s="2" t="s">
        <v>1997</v>
      </c>
      <c r="F562" s="2" t="s">
        <v>26</v>
      </c>
      <c r="G562" s="2" t="s">
        <v>26</v>
      </c>
      <c r="H562" s="2" t="s">
        <v>27</v>
      </c>
      <c r="I562" s="2" t="s">
        <v>28</v>
      </c>
      <c r="J562" s="6"/>
      <c r="K562" s="2" t="s">
        <v>55</v>
      </c>
      <c r="L562" s="2" t="s">
        <v>56</v>
      </c>
      <c r="M562" s="2" t="s">
        <v>55</v>
      </c>
      <c r="N562" s="2"/>
      <c r="O562" s="2"/>
      <c r="P562" s="6" t="s">
        <v>57</v>
      </c>
      <c r="Q562" s="6" t="s">
        <v>57</v>
      </c>
      <c r="R562" s="9">
        <v>0</v>
      </c>
      <c r="S562" s="2"/>
      <c r="T562" s="9">
        <v>0</v>
      </c>
      <c r="U562" s="9">
        <v>0</v>
      </c>
      <c r="V562" s="9">
        <v>0</v>
      </c>
      <c r="W562" s="9">
        <v>0</v>
      </c>
      <c r="X562" s="9">
        <v>0</v>
      </c>
      <c r="Y562" s="9">
        <v>0</v>
      </c>
      <c r="Z562" s="9">
        <v>74</v>
      </c>
      <c r="AA562" s="9">
        <v>74</v>
      </c>
      <c r="AB562" s="9">
        <v>0</v>
      </c>
      <c r="AC562" s="9">
        <v>0</v>
      </c>
      <c r="AD562" s="9">
        <v>0</v>
      </c>
      <c r="AE562" s="6" t="s">
        <v>57</v>
      </c>
      <c r="AF562" s="6" t="s">
        <v>57</v>
      </c>
      <c r="AG562" s="6" t="s">
        <v>57</v>
      </c>
      <c r="AH562" s="6" t="s">
        <v>57</v>
      </c>
      <c r="AI562" s="6" t="s">
        <v>57</v>
      </c>
      <c r="AJ562" s="6" t="s">
        <v>57</v>
      </c>
      <c r="AK562" s="6" t="s">
        <v>57</v>
      </c>
      <c r="AL562" s="6" t="s">
        <v>57</v>
      </c>
      <c r="AM562" s="6" t="s">
        <v>57</v>
      </c>
      <c r="AN562" s="6" t="s">
        <v>57</v>
      </c>
      <c r="AO562" s="6" t="s">
        <v>57</v>
      </c>
      <c r="AP562" s="6" t="s">
        <v>57</v>
      </c>
      <c r="AQ562" s="9">
        <v>0</v>
      </c>
    </row>
    <row r="563" spans="1:43" ht="15">
      <c r="A563" s="2" t="s">
        <v>1998</v>
      </c>
      <c r="B563" s="5">
        <v>7508008</v>
      </c>
      <c r="C563" s="2" t="s">
        <v>23</v>
      </c>
      <c r="D563" s="2" t="s">
        <v>1999</v>
      </c>
      <c r="E563" s="2" t="s">
        <v>2000</v>
      </c>
      <c r="F563" s="2" t="s">
        <v>26</v>
      </c>
      <c r="G563" s="2" t="s">
        <v>26</v>
      </c>
      <c r="H563" s="2" t="s">
        <v>27</v>
      </c>
      <c r="I563" s="2" t="s">
        <v>28</v>
      </c>
      <c r="J563" s="6"/>
      <c r="K563" s="2" t="s">
        <v>55</v>
      </c>
      <c r="L563" s="2" t="s">
        <v>56</v>
      </c>
      <c r="M563" s="2" t="s">
        <v>55</v>
      </c>
      <c r="N563" s="2"/>
      <c r="O563" s="2"/>
      <c r="P563" s="7">
        <v>16.711583413313399</v>
      </c>
      <c r="Q563" s="6" t="s">
        <v>57</v>
      </c>
      <c r="R563" s="9">
        <v>0</v>
      </c>
      <c r="S563" s="2"/>
      <c r="T563" s="9">
        <v>0</v>
      </c>
      <c r="U563" s="9">
        <v>0</v>
      </c>
      <c r="V563" s="9">
        <v>0</v>
      </c>
      <c r="W563" s="9">
        <v>0</v>
      </c>
      <c r="X563" s="9">
        <v>0</v>
      </c>
      <c r="Y563" s="9">
        <v>0</v>
      </c>
      <c r="Z563" s="9">
        <v>8</v>
      </c>
      <c r="AA563" s="9">
        <v>5</v>
      </c>
      <c r="AB563" s="9">
        <v>0</v>
      </c>
      <c r="AC563" s="9">
        <v>0</v>
      </c>
      <c r="AD563" s="9">
        <v>0</v>
      </c>
      <c r="AE563" s="6" t="s">
        <v>57</v>
      </c>
      <c r="AF563" s="6" t="s">
        <v>57</v>
      </c>
      <c r="AG563" s="6" t="s">
        <v>57</v>
      </c>
      <c r="AH563" s="6" t="s">
        <v>57</v>
      </c>
      <c r="AI563" s="6" t="s">
        <v>57</v>
      </c>
      <c r="AJ563" s="6" t="s">
        <v>57</v>
      </c>
      <c r="AK563" s="6" t="s">
        <v>57</v>
      </c>
      <c r="AL563" s="6" t="s">
        <v>57</v>
      </c>
      <c r="AM563" s="6" t="s">
        <v>57</v>
      </c>
      <c r="AN563" s="6" t="s">
        <v>57</v>
      </c>
      <c r="AO563" s="6" t="s">
        <v>57</v>
      </c>
      <c r="AP563" s="6" t="s">
        <v>57</v>
      </c>
      <c r="AQ563" s="9">
        <v>0</v>
      </c>
    </row>
    <row r="564" spans="1:43" ht="15">
      <c r="A564" s="2" t="s">
        <v>2001</v>
      </c>
      <c r="B564" s="5">
        <v>7548484</v>
      </c>
      <c r="C564" s="2" t="s">
        <v>23</v>
      </c>
      <c r="D564" s="2" t="s">
        <v>2002</v>
      </c>
      <c r="E564" s="2" t="s">
        <v>2003</v>
      </c>
      <c r="F564" s="2" t="s">
        <v>26</v>
      </c>
      <c r="G564" s="2" t="s">
        <v>26</v>
      </c>
      <c r="H564" s="2" t="s">
        <v>27</v>
      </c>
      <c r="I564" s="2" t="s">
        <v>28</v>
      </c>
      <c r="J564" s="6"/>
      <c r="K564" s="2" t="s">
        <v>55</v>
      </c>
      <c r="L564" s="2" t="s">
        <v>56</v>
      </c>
      <c r="M564" s="2" t="s">
        <v>55</v>
      </c>
      <c r="N564" s="2"/>
      <c r="O564" s="2"/>
      <c r="P564" s="7">
        <v>14.540860156774899</v>
      </c>
      <c r="Q564" s="6" t="s">
        <v>57</v>
      </c>
      <c r="R564" s="9">
        <v>0</v>
      </c>
      <c r="S564" s="2"/>
      <c r="T564" s="9">
        <v>0</v>
      </c>
      <c r="U564" s="9">
        <v>0</v>
      </c>
      <c r="V564" s="9">
        <v>0</v>
      </c>
      <c r="W564" s="9">
        <v>144</v>
      </c>
      <c r="X564" s="9">
        <v>143</v>
      </c>
      <c r="Y564" s="9">
        <v>72</v>
      </c>
      <c r="Z564" s="9">
        <v>48</v>
      </c>
      <c r="AA564" s="9">
        <v>86</v>
      </c>
      <c r="AB564" s="9">
        <v>0</v>
      </c>
      <c r="AC564" s="9">
        <v>0</v>
      </c>
      <c r="AD564" s="9">
        <v>0</v>
      </c>
      <c r="AE564" s="6" t="s">
        <v>57</v>
      </c>
      <c r="AF564" s="6" t="s">
        <v>57</v>
      </c>
      <c r="AG564" s="6" t="s">
        <v>57</v>
      </c>
      <c r="AH564" s="6" t="s">
        <v>57</v>
      </c>
      <c r="AI564" s="6" t="s">
        <v>57</v>
      </c>
      <c r="AJ564" s="6" t="s">
        <v>57</v>
      </c>
      <c r="AK564" s="6" t="s">
        <v>57</v>
      </c>
      <c r="AL564" s="6" t="s">
        <v>57</v>
      </c>
      <c r="AM564" s="6" t="s">
        <v>57</v>
      </c>
      <c r="AN564" s="6" t="s">
        <v>57</v>
      </c>
      <c r="AO564" s="6" t="s">
        <v>57</v>
      </c>
      <c r="AP564" s="6" t="s">
        <v>57</v>
      </c>
      <c r="AQ564" s="9">
        <v>0</v>
      </c>
    </row>
    <row r="565" spans="1:43" ht="15">
      <c r="A565" s="2" t="s">
        <v>2004</v>
      </c>
      <c r="B565" s="5">
        <v>19157236</v>
      </c>
      <c r="C565" s="2" t="s">
        <v>23</v>
      </c>
      <c r="D565" s="2" t="s">
        <v>2005</v>
      </c>
      <c r="E565" s="2" t="s">
        <v>2006</v>
      </c>
      <c r="F565" s="2" t="s">
        <v>26</v>
      </c>
      <c r="G565" s="2" t="s">
        <v>26</v>
      </c>
      <c r="H565" s="2" t="s">
        <v>27</v>
      </c>
      <c r="I565" s="2" t="s">
        <v>28</v>
      </c>
      <c r="J565" s="6"/>
      <c r="K565" s="2" t="s">
        <v>55</v>
      </c>
      <c r="L565" s="2" t="s">
        <v>56</v>
      </c>
      <c r="M565" s="2" t="s">
        <v>55</v>
      </c>
      <c r="N565" s="2"/>
      <c r="O565" s="2"/>
      <c r="P565" s="6" t="s">
        <v>57</v>
      </c>
      <c r="Q565" s="6" t="s">
        <v>57</v>
      </c>
      <c r="R565" s="9">
        <v>0</v>
      </c>
      <c r="S565" s="2"/>
      <c r="T565" s="9">
        <v>0</v>
      </c>
      <c r="U565" s="9">
        <v>0</v>
      </c>
      <c r="V565" s="9">
        <v>0</v>
      </c>
      <c r="W565" s="9">
        <v>0</v>
      </c>
      <c r="X565" s="9">
        <v>0</v>
      </c>
      <c r="Y565" s="9">
        <v>0</v>
      </c>
      <c r="Z565" s="9">
        <v>0</v>
      </c>
      <c r="AA565" s="9">
        <v>219</v>
      </c>
      <c r="AB565" s="9">
        <v>0</v>
      </c>
      <c r="AC565" s="9">
        <v>0</v>
      </c>
      <c r="AD565" s="9">
        <v>0</v>
      </c>
      <c r="AE565" s="6" t="s">
        <v>57</v>
      </c>
      <c r="AF565" s="6" t="s">
        <v>57</v>
      </c>
      <c r="AG565" s="6" t="s">
        <v>57</v>
      </c>
      <c r="AH565" s="6" t="s">
        <v>57</v>
      </c>
      <c r="AI565" s="6" t="s">
        <v>57</v>
      </c>
      <c r="AJ565" s="6" t="s">
        <v>57</v>
      </c>
      <c r="AK565" s="6" t="s">
        <v>57</v>
      </c>
      <c r="AL565" s="6" t="s">
        <v>57</v>
      </c>
      <c r="AM565" s="6" t="s">
        <v>57</v>
      </c>
      <c r="AN565" s="6" t="s">
        <v>57</v>
      </c>
      <c r="AO565" s="6" t="s">
        <v>57</v>
      </c>
      <c r="AP565" s="6" t="s">
        <v>57</v>
      </c>
      <c r="AQ565" s="9">
        <v>0</v>
      </c>
    </row>
    <row r="566" spans="1:43" ht="15">
      <c r="A566" s="2" t="s">
        <v>2007</v>
      </c>
      <c r="B566" s="5">
        <v>5737255</v>
      </c>
      <c r="C566" s="2" t="s">
        <v>23</v>
      </c>
      <c r="D566" s="2" t="s">
        <v>2008</v>
      </c>
      <c r="E566" s="2" t="s">
        <v>2009</v>
      </c>
      <c r="F566" s="2" t="s">
        <v>26</v>
      </c>
      <c r="G566" s="2" t="s">
        <v>26</v>
      </c>
      <c r="H566" s="2" t="s">
        <v>27</v>
      </c>
      <c r="I566" s="2" t="s">
        <v>28</v>
      </c>
      <c r="J566" s="6"/>
      <c r="K566" s="2" t="s">
        <v>55</v>
      </c>
      <c r="L566" s="2" t="s">
        <v>56</v>
      </c>
      <c r="M566" s="2" t="s">
        <v>55</v>
      </c>
      <c r="N566" s="2"/>
      <c r="O566" s="2"/>
      <c r="P566" s="7">
        <v>1.25380426104108</v>
      </c>
      <c r="Q566" s="6" t="s">
        <v>57</v>
      </c>
      <c r="R566" s="9">
        <v>0</v>
      </c>
      <c r="S566" s="2"/>
      <c r="T566" s="9">
        <v>0</v>
      </c>
      <c r="U566" s="9">
        <v>0</v>
      </c>
      <c r="V566" s="9">
        <v>0</v>
      </c>
      <c r="W566" s="9">
        <v>2286</v>
      </c>
      <c r="X566" s="9">
        <v>2277</v>
      </c>
      <c r="Y566" s="9">
        <v>1145</v>
      </c>
      <c r="Z566" s="9">
        <v>763</v>
      </c>
      <c r="AA566" s="9">
        <v>457</v>
      </c>
      <c r="AB566" s="9">
        <v>0</v>
      </c>
      <c r="AC566" s="9">
        <v>0</v>
      </c>
      <c r="AD566" s="9">
        <v>0</v>
      </c>
      <c r="AE566" s="6" t="s">
        <v>57</v>
      </c>
      <c r="AF566" s="6" t="s">
        <v>57</v>
      </c>
      <c r="AG566" s="6" t="s">
        <v>57</v>
      </c>
      <c r="AH566" s="6" t="s">
        <v>57</v>
      </c>
      <c r="AI566" s="6" t="s">
        <v>57</v>
      </c>
      <c r="AJ566" s="6" t="s">
        <v>57</v>
      </c>
      <c r="AK566" s="6" t="s">
        <v>57</v>
      </c>
      <c r="AL566" s="6" t="s">
        <v>57</v>
      </c>
      <c r="AM566" s="6" t="s">
        <v>57</v>
      </c>
      <c r="AN566" s="6" t="s">
        <v>57</v>
      </c>
      <c r="AO566" s="6" t="s">
        <v>57</v>
      </c>
      <c r="AP566" s="6" t="s">
        <v>57</v>
      </c>
      <c r="AQ566" s="9">
        <v>0</v>
      </c>
    </row>
    <row r="567" spans="1:43" ht="15">
      <c r="A567" s="2" t="s">
        <v>2010</v>
      </c>
      <c r="B567" s="5">
        <v>5736835</v>
      </c>
      <c r="C567" s="2" t="s">
        <v>23</v>
      </c>
      <c r="D567" s="2" t="s">
        <v>2011</v>
      </c>
      <c r="E567" s="2" t="s">
        <v>2012</v>
      </c>
      <c r="F567" s="2" t="s">
        <v>26</v>
      </c>
      <c r="G567" s="2" t="s">
        <v>26</v>
      </c>
      <c r="H567" s="2" t="s">
        <v>27</v>
      </c>
      <c r="I567" s="2" t="s">
        <v>28</v>
      </c>
      <c r="J567" s="6"/>
      <c r="K567" s="2" t="s">
        <v>55</v>
      </c>
      <c r="L567" s="2" t="s">
        <v>56</v>
      </c>
      <c r="M567" s="2" t="s">
        <v>55</v>
      </c>
      <c r="N567" s="2"/>
      <c r="O567" s="2"/>
      <c r="P567" s="7">
        <v>10.354136243387</v>
      </c>
      <c r="Q567" s="6" t="s">
        <v>57</v>
      </c>
      <c r="R567" s="9">
        <v>0</v>
      </c>
      <c r="S567" s="2"/>
      <c r="T567" s="9">
        <v>0</v>
      </c>
      <c r="U567" s="9">
        <v>0</v>
      </c>
      <c r="V567" s="9">
        <v>0</v>
      </c>
      <c r="W567" s="9">
        <v>3</v>
      </c>
      <c r="X567" s="9">
        <v>3</v>
      </c>
      <c r="Y567" s="9">
        <v>2</v>
      </c>
      <c r="Z567" s="9">
        <v>2</v>
      </c>
      <c r="AA567" s="9">
        <v>3</v>
      </c>
      <c r="AB567" s="9">
        <v>0</v>
      </c>
      <c r="AC567" s="9">
        <v>0</v>
      </c>
      <c r="AD567" s="9">
        <v>0</v>
      </c>
      <c r="AE567" s="6" t="s">
        <v>57</v>
      </c>
      <c r="AF567" s="6" t="s">
        <v>57</v>
      </c>
      <c r="AG567" s="6" t="s">
        <v>57</v>
      </c>
      <c r="AH567" s="6" t="s">
        <v>57</v>
      </c>
      <c r="AI567" s="6" t="s">
        <v>57</v>
      </c>
      <c r="AJ567" s="6" t="s">
        <v>57</v>
      </c>
      <c r="AK567" s="6" t="s">
        <v>57</v>
      </c>
      <c r="AL567" s="6" t="s">
        <v>57</v>
      </c>
      <c r="AM567" s="6" t="s">
        <v>57</v>
      </c>
      <c r="AN567" s="6" t="s">
        <v>57</v>
      </c>
      <c r="AO567" s="6" t="s">
        <v>57</v>
      </c>
      <c r="AP567" s="6" t="s">
        <v>57</v>
      </c>
      <c r="AQ567" s="9">
        <v>0</v>
      </c>
    </row>
    <row r="568" spans="1:43" ht="15">
      <c r="A568" s="2" t="s">
        <v>2013</v>
      </c>
      <c r="B568" s="5">
        <v>22797713</v>
      </c>
      <c r="C568" s="2" t="s">
        <v>23</v>
      </c>
      <c r="D568" s="2" t="s">
        <v>2014</v>
      </c>
      <c r="E568" s="2" t="s">
        <v>2015</v>
      </c>
      <c r="F568" s="2" t="s">
        <v>26</v>
      </c>
      <c r="G568" s="2" t="s">
        <v>26</v>
      </c>
      <c r="H568" s="2" t="s">
        <v>27</v>
      </c>
      <c r="I568" s="2" t="s">
        <v>28</v>
      </c>
      <c r="J568" s="6"/>
      <c r="K568" s="2" t="s">
        <v>55</v>
      </c>
      <c r="L568" s="2" t="s">
        <v>56</v>
      </c>
      <c r="M568" s="2" t="s">
        <v>55</v>
      </c>
      <c r="N568" s="2"/>
      <c r="O568" s="2"/>
      <c r="P568" s="6" t="s">
        <v>57</v>
      </c>
      <c r="Q568" s="6" t="s">
        <v>57</v>
      </c>
      <c r="R568" s="9">
        <v>0</v>
      </c>
      <c r="S568" s="2"/>
      <c r="T568" s="9">
        <v>0</v>
      </c>
      <c r="U568" s="9">
        <v>0</v>
      </c>
      <c r="V568" s="9">
        <v>0</v>
      </c>
      <c r="W568" s="9">
        <v>0</v>
      </c>
      <c r="X568" s="9">
        <v>0</v>
      </c>
      <c r="Y568" s="9">
        <v>0</v>
      </c>
      <c r="Z568" s="9">
        <v>0</v>
      </c>
      <c r="AA568" s="9">
        <v>0</v>
      </c>
      <c r="AB568" s="9">
        <v>0</v>
      </c>
      <c r="AC568" s="9">
        <v>0</v>
      </c>
      <c r="AD568" s="9">
        <v>0</v>
      </c>
      <c r="AE568" s="6" t="s">
        <v>57</v>
      </c>
      <c r="AF568" s="6" t="s">
        <v>57</v>
      </c>
      <c r="AG568" s="6" t="s">
        <v>57</v>
      </c>
      <c r="AH568" s="6" t="s">
        <v>57</v>
      </c>
      <c r="AI568" s="6" t="s">
        <v>57</v>
      </c>
      <c r="AJ568" s="6" t="s">
        <v>57</v>
      </c>
      <c r="AK568" s="6" t="s">
        <v>57</v>
      </c>
      <c r="AL568" s="6" t="s">
        <v>57</v>
      </c>
      <c r="AM568" s="6" t="s">
        <v>57</v>
      </c>
      <c r="AN568" s="6" t="s">
        <v>57</v>
      </c>
      <c r="AO568" s="6" t="s">
        <v>57</v>
      </c>
      <c r="AP568" s="6" t="s">
        <v>57</v>
      </c>
      <c r="AQ568" s="9">
        <v>0</v>
      </c>
    </row>
    <row r="569" spans="1:43" ht="15">
      <c r="A569" s="2" t="s">
        <v>2016</v>
      </c>
      <c r="B569" s="5">
        <v>5735259</v>
      </c>
      <c r="C569" s="2" t="s">
        <v>23</v>
      </c>
      <c r="D569" s="2" t="s">
        <v>2017</v>
      </c>
      <c r="E569" s="2" t="s">
        <v>2018</v>
      </c>
      <c r="F569" s="2" t="s">
        <v>26</v>
      </c>
      <c r="G569" s="2" t="s">
        <v>26</v>
      </c>
      <c r="H569" s="2" t="s">
        <v>27</v>
      </c>
      <c r="I569" s="2" t="s">
        <v>28</v>
      </c>
      <c r="J569" s="6"/>
      <c r="K569" s="2" t="s">
        <v>55</v>
      </c>
      <c r="L569" s="2" t="s">
        <v>56</v>
      </c>
      <c r="M569" s="2" t="s">
        <v>55</v>
      </c>
      <c r="N569" s="2"/>
      <c r="O569" s="2"/>
      <c r="P569" s="7">
        <v>36.258194400000001</v>
      </c>
      <c r="Q569" s="6" t="s">
        <v>57</v>
      </c>
      <c r="R569" s="9">
        <v>0</v>
      </c>
      <c r="S569" s="2" t="s">
        <v>2019</v>
      </c>
      <c r="T569" s="9">
        <v>0</v>
      </c>
      <c r="U569" s="9">
        <v>0</v>
      </c>
      <c r="V569" s="9">
        <v>0</v>
      </c>
      <c r="W569" s="9">
        <v>0</v>
      </c>
      <c r="X569" s="9">
        <v>0</v>
      </c>
      <c r="Y569" s="9">
        <v>0</v>
      </c>
      <c r="Z569" s="9">
        <v>0</v>
      </c>
      <c r="AA569" s="9">
        <v>4</v>
      </c>
      <c r="AB569" s="9">
        <v>0</v>
      </c>
      <c r="AC569" s="9">
        <v>0</v>
      </c>
      <c r="AD569" s="9">
        <v>0</v>
      </c>
      <c r="AE569" s="6" t="s">
        <v>57</v>
      </c>
      <c r="AF569" s="6" t="s">
        <v>57</v>
      </c>
      <c r="AG569" s="6" t="s">
        <v>57</v>
      </c>
      <c r="AH569" s="6" t="s">
        <v>57</v>
      </c>
      <c r="AI569" s="6" t="s">
        <v>57</v>
      </c>
      <c r="AJ569" s="6" t="s">
        <v>57</v>
      </c>
      <c r="AK569" s="6" t="s">
        <v>57</v>
      </c>
      <c r="AL569" s="6" t="s">
        <v>57</v>
      </c>
      <c r="AM569" s="6" t="s">
        <v>57</v>
      </c>
      <c r="AN569" s="6" t="s">
        <v>57</v>
      </c>
      <c r="AO569" s="6" t="s">
        <v>57</v>
      </c>
      <c r="AP569" s="6" t="s">
        <v>57</v>
      </c>
      <c r="AQ569" s="9">
        <v>0</v>
      </c>
    </row>
    <row r="570" spans="1:43" ht="15">
      <c r="A570" s="2" t="s">
        <v>2020</v>
      </c>
      <c r="B570" s="5">
        <v>8435147</v>
      </c>
      <c r="C570" s="2" t="s">
        <v>23</v>
      </c>
      <c r="D570" s="2" t="s">
        <v>2021</v>
      </c>
      <c r="E570" s="2" t="s">
        <v>2022</v>
      </c>
      <c r="F570" s="2" t="s">
        <v>26</v>
      </c>
      <c r="G570" s="2" t="s">
        <v>26</v>
      </c>
      <c r="H570" s="2" t="s">
        <v>27</v>
      </c>
      <c r="I570" s="2" t="s">
        <v>28</v>
      </c>
      <c r="J570" s="6"/>
      <c r="K570" s="2" t="s">
        <v>55</v>
      </c>
      <c r="L570" s="2" t="s">
        <v>56</v>
      </c>
      <c r="M570" s="2" t="s">
        <v>55</v>
      </c>
      <c r="N570" s="2"/>
      <c r="O570" s="2"/>
      <c r="P570" s="7">
        <v>9.9115844142531593</v>
      </c>
      <c r="Q570" s="6" t="s">
        <v>57</v>
      </c>
      <c r="R570" s="9">
        <v>0</v>
      </c>
      <c r="S570" s="2"/>
      <c r="T570" s="9">
        <v>0</v>
      </c>
      <c r="U570" s="9">
        <v>0</v>
      </c>
      <c r="V570" s="9">
        <v>0</v>
      </c>
      <c r="W570" s="9">
        <v>0</v>
      </c>
      <c r="X570" s="9">
        <v>0</v>
      </c>
      <c r="Y570" s="9">
        <v>0</v>
      </c>
      <c r="Z570" s="9">
        <v>2756</v>
      </c>
      <c r="AA570" s="9">
        <v>3152</v>
      </c>
      <c r="AB570" s="9">
        <v>0</v>
      </c>
      <c r="AC570" s="9">
        <v>0</v>
      </c>
      <c r="AD570" s="9">
        <v>0</v>
      </c>
      <c r="AE570" s="6" t="s">
        <v>57</v>
      </c>
      <c r="AF570" s="6" t="s">
        <v>57</v>
      </c>
      <c r="AG570" s="6" t="s">
        <v>57</v>
      </c>
      <c r="AH570" s="6" t="s">
        <v>57</v>
      </c>
      <c r="AI570" s="6" t="s">
        <v>57</v>
      </c>
      <c r="AJ570" s="6" t="s">
        <v>57</v>
      </c>
      <c r="AK570" s="6" t="s">
        <v>57</v>
      </c>
      <c r="AL570" s="6" t="s">
        <v>57</v>
      </c>
      <c r="AM570" s="6" t="s">
        <v>57</v>
      </c>
      <c r="AN570" s="6" t="s">
        <v>57</v>
      </c>
      <c r="AO570" s="6" t="s">
        <v>57</v>
      </c>
      <c r="AP570" s="6" t="s">
        <v>57</v>
      </c>
      <c r="AQ570" s="9">
        <v>0</v>
      </c>
    </row>
    <row r="571" spans="1:43" ht="15">
      <c r="A571" s="2" t="s">
        <v>2023</v>
      </c>
      <c r="B571" s="5">
        <v>4917022</v>
      </c>
      <c r="C571" s="2" t="s">
        <v>35</v>
      </c>
      <c r="D571" s="2" t="s">
        <v>2024</v>
      </c>
      <c r="E571" s="2" t="s">
        <v>2025</v>
      </c>
      <c r="F571" s="2" t="s">
        <v>38</v>
      </c>
      <c r="G571" s="2" t="s">
        <v>38</v>
      </c>
      <c r="H571" s="2" t="s">
        <v>39</v>
      </c>
      <c r="I571" s="2" t="s">
        <v>28</v>
      </c>
      <c r="J571" s="6"/>
      <c r="K571" s="2" t="s">
        <v>211</v>
      </c>
      <c r="L571" s="2" t="s">
        <v>30</v>
      </c>
      <c r="M571" s="2" t="s">
        <v>189</v>
      </c>
      <c r="N571" s="2" t="s">
        <v>211</v>
      </c>
      <c r="O571" s="2"/>
      <c r="P571" s="7">
        <v>4.16138997230592</v>
      </c>
      <c r="Q571" s="6" t="s">
        <v>57</v>
      </c>
      <c r="R571" s="9">
        <v>0</v>
      </c>
      <c r="S571" s="2" t="s">
        <v>2026</v>
      </c>
      <c r="T571" s="9">
        <v>0</v>
      </c>
      <c r="U571" s="9">
        <v>0</v>
      </c>
      <c r="V571" s="9">
        <v>0</v>
      </c>
      <c r="W571" s="9">
        <v>0</v>
      </c>
      <c r="X571" s="9">
        <v>0</v>
      </c>
      <c r="Y571" s="9">
        <v>0</v>
      </c>
      <c r="Z571" s="9">
        <v>0</v>
      </c>
      <c r="AA571" s="9">
        <v>0</v>
      </c>
      <c r="AB571" s="9">
        <v>0</v>
      </c>
      <c r="AC571" s="9">
        <v>0</v>
      </c>
      <c r="AD571" s="9">
        <v>0</v>
      </c>
      <c r="AE571" s="7">
        <v>0</v>
      </c>
      <c r="AF571" s="7">
        <v>0</v>
      </c>
      <c r="AG571" s="7">
        <v>0</v>
      </c>
      <c r="AH571" s="7">
        <v>0</v>
      </c>
      <c r="AI571" s="7">
        <v>0</v>
      </c>
      <c r="AJ571" s="7">
        <v>0</v>
      </c>
      <c r="AK571" s="7">
        <v>0</v>
      </c>
      <c r="AL571" s="7">
        <v>0</v>
      </c>
      <c r="AM571" s="7">
        <v>0</v>
      </c>
      <c r="AN571" s="7">
        <v>0</v>
      </c>
      <c r="AO571" s="7">
        <v>0</v>
      </c>
      <c r="AP571" s="7">
        <v>0</v>
      </c>
      <c r="AQ571" s="9">
        <v>0</v>
      </c>
    </row>
    <row r="572" spans="1:43" ht="15">
      <c r="A572" s="2" t="s">
        <v>2027</v>
      </c>
      <c r="B572" s="5">
        <v>106526768</v>
      </c>
      <c r="C572" s="2" t="s">
        <v>23</v>
      </c>
      <c r="D572" s="2" t="s">
        <v>2028</v>
      </c>
      <c r="E572" s="2" t="s">
        <v>2029</v>
      </c>
      <c r="F572" s="2" t="s">
        <v>26</v>
      </c>
      <c r="G572" s="2" t="s">
        <v>26</v>
      </c>
      <c r="H572" s="2" t="s">
        <v>27</v>
      </c>
      <c r="I572" s="2" t="s">
        <v>28</v>
      </c>
      <c r="J572" s="6"/>
      <c r="K572" s="2" t="s">
        <v>55</v>
      </c>
      <c r="L572" s="2" t="s">
        <v>56</v>
      </c>
      <c r="M572" s="2" t="s">
        <v>55</v>
      </c>
      <c r="N572" s="2"/>
      <c r="O572" s="2"/>
      <c r="P572" s="6" t="s">
        <v>57</v>
      </c>
      <c r="Q572" s="6" t="s">
        <v>57</v>
      </c>
      <c r="R572" s="9">
        <v>0</v>
      </c>
      <c r="S572" s="2"/>
      <c r="T572" s="9">
        <v>0</v>
      </c>
      <c r="U572" s="9">
        <v>0</v>
      </c>
      <c r="V572" s="9">
        <v>0</v>
      </c>
      <c r="W572" s="9">
        <v>0</v>
      </c>
      <c r="X572" s="9">
        <v>0</v>
      </c>
      <c r="Y572" s="9">
        <v>7</v>
      </c>
      <c r="Z572" s="9">
        <v>434</v>
      </c>
      <c r="AA572" s="9">
        <v>432</v>
      </c>
      <c r="AB572" s="9">
        <v>0</v>
      </c>
      <c r="AC572" s="9">
        <v>0</v>
      </c>
      <c r="AD572" s="9">
        <v>0</v>
      </c>
      <c r="AE572" s="6" t="s">
        <v>57</v>
      </c>
      <c r="AF572" s="6" t="s">
        <v>57</v>
      </c>
      <c r="AG572" s="6" t="s">
        <v>57</v>
      </c>
      <c r="AH572" s="6" t="s">
        <v>57</v>
      </c>
      <c r="AI572" s="6" t="s">
        <v>57</v>
      </c>
      <c r="AJ572" s="6" t="s">
        <v>57</v>
      </c>
      <c r="AK572" s="6" t="s">
        <v>57</v>
      </c>
      <c r="AL572" s="6" t="s">
        <v>57</v>
      </c>
      <c r="AM572" s="6" t="s">
        <v>57</v>
      </c>
      <c r="AN572" s="6" t="s">
        <v>57</v>
      </c>
      <c r="AO572" s="6" t="s">
        <v>57</v>
      </c>
      <c r="AP572" s="6" t="s">
        <v>57</v>
      </c>
      <c r="AQ572" s="9">
        <v>0</v>
      </c>
    </row>
    <row r="573" spans="1:43" ht="15">
      <c r="A573" s="2" t="s">
        <v>2030</v>
      </c>
      <c r="B573" s="5">
        <v>6736161</v>
      </c>
      <c r="C573" s="2" t="s">
        <v>23</v>
      </c>
      <c r="D573" s="2" t="s">
        <v>2031</v>
      </c>
      <c r="E573" s="2" t="s">
        <v>2032</v>
      </c>
      <c r="F573" s="2" t="s">
        <v>26</v>
      </c>
      <c r="G573" s="2" t="s">
        <v>26</v>
      </c>
      <c r="H573" s="2" t="s">
        <v>27</v>
      </c>
      <c r="I573" s="2" t="s">
        <v>28</v>
      </c>
      <c r="J573" s="6"/>
      <c r="K573" s="2" t="s">
        <v>55</v>
      </c>
      <c r="L573" s="2" t="s">
        <v>56</v>
      </c>
      <c r="M573" s="2" t="s">
        <v>55</v>
      </c>
      <c r="N573" s="2"/>
      <c r="O573" s="2"/>
      <c r="P573" s="7">
        <v>19.324720619154402</v>
      </c>
      <c r="Q573" s="6" t="s">
        <v>57</v>
      </c>
      <c r="R573" s="9">
        <v>0</v>
      </c>
      <c r="S573" s="2"/>
      <c r="T573" s="9">
        <v>0</v>
      </c>
      <c r="U573" s="9">
        <v>0</v>
      </c>
      <c r="V573" s="9">
        <v>0</v>
      </c>
      <c r="W573" s="9">
        <v>0</v>
      </c>
      <c r="X573" s="9">
        <v>0</v>
      </c>
      <c r="Y573" s="9">
        <v>0</v>
      </c>
      <c r="Z573" s="9">
        <v>0</v>
      </c>
      <c r="AA573" s="9">
        <v>23</v>
      </c>
      <c r="AB573" s="9">
        <v>0</v>
      </c>
      <c r="AC573" s="9">
        <v>0</v>
      </c>
      <c r="AD573" s="9">
        <v>0</v>
      </c>
      <c r="AE573" s="6" t="s">
        <v>57</v>
      </c>
      <c r="AF573" s="6" t="s">
        <v>57</v>
      </c>
      <c r="AG573" s="6" t="s">
        <v>57</v>
      </c>
      <c r="AH573" s="6" t="s">
        <v>57</v>
      </c>
      <c r="AI573" s="6" t="s">
        <v>57</v>
      </c>
      <c r="AJ573" s="6" t="s">
        <v>57</v>
      </c>
      <c r="AK573" s="6" t="s">
        <v>57</v>
      </c>
      <c r="AL573" s="6" t="s">
        <v>57</v>
      </c>
      <c r="AM573" s="6" t="s">
        <v>57</v>
      </c>
      <c r="AN573" s="6" t="s">
        <v>57</v>
      </c>
      <c r="AO573" s="6" t="s">
        <v>57</v>
      </c>
      <c r="AP573" s="6" t="s">
        <v>57</v>
      </c>
      <c r="AQ573" s="9">
        <v>0</v>
      </c>
    </row>
    <row r="574" spans="1:43" ht="15">
      <c r="A574" s="2" t="s">
        <v>2033</v>
      </c>
      <c r="B574" s="5">
        <v>5966042</v>
      </c>
      <c r="C574" s="2" t="s">
        <v>23</v>
      </c>
      <c r="D574" s="2" t="s">
        <v>2034</v>
      </c>
      <c r="E574" s="2" t="s">
        <v>2035</v>
      </c>
      <c r="F574" s="2" t="s">
        <v>26</v>
      </c>
      <c r="G574" s="2" t="s">
        <v>26</v>
      </c>
      <c r="H574" s="2" t="s">
        <v>27</v>
      </c>
      <c r="I574" s="2" t="s">
        <v>28</v>
      </c>
      <c r="J574" s="6"/>
      <c r="K574" s="2" t="s">
        <v>55</v>
      </c>
      <c r="L574" s="2" t="s">
        <v>56</v>
      </c>
      <c r="M574" s="2" t="s">
        <v>55</v>
      </c>
      <c r="N574" s="2"/>
      <c r="O574" s="2"/>
      <c r="P574" s="6" t="s">
        <v>57</v>
      </c>
      <c r="Q574" s="6" t="s">
        <v>57</v>
      </c>
      <c r="R574" s="6" t="s">
        <v>57</v>
      </c>
      <c r="S574" s="2" t="s">
        <v>2036</v>
      </c>
      <c r="T574" s="6" t="s">
        <v>57</v>
      </c>
      <c r="U574" s="6" t="s">
        <v>57</v>
      </c>
      <c r="V574" s="6" t="s">
        <v>57</v>
      </c>
      <c r="W574" s="6" t="s">
        <v>57</v>
      </c>
      <c r="X574" s="6" t="s">
        <v>57</v>
      </c>
      <c r="Y574" s="6" t="s">
        <v>57</v>
      </c>
      <c r="Z574" s="6" t="s">
        <v>57</v>
      </c>
      <c r="AA574" s="6" t="s">
        <v>57</v>
      </c>
      <c r="AB574" s="6" t="s">
        <v>57</v>
      </c>
      <c r="AC574" s="6" t="s">
        <v>57</v>
      </c>
      <c r="AD574" s="6" t="s">
        <v>57</v>
      </c>
      <c r="AE574" s="6" t="s">
        <v>57</v>
      </c>
      <c r="AF574" s="6" t="s">
        <v>57</v>
      </c>
      <c r="AG574" s="6" t="s">
        <v>57</v>
      </c>
      <c r="AH574" s="6" t="s">
        <v>57</v>
      </c>
      <c r="AI574" s="6" t="s">
        <v>57</v>
      </c>
      <c r="AJ574" s="6" t="s">
        <v>57</v>
      </c>
      <c r="AK574" s="6" t="s">
        <v>57</v>
      </c>
      <c r="AL574" s="6" t="s">
        <v>57</v>
      </c>
      <c r="AM574" s="6" t="s">
        <v>57</v>
      </c>
      <c r="AN574" s="6" t="s">
        <v>57</v>
      </c>
      <c r="AO574" s="6" t="s">
        <v>57</v>
      </c>
      <c r="AP574" s="6" t="s">
        <v>57</v>
      </c>
      <c r="AQ574" s="6" t="s">
        <v>57</v>
      </c>
    </row>
    <row r="575" spans="1:43" ht="15">
      <c r="A575" s="2" t="s">
        <v>2037</v>
      </c>
      <c r="B575" s="5">
        <v>6036977</v>
      </c>
      <c r="C575" s="2" t="s">
        <v>23</v>
      </c>
      <c r="D575" s="2" t="s">
        <v>2038</v>
      </c>
      <c r="E575" s="2" t="s">
        <v>2039</v>
      </c>
      <c r="F575" s="2" t="s">
        <v>26</v>
      </c>
      <c r="G575" s="2" t="s">
        <v>26</v>
      </c>
      <c r="H575" s="2" t="s">
        <v>27</v>
      </c>
      <c r="I575" s="2" t="s">
        <v>28</v>
      </c>
      <c r="J575" s="6"/>
      <c r="K575" s="2" t="s">
        <v>55</v>
      </c>
      <c r="L575" s="2" t="s">
        <v>56</v>
      </c>
      <c r="M575" s="2" t="s">
        <v>55</v>
      </c>
      <c r="N575" s="2"/>
      <c r="O575" s="2"/>
      <c r="P575" s="6" t="s">
        <v>57</v>
      </c>
      <c r="Q575" s="6" t="s">
        <v>57</v>
      </c>
      <c r="R575" s="6" t="s">
        <v>57</v>
      </c>
      <c r="S575" s="2" t="s">
        <v>2040</v>
      </c>
      <c r="T575" s="6" t="s">
        <v>57</v>
      </c>
      <c r="U575" s="6" t="s">
        <v>57</v>
      </c>
      <c r="V575" s="6" t="s">
        <v>57</v>
      </c>
      <c r="W575" s="6" t="s">
        <v>57</v>
      </c>
      <c r="X575" s="6" t="s">
        <v>57</v>
      </c>
      <c r="Y575" s="6" t="s">
        <v>57</v>
      </c>
      <c r="Z575" s="6" t="s">
        <v>57</v>
      </c>
      <c r="AA575" s="6" t="s">
        <v>57</v>
      </c>
      <c r="AB575" s="6" t="s">
        <v>57</v>
      </c>
      <c r="AC575" s="6" t="s">
        <v>57</v>
      </c>
      <c r="AD575" s="6" t="s">
        <v>57</v>
      </c>
      <c r="AE575" s="6" t="s">
        <v>57</v>
      </c>
      <c r="AF575" s="6" t="s">
        <v>57</v>
      </c>
      <c r="AG575" s="6" t="s">
        <v>57</v>
      </c>
      <c r="AH575" s="6" t="s">
        <v>57</v>
      </c>
      <c r="AI575" s="6" t="s">
        <v>57</v>
      </c>
      <c r="AJ575" s="6" t="s">
        <v>57</v>
      </c>
      <c r="AK575" s="6" t="s">
        <v>57</v>
      </c>
      <c r="AL575" s="6" t="s">
        <v>57</v>
      </c>
      <c r="AM575" s="6" t="s">
        <v>57</v>
      </c>
      <c r="AN575" s="6" t="s">
        <v>57</v>
      </c>
      <c r="AO575" s="6" t="s">
        <v>57</v>
      </c>
      <c r="AP575" s="6" t="s">
        <v>57</v>
      </c>
      <c r="AQ575" s="6" t="s">
        <v>57</v>
      </c>
    </row>
    <row r="576" spans="1:43" ht="15">
      <c r="A576" s="2" t="s">
        <v>2041</v>
      </c>
      <c r="B576" s="5">
        <v>6036979</v>
      </c>
      <c r="C576" s="2" t="s">
        <v>23</v>
      </c>
      <c r="D576" s="2" t="s">
        <v>2042</v>
      </c>
      <c r="E576" s="2" t="s">
        <v>2043</v>
      </c>
      <c r="F576" s="2" t="s">
        <v>26</v>
      </c>
      <c r="G576" s="2" t="s">
        <v>26</v>
      </c>
      <c r="H576" s="2" t="s">
        <v>27</v>
      </c>
      <c r="I576" s="2" t="s">
        <v>28</v>
      </c>
      <c r="J576" s="6"/>
      <c r="K576" s="2" t="s">
        <v>55</v>
      </c>
      <c r="L576" s="2" t="s">
        <v>56</v>
      </c>
      <c r="M576" s="2" t="s">
        <v>55</v>
      </c>
      <c r="N576" s="2"/>
      <c r="O576" s="2"/>
      <c r="P576" s="6" t="s">
        <v>57</v>
      </c>
      <c r="Q576" s="6" t="s">
        <v>57</v>
      </c>
      <c r="R576" s="6" t="s">
        <v>57</v>
      </c>
      <c r="S576" s="2" t="s">
        <v>2044</v>
      </c>
      <c r="T576" s="6" t="s">
        <v>57</v>
      </c>
      <c r="U576" s="6" t="s">
        <v>57</v>
      </c>
      <c r="V576" s="6" t="s">
        <v>57</v>
      </c>
      <c r="W576" s="6" t="s">
        <v>57</v>
      </c>
      <c r="X576" s="6" t="s">
        <v>57</v>
      </c>
      <c r="Y576" s="6" t="s">
        <v>57</v>
      </c>
      <c r="Z576" s="6" t="s">
        <v>57</v>
      </c>
      <c r="AA576" s="6" t="s">
        <v>57</v>
      </c>
      <c r="AB576" s="6" t="s">
        <v>57</v>
      </c>
      <c r="AC576" s="6" t="s">
        <v>57</v>
      </c>
      <c r="AD576" s="6" t="s">
        <v>57</v>
      </c>
      <c r="AE576" s="6" t="s">
        <v>57</v>
      </c>
      <c r="AF576" s="6" t="s">
        <v>57</v>
      </c>
      <c r="AG576" s="6" t="s">
        <v>57</v>
      </c>
      <c r="AH576" s="6" t="s">
        <v>57</v>
      </c>
      <c r="AI576" s="6" t="s">
        <v>57</v>
      </c>
      <c r="AJ576" s="6" t="s">
        <v>57</v>
      </c>
      <c r="AK576" s="6" t="s">
        <v>57</v>
      </c>
      <c r="AL576" s="6" t="s">
        <v>57</v>
      </c>
      <c r="AM576" s="6" t="s">
        <v>57</v>
      </c>
      <c r="AN576" s="6" t="s">
        <v>57</v>
      </c>
      <c r="AO576" s="6" t="s">
        <v>57</v>
      </c>
      <c r="AP576" s="6" t="s">
        <v>57</v>
      </c>
      <c r="AQ576" s="6" t="s">
        <v>57</v>
      </c>
    </row>
    <row r="577" spans="1:43" ht="15">
      <c r="A577" s="2" t="s">
        <v>2045</v>
      </c>
      <c r="B577" s="5">
        <v>5967729</v>
      </c>
      <c r="C577" s="2" t="s">
        <v>23</v>
      </c>
      <c r="D577" s="2" t="s">
        <v>2046</v>
      </c>
      <c r="E577" s="2" t="s">
        <v>2047</v>
      </c>
      <c r="F577" s="2" t="s">
        <v>26</v>
      </c>
      <c r="G577" s="2" t="s">
        <v>26</v>
      </c>
      <c r="H577" s="2" t="s">
        <v>27</v>
      </c>
      <c r="I577" s="2" t="s">
        <v>28</v>
      </c>
      <c r="J577" s="6"/>
      <c r="K577" s="2" t="s">
        <v>55</v>
      </c>
      <c r="L577" s="2" t="s">
        <v>56</v>
      </c>
      <c r="M577" s="2" t="s">
        <v>55</v>
      </c>
      <c r="N577" s="2"/>
      <c r="O577" s="2"/>
      <c r="P577" s="6" t="s">
        <v>57</v>
      </c>
      <c r="Q577" s="6" t="s">
        <v>57</v>
      </c>
      <c r="R577" s="6" t="s">
        <v>57</v>
      </c>
      <c r="S577" s="2" t="s">
        <v>2048</v>
      </c>
      <c r="T577" s="6" t="s">
        <v>57</v>
      </c>
      <c r="U577" s="6" t="s">
        <v>57</v>
      </c>
      <c r="V577" s="6" t="s">
        <v>57</v>
      </c>
      <c r="W577" s="6" t="s">
        <v>57</v>
      </c>
      <c r="X577" s="6" t="s">
        <v>57</v>
      </c>
      <c r="Y577" s="6" t="s">
        <v>57</v>
      </c>
      <c r="Z577" s="6" t="s">
        <v>57</v>
      </c>
      <c r="AA577" s="6" t="s">
        <v>57</v>
      </c>
      <c r="AB577" s="6" t="s">
        <v>57</v>
      </c>
      <c r="AC577" s="6" t="s">
        <v>57</v>
      </c>
      <c r="AD577" s="6" t="s">
        <v>57</v>
      </c>
      <c r="AE577" s="6" t="s">
        <v>57</v>
      </c>
      <c r="AF577" s="6" t="s">
        <v>57</v>
      </c>
      <c r="AG577" s="6" t="s">
        <v>57</v>
      </c>
      <c r="AH577" s="6" t="s">
        <v>57</v>
      </c>
      <c r="AI577" s="6" t="s">
        <v>57</v>
      </c>
      <c r="AJ577" s="6" t="s">
        <v>57</v>
      </c>
      <c r="AK577" s="6" t="s">
        <v>57</v>
      </c>
      <c r="AL577" s="6" t="s">
        <v>57</v>
      </c>
      <c r="AM577" s="6" t="s">
        <v>57</v>
      </c>
      <c r="AN577" s="6" t="s">
        <v>57</v>
      </c>
      <c r="AO577" s="6" t="s">
        <v>57</v>
      </c>
      <c r="AP577" s="6" t="s">
        <v>57</v>
      </c>
      <c r="AQ577" s="6" t="s">
        <v>57</v>
      </c>
    </row>
    <row r="578" spans="1:43" ht="15">
      <c r="A578" s="2" t="s">
        <v>2049</v>
      </c>
      <c r="B578" s="5">
        <v>6019840</v>
      </c>
      <c r="C578" s="2" t="s">
        <v>23</v>
      </c>
      <c r="D578" s="2" t="s">
        <v>2050</v>
      </c>
      <c r="E578" s="2" t="s">
        <v>2051</v>
      </c>
      <c r="F578" s="2" t="s">
        <v>26</v>
      </c>
      <c r="G578" s="2" t="s">
        <v>26</v>
      </c>
      <c r="H578" s="2" t="s">
        <v>27</v>
      </c>
      <c r="I578" s="2" t="s">
        <v>28</v>
      </c>
      <c r="J578" s="6"/>
      <c r="K578" s="2" t="s">
        <v>55</v>
      </c>
      <c r="L578" s="2" t="s">
        <v>56</v>
      </c>
      <c r="M578" s="2" t="s">
        <v>55</v>
      </c>
      <c r="N578" s="2"/>
      <c r="O578" s="2"/>
      <c r="P578" s="6" t="s">
        <v>57</v>
      </c>
      <c r="Q578" s="6" t="s">
        <v>57</v>
      </c>
      <c r="R578" s="6" t="s">
        <v>57</v>
      </c>
      <c r="S578" s="2" t="s">
        <v>2052</v>
      </c>
      <c r="T578" s="6" t="s">
        <v>57</v>
      </c>
      <c r="U578" s="6" t="s">
        <v>57</v>
      </c>
      <c r="V578" s="6" t="s">
        <v>57</v>
      </c>
      <c r="W578" s="6" t="s">
        <v>57</v>
      </c>
      <c r="X578" s="6" t="s">
        <v>57</v>
      </c>
      <c r="Y578" s="6" t="s">
        <v>57</v>
      </c>
      <c r="Z578" s="6" t="s">
        <v>57</v>
      </c>
      <c r="AA578" s="6" t="s">
        <v>57</v>
      </c>
      <c r="AB578" s="6" t="s">
        <v>57</v>
      </c>
      <c r="AC578" s="6" t="s">
        <v>57</v>
      </c>
      <c r="AD578" s="6" t="s">
        <v>57</v>
      </c>
      <c r="AE578" s="6" t="s">
        <v>57</v>
      </c>
      <c r="AF578" s="6" t="s">
        <v>57</v>
      </c>
      <c r="AG578" s="6" t="s">
        <v>57</v>
      </c>
      <c r="AH578" s="6" t="s">
        <v>57</v>
      </c>
      <c r="AI578" s="6" t="s">
        <v>57</v>
      </c>
      <c r="AJ578" s="6" t="s">
        <v>57</v>
      </c>
      <c r="AK578" s="6" t="s">
        <v>57</v>
      </c>
      <c r="AL578" s="6" t="s">
        <v>57</v>
      </c>
      <c r="AM578" s="6" t="s">
        <v>57</v>
      </c>
      <c r="AN578" s="6" t="s">
        <v>57</v>
      </c>
      <c r="AO578" s="6" t="s">
        <v>57</v>
      </c>
      <c r="AP578" s="6" t="s">
        <v>57</v>
      </c>
      <c r="AQ578" s="6" t="s">
        <v>57</v>
      </c>
    </row>
    <row r="579" spans="1:43" ht="15">
      <c r="A579" s="2" t="s">
        <v>2053</v>
      </c>
      <c r="B579" s="5">
        <v>5965321</v>
      </c>
      <c r="C579" s="2" t="s">
        <v>23</v>
      </c>
      <c r="D579" s="2" t="s">
        <v>2054</v>
      </c>
      <c r="E579" s="2" t="s">
        <v>2055</v>
      </c>
      <c r="F579" s="2" t="s">
        <v>26</v>
      </c>
      <c r="G579" s="2" t="s">
        <v>26</v>
      </c>
      <c r="H579" s="2" t="s">
        <v>27</v>
      </c>
      <c r="I579" s="2" t="s">
        <v>28</v>
      </c>
      <c r="J579" s="6"/>
      <c r="K579" s="2" t="s">
        <v>55</v>
      </c>
      <c r="L579" s="2" t="s">
        <v>56</v>
      </c>
      <c r="M579" s="2" t="s">
        <v>55</v>
      </c>
      <c r="N579" s="2"/>
      <c r="O579" s="2"/>
      <c r="P579" s="6" t="s">
        <v>57</v>
      </c>
      <c r="Q579" s="6" t="s">
        <v>57</v>
      </c>
      <c r="R579" s="6" t="s">
        <v>57</v>
      </c>
      <c r="S579" s="2" t="s">
        <v>2056</v>
      </c>
      <c r="T579" s="6" t="s">
        <v>57</v>
      </c>
      <c r="U579" s="6" t="s">
        <v>57</v>
      </c>
      <c r="V579" s="6" t="s">
        <v>57</v>
      </c>
      <c r="W579" s="6" t="s">
        <v>57</v>
      </c>
      <c r="X579" s="6" t="s">
        <v>57</v>
      </c>
      <c r="Y579" s="6" t="s">
        <v>57</v>
      </c>
      <c r="Z579" s="6" t="s">
        <v>57</v>
      </c>
      <c r="AA579" s="6" t="s">
        <v>57</v>
      </c>
      <c r="AB579" s="6" t="s">
        <v>57</v>
      </c>
      <c r="AC579" s="6" t="s">
        <v>57</v>
      </c>
      <c r="AD579" s="6" t="s">
        <v>57</v>
      </c>
      <c r="AE579" s="6" t="s">
        <v>57</v>
      </c>
      <c r="AF579" s="6" t="s">
        <v>57</v>
      </c>
      <c r="AG579" s="6" t="s">
        <v>57</v>
      </c>
      <c r="AH579" s="6" t="s">
        <v>57</v>
      </c>
      <c r="AI579" s="6" t="s">
        <v>57</v>
      </c>
      <c r="AJ579" s="6" t="s">
        <v>57</v>
      </c>
      <c r="AK579" s="6" t="s">
        <v>57</v>
      </c>
      <c r="AL579" s="6" t="s">
        <v>57</v>
      </c>
      <c r="AM579" s="6" t="s">
        <v>57</v>
      </c>
      <c r="AN579" s="6" t="s">
        <v>57</v>
      </c>
      <c r="AO579" s="6" t="s">
        <v>57</v>
      </c>
      <c r="AP579" s="6" t="s">
        <v>57</v>
      </c>
      <c r="AQ579" s="6" t="s">
        <v>57</v>
      </c>
    </row>
    <row r="580" spans="1:43" ht="15">
      <c r="A580" s="2" t="s">
        <v>2057</v>
      </c>
      <c r="B580" s="5">
        <v>6019715</v>
      </c>
      <c r="C580" s="2" t="s">
        <v>23</v>
      </c>
      <c r="D580" s="2" t="s">
        <v>2058</v>
      </c>
      <c r="E580" s="2" t="s">
        <v>2059</v>
      </c>
      <c r="F580" s="2" t="s">
        <v>26</v>
      </c>
      <c r="G580" s="2" t="s">
        <v>26</v>
      </c>
      <c r="H580" s="2" t="s">
        <v>27</v>
      </c>
      <c r="I580" s="2" t="s">
        <v>28</v>
      </c>
      <c r="J580" s="6"/>
      <c r="K580" s="2" t="s">
        <v>55</v>
      </c>
      <c r="L580" s="2" t="s">
        <v>56</v>
      </c>
      <c r="M580" s="2" t="s">
        <v>55</v>
      </c>
      <c r="N580" s="2"/>
      <c r="O580" s="2"/>
      <c r="P580" s="6" t="s">
        <v>57</v>
      </c>
      <c r="Q580" s="6" t="s">
        <v>57</v>
      </c>
      <c r="R580" s="6" t="s">
        <v>57</v>
      </c>
      <c r="S580" s="2" t="s">
        <v>2060</v>
      </c>
      <c r="T580" s="6" t="s">
        <v>57</v>
      </c>
      <c r="U580" s="6" t="s">
        <v>57</v>
      </c>
      <c r="V580" s="6" t="s">
        <v>57</v>
      </c>
      <c r="W580" s="6" t="s">
        <v>57</v>
      </c>
      <c r="X580" s="6" t="s">
        <v>57</v>
      </c>
      <c r="Y580" s="6" t="s">
        <v>57</v>
      </c>
      <c r="Z580" s="6" t="s">
        <v>57</v>
      </c>
      <c r="AA580" s="6" t="s">
        <v>57</v>
      </c>
      <c r="AB580" s="6" t="s">
        <v>57</v>
      </c>
      <c r="AC580" s="6" t="s">
        <v>57</v>
      </c>
      <c r="AD580" s="6" t="s">
        <v>57</v>
      </c>
      <c r="AE580" s="6" t="s">
        <v>57</v>
      </c>
      <c r="AF580" s="6" t="s">
        <v>57</v>
      </c>
      <c r="AG580" s="6" t="s">
        <v>57</v>
      </c>
      <c r="AH580" s="6" t="s">
        <v>57</v>
      </c>
      <c r="AI580" s="6" t="s">
        <v>57</v>
      </c>
      <c r="AJ580" s="6" t="s">
        <v>57</v>
      </c>
      <c r="AK580" s="6" t="s">
        <v>57</v>
      </c>
      <c r="AL580" s="6" t="s">
        <v>57</v>
      </c>
      <c r="AM580" s="6" t="s">
        <v>57</v>
      </c>
      <c r="AN580" s="6" t="s">
        <v>57</v>
      </c>
      <c r="AO580" s="6" t="s">
        <v>57</v>
      </c>
      <c r="AP580" s="6" t="s">
        <v>57</v>
      </c>
      <c r="AQ580" s="6" t="s">
        <v>57</v>
      </c>
    </row>
    <row r="581" spans="1:43" ht="15">
      <c r="A581" s="2" t="s">
        <v>2061</v>
      </c>
      <c r="B581" s="5">
        <v>6036976</v>
      </c>
      <c r="C581" s="2" t="s">
        <v>23</v>
      </c>
      <c r="D581" s="2" t="s">
        <v>2062</v>
      </c>
      <c r="E581" s="2" t="s">
        <v>2063</v>
      </c>
      <c r="F581" s="2" t="s">
        <v>26</v>
      </c>
      <c r="G581" s="2" t="s">
        <v>26</v>
      </c>
      <c r="H581" s="2" t="s">
        <v>27</v>
      </c>
      <c r="I581" s="2" t="s">
        <v>28</v>
      </c>
      <c r="J581" s="6"/>
      <c r="K581" s="2" t="s">
        <v>55</v>
      </c>
      <c r="L581" s="2" t="s">
        <v>56</v>
      </c>
      <c r="M581" s="2" t="s">
        <v>55</v>
      </c>
      <c r="N581" s="2"/>
      <c r="O581" s="2"/>
      <c r="P581" s="6" t="s">
        <v>57</v>
      </c>
      <c r="Q581" s="6" t="s">
        <v>57</v>
      </c>
      <c r="R581" s="6" t="s">
        <v>57</v>
      </c>
      <c r="S581" s="2"/>
      <c r="T581" s="6" t="s">
        <v>57</v>
      </c>
      <c r="U581" s="6" t="s">
        <v>57</v>
      </c>
      <c r="V581" s="6" t="s">
        <v>57</v>
      </c>
      <c r="W581" s="6" t="s">
        <v>57</v>
      </c>
      <c r="X581" s="6" t="s">
        <v>57</v>
      </c>
      <c r="Y581" s="6" t="s">
        <v>57</v>
      </c>
      <c r="Z581" s="6" t="s">
        <v>57</v>
      </c>
      <c r="AA581" s="6" t="s">
        <v>57</v>
      </c>
      <c r="AB581" s="6" t="s">
        <v>57</v>
      </c>
      <c r="AC581" s="6" t="s">
        <v>57</v>
      </c>
      <c r="AD581" s="6" t="s">
        <v>57</v>
      </c>
      <c r="AE581" s="6" t="s">
        <v>57</v>
      </c>
      <c r="AF581" s="6" t="s">
        <v>57</v>
      </c>
      <c r="AG581" s="6" t="s">
        <v>57</v>
      </c>
      <c r="AH581" s="6" t="s">
        <v>57</v>
      </c>
      <c r="AI581" s="6" t="s">
        <v>57</v>
      </c>
      <c r="AJ581" s="6" t="s">
        <v>57</v>
      </c>
      <c r="AK581" s="6" t="s">
        <v>57</v>
      </c>
      <c r="AL581" s="6" t="s">
        <v>57</v>
      </c>
      <c r="AM581" s="6" t="s">
        <v>57</v>
      </c>
      <c r="AN581" s="6" t="s">
        <v>57</v>
      </c>
      <c r="AO581" s="6" t="s">
        <v>57</v>
      </c>
      <c r="AP581" s="6" t="s">
        <v>57</v>
      </c>
      <c r="AQ581" s="6" t="s">
        <v>57</v>
      </c>
    </row>
    <row r="582" spans="1:43" ht="15">
      <c r="A582" s="2" t="s">
        <v>2064</v>
      </c>
      <c r="B582" s="5">
        <v>5965324</v>
      </c>
      <c r="C582" s="2" t="s">
        <v>23</v>
      </c>
      <c r="D582" s="2" t="s">
        <v>2065</v>
      </c>
      <c r="E582" s="2" t="s">
        <v>2066</v>
      </c>
      <c r="F582" s="2" t="s">
        <v>26</v>
      </c>
      <c r="G582" s="2" t="s">
        <v>26</v>
      </c>
      <c r="H582" s="2" t="s">
        <v>27</v>
      </c>
      <c r="I582" s="2" t="s">
        <v>28</v>
      </c>
      <c r="J582" s="6"/>
      <c r="K582" s="2" t="s">
        <v>55</v>
      </c>
      <c r="L582" s="2" t="s">
        <v>56</v>
      </c>
      <c r="M582" s="2" t="s">
        <v>55</v>
      </c>
      <c r="N582" s="2"/>
      <c r="O582" s="2"/>
      <c r="P582" s="6" t="s">
        <v>57</v>
      </c>
      <c r="Q582" s="6" t="s">
        <v>57</v>
      </c>
      <c r="R582" s="6" t="s">
        <v>57</v>
      </c>
      <c r="S582" s="2" t="s">
        <v>2067</v>
      </c>
      <c r="T582" s="6" t="s">
        <v>57</v>
      </c>
      <c r="U582" s="6" t="s">
        <v>57</v>
      </c>
      <c r="V582" s="6" t="s">
        <v>57</v>
      </c>
      <c r="W582" s="6" t="s">
        <v>57</v>
      </c>
      <c r="X582" s="6" t="s">
        <v>57</v>
      </c>
      <c r="Y582" s="6" t="s">
        <v>57</v>
      </c>
      <c r="Z582" s="6" t="s">
        <v>57</v>
      </c>
      <c r="AA582" s="6" t="s">
        <v>57</v>
      </c>
      <c r="AB582" s="6" t="s">
        <v>57</v>
      </c>
      <c r="AC582" s="6" t="s">
        <v>57</v>
      </c>
      <c r="AD582" s="6" t="s">
        <v>57</v>
      </c>
      <c r="AE582" s="6" t="s">
        <v>57</v>
      </c>
      <c r="AF582" s="6" t="s">
        <v>57</v>
      </c>
      <c r="AG582" s="6" t="s">
        <v>57</v>
      </c>
      <c r="AH582" s="6" t="s">
        <v>57</v>
      </c>
      <c r="AI582" s="6" t="s">
        <v>57</v>
      </c>
      <c r="AJ582" s="6" t="s">
        <v>57</v>
      </c>
      <c r="AK582" s="6" t="s">
        <v>57</v>
      </c>
      <c r="AL582" s="6" t="s">
        <v>57</v>
      </c>
      <c r="AM582" s="6" t="s">
        <v>57</v>
      </c>
      <c r="AN582" s="6" t="s">
        <v>57</v>
      </c>
      <c r="AO582" s="6" t="s">
        <v>57</v>
      </c>
      <c r="AP582" s="6" t="s">
        <v>57</v>
      </c>
      <c r="AQ582" s="6" t="s">
        <v>57</v>
      </c>
    </row>
    <row r="583" spans="1:43" ht="15">
      <c r="A583" s="2" t="s">
        <v>2068</v>
      </c>
      <c r="B583" s="5">
        <v>6036973</v>
      </c>
      <c r="C583" s="2" t="s">
        <v>23</v>
      </c>
      <c r="D583" s="2" t="s">
        <v>2069</v>
      </c>
      <c r="E583" s="2" t="s">
        <v>2070</v>
      </c>
      <c r="F583" s="2" t="s">
        <v>26</v>
      </c>
      <c r="G583" s="2"/>
      <c r="H583" s="2"/>
      <c r="I583" s="2" t="s">
        <v>28</v>
      </c>
      <c r="J583" s="6"/>
      <c r="K583" s="2" t="s">
        <v>55</v>
      </c>
      <c r="L583" s="2" t="s">
        <v>56</v>
      </c>
      <c r="M583" s="2" t="s">
        <v>55</v>
      </c>
      <c r="N583" s="2"/>
      <c r="O583" s="2"/>
      <c r="P583" s="6" t="s">
        <v>57</v>
      </c>
      <c r="Q583" s="6" t="s">
        <v>57</v>
      </c>
      <c r="R583" s="9">
        <v>0</v>
      </c>
      <c r="S583" s="2" t="s">
        <v>2071</v>
      </c>
      <c r="T583" s="9">
        <v>0</v>
      </c>
      <c r="U583" s="9">
        <v>94330</v>
      </c>
      <c r="V583" s="9">
        <v>57551</v>
      </c>
      <c r="W583" s="9">
        <v>74047</v>
      </c>
      <c r="X583" s="9">
        <v>74047</v>
      </c>
      <c r="Y583" s="9">
        <v>74047</v>
      </c>
      <c r="Z583" s="9">
        <v>74047</v>
      </c>
      <c r="AA583" s="9">
        <v>74047</v>
      </c>
      <c r="AB583" s="9">
        <v>107806</v>
      </c>
      <c r="AC583" s="9">
        <v>60381</v>
      </c>
      <c r="AD583" s="9">
        <v>49995</v>
      </c>
      <c r="AE583" s="6" t="s">
        <v>57</v>
      </c>
      <c r="AF583" s="6" t="s">
        <v>57</v>
      </c>
      <c r="AG583" s="6" t="s">
        <v>57</v>
      </c>
      <c r="AH583" s="6" t="s">
        <v>57</v>
      </c>
      <c r="AI583" s="6" t="s">
        <v>57</v>
      </c>
      <c r="AJ583" s="6" t="s">
        <v>57</v>
      </c>
      <c r="AK583" s="6" t="s">
        <v>57</v>
      </c>
      <c r="AL583" s="6" t="s">
        <v>57</v>
      </c>
      <c r="AM583" s="6" t="s">
        <v>57</v>
      </c>
      <c r="AN583" s="6" t="s">
        <v>57</v>
      </c>
      <c r="AO583" s="6" t="s">
        <v>57</v>
      </c>
      <c r="AP583" s="6" t="s">
        <v>57</v>
      </c>
      <c r="AQ583" s="9">
        <v>0</v>
      </c>
    </row>
    <row r="584" spans="1:43" ht="15">
      <c r="A584" s="2" t="s">
        <v>2072</v>
      </c>
      <c r="B584" s="5">
        <v>19156756</v>
      </c>
      <c r="C584" s="2" t="s">
        <v>23</v>
      </c>
      <c r="D584" s="2" t="s">
        <v>2073</v>
      </c>
      <c r="E584" s="2" t="s">
        <v>2074</v>
      </c>
      <c r="F584" s="2" t="s">
        <v>26</v>
      </c>
      <c r="G584" s="2" t="s">
        <v>26</v>
      </c>
      <c r="H584" s="2" t="s">
        <v>27</v>
      </c>
      <c r="I584" s="2" t="s">
        <v>743</v>
      </c>
      <c r="J584" s="6"/>
      <c r="K584" s="2" t="s">
        <v>55</v>
      </c>
      <c r="L584" s="2" t="s">
        <v>56</v>
      </c>
      <c r="M584" s="2" t="s">
        <v>55</v>
      </c>
      <c r="N584" s="2"/>
      <c r="O584" s="2"/>
      <c r="P584" s="6" t="s">
        <v>57</v>
      </c>
      <c r="Q584" s="6" t="s">
        <v>57</v>
      </c>
      <c r="R584" s="9">
        <v>0</v>
      </c>
      <c r="S584" s="2" t="s">
        <v>2075</v>
      </c>
      <c r="T584" s="9">
        <v>0</v>
      </c>
      <c r="U584" s="9">
        <v>0</v>
      </c>
      <c r="V584" s="9">
        <v>0</v>
      </c>
      <c r="W584" s="9">
        <v>0</v>
      </c>
      <c r="X584" s="9">
        <v>0</v>
      </c>
      <c r="Y584" s="9">
        <v>0</v>
      </c>
      <c r="Z584" s="9">
        <v>11</v>
      </c>
      <c r="AA584" s="9">
        <v>512</v>
      </c>
      <c r="AB584" s="9">
        <v>0</v>
      </c>
      <c r="AC584" s="9">
        <v>0</v>
      </c>
      <c r="AD584" s="9">
        <v>0</v>
      </c>
      <c r="AE584" s="6" t="s">
        <v>57</v>
      </c>
      <c r="AF584" s="6" t="s">
        <v>57</v>
      </c>
      <c r="AG584" s="6" t="s">
        <v>57</v>
      </c>
      <c r="AH584" s="6" t="s">
        <v>57</v>
      </c>
      <c r="AI584" s="6" t="s">
        <v>57</v>
      </c>
      <c r="AJ584" s="6" t="s">
        <v>57</v>
      </c>
      <c r="AK584" s="6" t="s">
        <v>57</v>
      </c>
      <c r="AL584" s="6" t="s">
        <v>57</v>
      </c>
      <c r="AM584" s="6" t="s">
        <v>57</v>
      </c>
      <c r="AN584" s="6" t="s">
        <v>57</v>
      </c>
      <c r="AO584" s="6" t="s">
        <v>57</v>
      </c>
      <c r="AP584" s="6" t="s">
        <v>57</v>
      </c>
      <c r="AQ584" s="9">
        <v>0</v>
      </c>
    </row>
    <row r="585" spans="1:43" ht="15">
      <c r="A585" s="2" t="s">
        <v>2076</v>
      </c>
      <c r="B585" s="5">
        <v>142633332</v>
      </c>
      <c r="C585" s="2" t="s">
        <v>23</v>
      </c>
      <c r="D585" s="2" t="s">
        <v>2077</v>
      </c>
      <c r="E585" s="2" t="s">
        <v>2078</v>
      </c>
      <c r="F585" s="2" t="s">
        <v>26</v>
      </c>
      <c r="G585" s="2"/>
      <c r="H585" s="2"/>
      <c r="I585" s="2" t="s">
        <v>28</v>
      </c>
      <c r="J585" s="6"/>
      <c r="K585" s="2" t="s">
        <v>55</v>
      </c>
      <c r="L585" s="2" t="s">
        <v>56</v>
      </c>
      <c r="M585" s="2" t="s">
        <v>55</v>
      </c>
      <c r="N585" s="2"/>
      <c r="O585" s="2"/>
      <c r="P585" s="6" t="s">
        <v>57</v>
      </c>
      <c r="Q585" s="6" t="s">
        <v>57</v>
      </c>
      <c r="R585" s="9">
        <v>0</v>
      </c>
      <c r="S585" s="2"/>
      <c r="T585" s="9">
        <v>0</v>
      </c>
      <c r="U585" s="9">
        <v>0</v>
      </c>
      <c r="V585" s="9">
        <v>0</v>
      </c>
      <c r="W585" s="9">
        <v>140645</v>
      </c>
      <c r="X585" s="9">
        <v>140645</v>
      </c>
      <c r="Y585" s="9">
        <v>140645</v>
      </c>
      <c r="Z585" s="9">
        <v>140645</v>
      </c>
      <c r="AA585" s="9">
        <v>140645</v>
      </c>
      <c r="AB585" s="9">
        <v>0</v>
      </c>
      <c r="AC585" s="9">
        <v>0</v>
      </c>
      <c r="AD585" s="9">
        <v>43137</v>
      </c>
      <c r="AE585" s="6" t="s">
        <v>57</v>
      </c>
      <c r="AF585" s="6" t="s">
        <v>57</v>
      </c>
      <c r="AG585" s="6" t="s">
        <v>57</v>
      </c>
      <c r="AH585" s="6" t="s">
        <v>57</v>
      </c>
      <c r="AI585" s="6" t="s">
        <v>57</v>
      </c>
      <c r="AJ585" s="6" t="s">
        <v>57</v>
      </c>
      <c r="AK585" s="6" t="s">
        <v>57</v>
      </c>
      <c r="AL585" s="6" t="s">
        <v>57</v>
      </c>
      <c r="AM585" s="6" t="s">
        <v>57</v>
      </c>
      <c r="AN585" s="6" t="s">
        <v>57</v>
      </c>
      <c r="AO585" s="6" t="s">
        <v>57</v>
      </c>
      <c r="AP585" s="6" t="s">
        <v>57</v>
      </c>
      <c r="AQ585" s="9">
        <v>0</v>
      </c>
    </row>
    <row r="586" spans="1:43" ht="15">
      <c r="A586" s="2" t="s">
        <v>2079</v>
      </c>
      <c r="B586" s="5">
        <v>110977659</v>
      </c>
      <c r="C586" s="2" t="s">
        <v>23</v>
      </c>
      <c r="D586" s="2" t="s">
        <v>2080</v>
      </c>
      <c r="E586" s="2" t="s">
        <v>2081</v>
      </c>
      <c r="F586" s="2" t="s">
        <v>26</v>
      </c>
      <c r="G586" s="2" t="s">
        <v>26</v>
      </c>
      <c r="H586" s="2" t="s">
        <v>27</v>
      </c>
      <c r="I586" s="2" t="s">
        <v>28</v>
      </c>
      <c r="J586" s="6"/>
      <c r="K586" s="2" t="s">
        <v>55</v>
      </c>
      <c r="L586" s="2" t="s">
        <v>56</v>
      </c>
      <c r="M586" s="2" t="s">
        <v>55</v>
      </c>
      <c r="N586" s="2"/>
      <c r="O586" s="2"/>
      <c r="P586" s="6" t="s">
        <v>57</v>
      </c>
      <c r="Q586" s="6" t="s">
        <v>57</v>
      </c>
      <c r="R586" s="9">
        <v>0</v>
      </c>
      <c r="S586" s="2"/>
      <c r="T586" s="9">
        <v>0</v>
      </c>
      <c r="U586" s="9">
        <v>0</v>
      </c>
      <c r="V586" s="9">
        <v>0</v>
      </c>
      <c r="W586" s="9">
        <v>0</v>
      </c>
      <c r="X586" s="9">
        <v>0</v>
      </c>
      <c r="Y586" s="9">
        <v>0</v>
      </c>
      <c r="Z586" s="9">
        <v>19190</v>
      </c>
      <c r="AA586" s="9">
        <v>19190</v>
      </c>
      <c r="AB586" s="9">
        <v>0</v>
      </c>
      <c r="AC586" s="9">
        <v>0</v>
      </c>
      <c r="AD586" s="9">
        <v>0</v>
      </c>
      <c r="AE586" s="6" t="s">
        <v>57</v>
      </c>
      <c r="AF586" s="6" t="s">
        <v>57</v>
      </c>
      <c r="AG586" s="6" t="s">
        <v>57</v>
      </c>
      <c r="AH586" s="6" t="s">
        <v>57</v>
      </c>
      <c r="AI586" s="6" t="s">
        <v>57</v>
      </c>
      <c r="AJ586" s="6" t="s">
        <v>57</v>
      </c>
      <c r="AK586" s="6" t="s">
        <v>57</v>
      </c>
      <c r="AL586" s="6" t="s">
        <v>57</v>
      </c>
      <c r="AM586" s="6" t="s">
        <v>57</v>
      </c>
      <c r="AN586" s="6" t="s">
        <v>57</v>
      </c>
      <c r="AO586" s="6" t="s">
        <v>57</v>
      </c>
      <c r="AP586" s="6" t="s">
        <v>57</v>
      </c>
      <c r="AQ586" s="9">
        <v>0</v>
      </c>
    </row>
    <row r="587" spans="1:43" ht="15">
      <c r="A587" s="2" t="s">
        <v>2082</v>
      </c>
      <c r="B587" s="5">
        <v>118318060</v>
      </c>
      <c r="C587" s="2" t="s">
        <v>23</v>
      </c>
      <c r="D587" s="2" t="s">
        <v>2083</v>
      </c>
      <c r="E587" s="2" t="s">
        <v>2084</v>
      </c>
      <c r="F587" s="2" t="s">
        <v>26</v>
      </c>
      <c r="G587" s="2" t="s">
        <v>26</v>
      </c>
      <c r="H587" s="2" t="s">
        <v>27</v>
      </c>
      <c r="I587" s="2" t="s">
        <v>28</v>
      </c>
      <c r="J587" s="6"/>
      <c r="K587" s="2" t="s">
        <v>55</v>
      </c>
      <c r="L587" s="2" t="s">
        <v>56</v>
      </c>
      <c r="M587" s="2" t="s">
        <v>55</v>
      </c>
      <c r="N587" s="2"/>
      <c r="O587" s="2"/>
      <c r="P587" s="6" t="s">
        <v>57</v>
      </c>
      <c r="Q587" s="6" t="s">
        <v>57</v>
      </c>
      <c r="R587" s="9">
        <v>0</v>
      </c>
      <c r="S587" s="2"/>
      <c r="T587" s="9">
        <v>0</v>
      </c>
      <c r="U587" s="9">
        <v>0</v>
      </c>
      <c r="V587" s="9">
        <v>0</v>
      </c>
      <c r="W587" s="9">
        <v>7229</v>
      </c>
      <c r="X587" s="9">
        <v>7200</v>
      </c>
      <c r="Y587" s="9">
        <v>125309</v>
      </c>
      <c r="Z587" s="9">
        <v>125309</v>
      </c>
      <c r="AA587" s="9">
        <v>125309</v>
      </c>
      <c r="AB587" s="9">
        <v>0</v>
      </c>
      <c r="AC587" s="9">
        <v>0</v>
      </c>
      <c r="AD587" s="9">
        <v>0</v>
      </c>
      <c r="AE587" s="6" t="s">
        <v>57</v>
      </c>
      <c r="AF587" s="6" t="s">
        <v>57</v>
      </c>
      <c r="AG587" s="6" t="s">
        <v>57</v>
      </c>
      <c r="AH587" s="6" t="s">
        <v>57</v>
      </c>
      <c r="AI587" s="6" t="s">
        <v>57</v>
      </c>
      <c r="AJ587" s="6" t="s">
        <v>57</v>
      </c>
      <c r="AK587" s="6" t="s">
        <v>57</v>
      </c>
      <c r="AL587" s="6" t="s">
        <v>57</v>
      </c>
      <c r="AM587" s="6" t="s">
        <v>57</v>
      </c>
      <c r="AN587" s="6" t="s">
        <v>57</v>
      </c>
      <c r="AO587" s="6" t="s">
        <v>57</v>
      </c>
      <c r="AP587" s="6" t="s">
        <v>57</v>
      </c>
      <c r="AQ587" s="9">
        <v>0</v>
      </c>
    </row>
    <row r="588" spans="1:43" ht="15">
      <c r="A588" s="2" t="s">
        <v>2085</v>
      </c>
      <c r="B588" s="5">
        <v>107541225</v>
      </c>
      <c r="C588" s="2" t="s">
        <v>23</v>
      </c>
      <c r="D588" s="2" t="s">
        <v>2086</v>
      </c>
      <c r="E588" s="2" t="s">
        <v>2087</v>
      </c>
      <c r="F588" s="2" t="s">
        <v>26</v>
      </c>
      <c r="G588" s="2"/>
      <c r="H588" s="2"/>
      <c r="I588" s="2" t="s">
        <v>28</v>
      </c>
      <c r="J588" s="6"/>
      <c r="K588" s="2" t="s">
        <v>55</v>
      </c>
      <c r="L588" s="2" t="s">
        <v>56</v>
      </c>
      <c r="M588" s="2" t="s">
        <v>55</v>
      </c>
      <c r="N588" s="2"/>
      <c r="O588" s="2"/>
      <c r="P588" s="6" t="s">
        <v>57</v>
      </c>
      <c r="Q588" s="6" t="s">
        <v>57</v>
      </c>
      <c r="R588" s="6" t="s">
        <v>57</v>
      </c>
      <c r="S588" s="2"/>
      <c r="T588" s="6" t="s">
        <v>57</v>
      </c>
      <c r="U588" s="6" t="s">
        <v>57</v>
      </c>
      <c r="V588" s="6" t="s">
        <v>57</v>
      </c>
      <c r="W588" s="6" t="s">
        <v>57</v>
      </c>
      <c r="X588" s="6" t="s">
        <v>57</v>
      </c>
      <c r="Y588" s="6" t="s">
        <v>57</v>
      </c>
      <c r="Z588" s="6" t="s">
        <v>57</v>
      </c>
      <c r="AA588" s="6" t="s">
        <v>57</v>
      </c>
      <c r="AB588" s="6" t="s">
        <v>57</v>
      </c>
      <c r="AC588" s="6" t="s">
        <v>57</v>
      </c>
      <c r="AD588" s="6" t="s">
        <v>57</v>
      </c>
      <c r="AE588" s="6" t="s">
        <v>57</v>
      </c>
      <c r="AF588" s="6" t="s">
        <v>57</v>
      </c>
      <c r="AG588" s="6" t="s">
        <v>57</v>
      </c>
      <c r="AH588" s="6" t="s">
        <v>57</v>
      </c>
      <c r="AI588" s="6" t="s">
        <v>57</v>
      </c>
      <c r="AJ588" s="6" t="s">
        <v>57</v>
      </c>
      <c r="AK588" s="6" t="s">
        <v>57</v>
      </c>
      <c r="AL588" s="6" t="s">
        <v>57</v>
      </c>
      <c r="AM588" s="6" t="s">
        <v>57</v>
      </c>
      <c r="AN588" s="6" t="s">
        <v>57</v>
      </c>
      <c r="AO588" s="6" t="s">
        <v>57</v>
      </c>
      <c r="AP588" s="6" t="s">
        <v>57</v>
      </c>
      <c r="AQ588" s="6" t="s">
        <v>57</v>
      </c>
    </row>
    <row r="589" spans="1:43" ht="15">
      <c r="A589" s="2" t="s">
        <v>2088</v>
      </c>
      <c r="B589" s="5">
        <v>6166620</v>
      </c>
      <c r="C589" s="2" t="s">
        <v>23</v>
      </c>
      <c r="D589" s="2" t="s">
        <v>2089</v>
      </c>
      <c r="E589" s="2" t="s">
        <v>2090</v>
      </c>
      <c r="F589" s="2" t="s">
        <v>26</v>
      </c>
      <c r="G589" s="2" t="s">
        <v>26</v>
      </c>
      <c r="H589" s="2" t="s">
        <v>27</v>
      </c>
      <c r="I589" s="2" t="s">
        <v>28</v>
      </c>
      <c r="J589" s="6"/>
      <c r="K589" s="2" t="s">
        <v>55</v>
      </c>
      <c r="L589" s="2" t="s">
        <v>56</v>
      </c>
      <c r="M589" s="2" t="s">
        <v>55</v>
      </c>
      <c r="N589" s="2"/>
      <c r="O589" s="2"/>
      <c r="P589" s="6" t="s">
        <v>57</v>
      </c>
      <c r="Q589" s="6" t="s">
        <v>57</v>
      </c>
      <c r="R589" s="9">
        <v>24270</v>
      </c>
      <c r="S589" s="2" t="s">
        <v>2091</v>
      </c>
      <c r="T589" s="9">
        <v>9037</v>
      </c>
      <c r="U589" s="9">
        <v>4845</v>
      </c>
      <c r="V589" s="9">
        <v>8215</v>
      </c>
      <c r="W589" s="9">
        <v>18176</v>
      </c>
      <c r="X589" s="9">
        <v>18103</v>
      </c>
      <c r="Y589" s="9">
        <v>13848</v>
      </c>
      <c r="Z589" s="9">
        <v>9240</v>
      </c>
      <c r="AA589" s="9">
        <v>5637</v>
      </c>
      <c r="AB589" s="9">
        <v>5537</v>
      </c>
      <c r="AC589" s="9">
        <v>8619</v>
      </c>
      <c r="AD589" s="9">
        <v>20888</v>
      </c>
      <c r="AE589" s="6" t="s">
        <v>57</v>
      </c>
      <c r="AF589" s="6" t="s">
        <v>57</v>
      </c>
      <c r="AG589" s="6" t="s">
        <v>57</v>
      </c>
      <c r="AH589" s="6" t="s">
        <v>57</v>
      </c>
      <c r="AI589" s="6" t="s">
        <v>57</v>
      </c>
      <c r="AJ589" s="6" t="s">
        <v>57</v>
      </c>
      <c r="AK589" s="6" t="s">
        <v>57</v>
      </c>
      <c r="AL589" s="6" t="s">
        <v>57</v>
      </c>
      <c r="AM589" s="6" t="s">
        <v>57</v>
      </c>
      <c r="AN589" s="6" t="s">
        <v>57</v>
      </c>
      <c r="AO589" s="6" t="s">
        <v>57</v>
      </c>
      <c r="AP589" s="6" t="s">
        <v>57</v>
      </c>
      <c r="AQ589" s="9">
        <v>0</v>
      </c>
    </row>
    <row r="590" spans="1:43" ht="15">
      <c r="A590" s="2" t="s">
        <v>2092</v>
      </c>
      <c r="B590" s="5">
        <v>5736313</v>
      </c>
      <c r="C590" s="2" t="s">
        <v>23</v>
      </c>
      <c r="D590" s="2" t="s">
        <v>2093</v>
      </c>
      <c r="E590" s="2" t="s">
        <v>2094</v>
      </c>
      <c r="F590" s="2" t="s">
        <v>26</v>
      </c>
      <c r="G590" s="2"/>
      <c r="H590" s="2"/>
      <c r="I590" s="2" t="s">
        <v>28</v>
      </c>
      <c r="J590" s="6"/>
      <c r="K590" s="2" t="s">
        <v>55</v>
      </c>
      <c r="L590" s="2" t="s">
        <v>56</v>
      </c>
      <c r="M590" s="2" t="s">
        <v>55</v>
      </c>
      <c r="N590" s="2"/>
      <c r="O590" s="2"/>
      <c r="P590" s="6" t="s">
        <v>57</v>
      </c>
      <c r="Q590" s="6" t="s">
        <v>57</v>
      </c>
      <c r="R590" s="9">
        <v>0</v>
      </c>
      <c r="S590" s="2"/>
      <c r="T590" s="9">
        <v>0</v>
      </c>
      <c r="U590" s="9">
        <v>0</v>
      </c>
      <c r="V590" s="9">
        <v>15</v>
      </c>
      <c r="W590" s="9">
        <v>23</v>
      </c>
      <c r="X590" s="9">
        <v>23</v>
      </c>
      <c r="Y590" s="9">
        <v>120</v>
      </c>
      <c r="Z590" s="9">
        <v>175</v>
      </c>
      <c r="AA590" s="9">
        <v>332</v>
      </c>
      <c r="AB590" s="9">
        <v>0</v>
      </c>
      <c r="AC590" s="9">
        <v>16</v>
      </c>
      <c r="AD590" s="9">
        <v>32</v>
      </c>
      <c r="AE590" s="6" t="s">
        <v>57</v>
      </c>
      <c r="AF590" s="6" t="s">
        <v>57</v>
      </c>
      <c r="AG590" s="6" t="s">
        <v>57</v>
      </c>
      <c r="AH590" s="6" t="s">
        <v>57</v>
      </c>
      <c r="AI590" s="6" t="s">
        <v>57</v>
      </c>
      <c r="AJ590" s="6" t="s">
        <v>57</v>
      </c>
      <c r="AK590" s="6" t="s">
        <v>57</v>
      </c>
      <c r="AL590" s="6" t="s">
        <v>57</v>
      </c>
      <c r="AM590" s="6" t="s">
        <v>57</v>
      </c>
      <c r="AN590" s="6" t="s">
        <v>57</v>
      </c>
      <c r="AO590" s="6" t="s">
        <v>57</v>
      </c>
      <c r="AP590" s="6" t="s">
        <v>57</v>
      </c>
      <c r="AQ590" s="9">
        <v>0</v>
      </c>
    </row>
    <row r="591" spans="1:43" ht="15">
      <c r="A591" s="2" t="s">
        <v>2095</v>
      </c>
      <c r="B591" s="5">
        <v>6151849</v>
      </c>
      <c r="C591" s="2" t="s">
        <v>23</v>
      </c>
      <c r="D591" s="2" t="s">
        <v>2096</v>
      </c>
      <c r="E591" s="2" t="s">
        <v>2097</v>
      </c>
      <c r="F591" s="2" t="s">
        <v>26</v>
      </c>
      <c r="G591" s="2" t="s">
        <v>26</v>
      </c>
      <c r="H591" s="2" t="s">
        <v>27</v>
      </c>
      <c r="I591" s="2" t="s">
        <v>28</v>
      </c>
      <c r="J591" s="6"/>
      <c r="K591" s="2" t="s">
        <v>55</v>
      </c>
      <c r="L591" s="2" t="s">
        <v>56</v>
      </c>
      <c r="M591" s="2" t="s">
        <v>55</v>
      </c>
      <c r="N591" s="2"/>
      <c r="O591" s="2"/>
      <c r="P591" s="6" t="s">
        <v>57</v>
      </c>
      <c r="Q591" s="6" t="s">
        <v>57</v>
      </c>
      <c r="R591" s="9">
        <v>0</v>
      </c>
      <c r="S591" s="2"/>
      <c r="T591" s="9">
        <v>0</v>
      </c>
      <c r="U591" s="9">
        <v>0</v>
      </c>
      <c r="V591" s="9">
        <v>402</v>
      </c>
      <c r="W591" s="9">
        <v>230</v>
      </c>
      <c r="X591" s="9">
        <v>229</v>
      </c>
      <c r="Y591" s="9">
        <v>115</v>
      </c>
      <c r="Z591" s="9">
        <v>431</v>
      </c>
      <c r="AA591" s="9">
        <v>270</v>
      </c>
      <c r="AB591" s="9">
        <v>0</v>
      </c>
      <c r="AC591" s="9">
        <v>422</v>
      </c>
      <c r="AD591" s="9">
        <v>461</v>
      </c>
      <c r="AE591" s="6" t="s">
        <v>57</v>
      </c>
      <c r="AF591" s="6" t="s">
        <v>57</v>
      </c>
      <c r="AG591" s="6" t="s">
        <v>57</v>
      </c>
      <c r="AH591" s="6" t="s">
        <v>57</v>
      </c>
      <c r="AI591" s="6" t="s">
        <v>57</v>
      </c>
      <c r="AJ591" s="6" t="s">
        <v>57</v>
      </c>
      <c r="AK591" s="6" t="s">
        <v>57</v>
      </c>
      <c r="AL591" s="6" t="s">
        <v>57</v>
      </c>
      <c r="AM591" s="6" t="s">
        <v>57</v>
      </c>
      <c r="AN591" s="6" t="s">
        <v>57</v>
      </c>
      <c r="AO591" s="6" t="s">
        <v>57</v>
      </c>
      <c r="AP591" s="6" t="s">
        <v>57</v>
      </c>
      <c r="AQ591" s="9">
        <v>0</v>
      </c>
    </row>
    <row r="592" spans="1:43" ht="15">
      <c r="A592" s="2" t="s">
        <v>2098</v>
      </c>
      <c r="B592" s="5">
        <v>109987482</v>
      </c>
      <c r="C592" s="2" t="s">
        <v>23</v>
      </c>
      <c r="D592" s="2" t="s">
        <v>2099</v>
      </c>
      <c r="E592" s="2" t="s">
        <v>2100</v>
      </c>
      <c r="F592" s="2" t="s">
        <v>26</v>
      </c>
      <c r="G592" s="2" t="s">
        <v>26</v>
      </c>
      <c r="H592" s="2" t="s">
        <v>27</v>
      </c>
      <c r="I592" s="2" t="s">
        <v>28</v>
      </c>
      <c r="J592" s="6"/>
      <c r="K592" s="2" t="s">
        <v>55</v>
      </c>
      <c r="L592" s="2" t="s">
        <v>56</v>
      </c>
      <c r="M592" s="2" t="s">
        <v>55</v>
      </c>
      <c r="N592" s="2"/>
      <c r="O592" s="2"/>
      <c r="P592" s="6" t="s">
        <v>57</v>
      </c>
      <c r="Q592" s="6" t="s">
        <v>57</v>
      </c>
      <c r="R592" s="9">
        <v>0</v>
      </c>
      <c r="S592" s="2"/>
      <c r="T592" s="9">
        <v>0</v>
      </c>
      <c r="U592" s="9">
        <v>0</v>
      </c>
      <c r="V592" s="9">
        <v>0</v>
      </c>
      <c r="W592" s="9">
        <v>90</v>
      </c>
      <c r="X592" s="9">
        <v>89</v>
      </c>
      <c r="Y592" s="9">
        <v>159</v>
      </c>
      <c r="Z592" s="9">
        <v>159</v>
      </c>
      <c r="AA592" s="9">
        <v>159</v>
      </c>
      <c r="AB592" s="9">
        <v>0</v>
      </c>
      <c r="AC592" s="9">
        <v>0</v>
      </c>
      <c r="AD592" s="9">
        <v>163</v>
      </c>
      <c r="AE592" s="6" t="s">
        <v>57</v>
      </c>
      <c r="AF592" s="6" t="s">
        <v>57</v>
      </c>
      <c r="AG592" s="6" t="s">
        <v>57</v>
      </c>
      <c r="AH592" s="6" t="s">
        <v>57</v>
      </c>
      <c r="AI592" s="6" t="s">
        <v>57</v>
      </c>
      <c r="AJ592" s="6" t="s">
        <v>57</v>
      </c>
      <c r="AK592" s="6" t="s">
        <v>57</v>
      </c>
      <c r="AL592" s="6" t="s">
        <v>57</v>
      </c>
      <c r="AM592" s="6" t="s">
        <v>57</v>
      </c>
      <c r="AN592" s="6" t="s">
        <v>57</v>
      </c>
      <c r="AO592" s="6" t="s">
        <v>57</v>
      </c>
      <c r="AP592" s="6" t="s">
        <v>57</v>
      </c>
      <c r="AQ592" s="9">
        <v>0</v>
      </c>
    </row>
    <row r="593" spans="1:43" ht="15">
      <c r="A593" s="2" t="s">
        <v>2101</v>
      </c>
      <c r="B593" s="5">
        <v>106404920</v>
      </c>
      <c r="C593" s="2" t="s">
        <v>23</v>
      </c>
      <c r="D593" s="2" t="s">
        <v>2102</v>
      </c>
      <c r="E593" s="2" t="s">
        <v>2103</v>
      </c>
      <c r="F593" s="2" t="s">
        <v>26</v>
      </c>
      <c r="G593" s="2" t="s">
        <v>26</v>
      </c>
      <c r="H593" s="2" t="s">
        <v>27</v>
      </c>
      <c r="I593" s="2" t="s">
        <v>28</v>
      </c>
      <c r="J593" s="6"/>
      <c r="K593" s="2" t="s">
        <v>55</v>
      </c>
      <c r="L593" s="2" t="s">
        <v>56</v>
      </c>
      <c r="M593" s="2" t="s">
        <v>55</v>
      </c>
      <c r="N593" s="2"/>
      <c r="O593" s="2"/>
      <c r="P593" s="6" t="s">
        <v>57</v>
      </c>
      <c r="Q593" s="6" t="s">
        <v>57</v>
      </c>
      <c r="R593" s="9">
        <v>0</v>
      </c>
      <c r="S593" s="2"/>
      <c r="T593" s="9">
        <v>0</v>
      </c>
      <c r="U593" s="9">
        <v>0</v>
      </c>
      <c r="V593" s="9">
        <v>0</v>
      </c>
      <c r="W593" s="9">
        <v>0</v>
      </c>
      <c r="X593" s="9">
        <v>0</v>
      </c>
      <c r="Y593" s="9">
        <v>0</v>
      </c>
      <c r="Z593" s="9">
        <v>7715</v>
      </c>
      <c r="AA593" s="9">
        <v>8845</v>
      </c>
      <c r="AB593" s="9">
        <v>0</v>
      </c>
      <c r="AC593" s="9">
        <v>0</v>
      </c>
      <c r="AD593" s="9">
        <v>0</v>
      </c>
      <c r="AE593" s="6" t="s">
        <v>57</v>
      </c>
      <c r="AF593" s="6" t="s">
        <v>57</v>
      </c>
      <c r="AG593" s="6" t="s">
        <v>57</v>
      </c>
      <c r="AH593" s="6" t="s">
        <v>57</v>
      </c>
      <c r="AI593" s="6" t="s">
        <v>57</v>
      </c>
      <c r="AJ593" s="6" t="s">
        <v>57</v>
      </c>
      <c r="AK593" s="6" t="s">
        <v>57</v>
      </c>
      <c r="AL593" s="6" t="s">
        <v>57</v>
      </c>
      <c r="AM593" s="6" t="s">
        <v>57</v>
      </c>
      <c r="AN593" s="6" t="s">
        <v>57</v>
      </c>
      <c r="AO593" s="6" t="s">
        <v>57</v>
      </c>
      <c r="AP593" s="6" t="s">
        <v>57</v>
      </c>
      <c r="AQ593" s="9">
        <v>0</v>
      </c>
    </row>
    <row r="594" spans="1:43" ht="15">
      <c r="A594" s="2" t="s">
        <v>2104</v>
      </c>
      <c r="B594" s="5">
        <v>109768586</v>
      </c>
      <c r="C594" s="2" t="s">
        <v>23</v>
      </c>
      <c r="D594" s="2" t="s">
        <v>2105</v>
      </c>
      <c r="E594" s="2" t="s">
        <v>2106</v>
      </c>
      <c r="F594" s="2" t="s">
        <v>26</v>
      </c>
      <c r="G594" s="2" t="s">
        <v>26</v>
      </c>
      <c r="H594" s="2" t="s">
        <v>27</v>
      </c>
      <c r="I594" s="2" t="s">
        <v>28</v>
      </c>
      <c r="J594" s="6"/>
      <c r="K594" s="2" t="s">
        <v>55</v>
      </c>
      <c r="L594" s="2" t="s">
        <v>56</v>
      </c>
      <c r="M594" s="2" t="s">
        <v>55</v>
      </c>
      <c r="N594" s="2"/>
      <c r="O594" s="2"/>
      <c r="P594" s="6" t="s">
        <v>57</v>
      </c>
      <c r="Q594" s="6" t="s">
        <v>57</v>
      </c>
      <c r="R594" s="6" t="s">
        <v>57</v>
      </c>
      <c r="S594" s="2"/>
      <c r="T594" s="6" t="s">
        <v>57</v>
      </c>
      <c r="U594" s="6" t="s">
        <v>57</v>
      </c>
      <c r="V594" s="6" t="s">
        <v>57</v>
      </c>
      <c r="W594" s="6" t="s">
        <v>57</v>
      </c>
      <c r="X594" s="6" t="s">
        <v>57</v>
      </c>
      <c r="Y594" s="6" t="s">
        <v>57</v>
      </c>
      <c r="Z594" s="6" t="s">
        <v>57</v>
      </c>
      <c r="AA594" s="6" t="s">
        <v>57</v>
      </c>
      <c r="AB594" s="6" t="s">
        <v>57</v>
      </c>
      <c r="AC594" s="6" t="s">
        <v>57</v>
      </c>
      <c r="AD594" s="6" t="s">
        <v>57</v>
      </c>
      <c r="AE594" s="6" t="s">
        <v>57</v>
      </c>
      <c r="AF594" s="6" t="s">
        <v>57</v>
      </c>
      <c r="AG594" s="6" t="s">
        <v>57</v>
      </c>
      <c r="AH594" s="6" t="s">
        <v>57</v>
      </c>
      <c r="AI594" s="6" t="s">
        <v>57</v>
      </c>
      <c r="AJ594" s="6" t="s">
        <v>57</v>
      </c>
      <c r="AK594" s="6" t="s">
        <v>57</v>
      </c>
      <c r="AL594" s="6" t="s">
        <v>57</v>
      </c>
      <c r="AM594" s="6" t="s">
        <v>57</v>
      </c>
      <c r="AN594" s="6" t="s">
        <v>57</v>
      </c>
      <c r="AO594" s="6" t="s">
        <v>57</v>
      </c>
      <c r="AP594" s="6" t="s">
        <v>57</v>
      </c>
      <c r="AQ594" s="6" t="s">
        <v>57</v>
      </c>
    </row>
    <row r="595" spans="1:43" ht="15">
      <c r="A595" s="2" t="s">
        <v>2107</v>
      </c>
      <c r="B595" s="5">
        <v>6140913</v>
      </c>
      <c r="C595" s="2" t="s">
        <v>23</v>
      </c>
      <c r="D595" s="2" t="s">
        <v>2108</v>
      </c>
      <c r="E595" s="2" t="s">
        <v>2109</v>
      </c>
      <c r="F595" s="2" t="s">
        <v>26</v>
      </c>
      <c r="G595" s="2"/>
      <c r="H595" s="2"/>
      <c r="I595" s="2" t="s">
        <v>28</v>
      </c>
      <c r="J595" s="6"/>
      <c r="K595" s="2" t="s">
        <v>55</v>
      </c>
      <c r="L595" s="2" t="s">
        <v>56</v>
      </c>
      <c r="M595" s="2" t="s">
        <v>55</v>
      </c>
      <c r="N595" s="2"/>
      <c r="O595" s="2"/>
      <c r="P595" s="6" t="s">
        <v>57</v>
      </c>
      <c r="Q595" s="6" t="s">
        <v>57</v>
      </c>
      <c r="R595" s="9">
        <v>0</v>
      </c>
      <c r="S595" s="2"/>
      <c r="T595" s="9">
        <v>0</v>
      </c>
      <c r="U595" s="9">
        <v>0</v>
      </c>
      <c r="V595" s="9">
        <v>0</v>
      </c>
      <c r="W595" s="9">
        <v>0</v>
      </c>
      <c r="X595" s="9">
        <v>0</v>
      </c>
      <c r="Y595" s="9">
        <v>0</v>
      </c>
      <c r="Z595" s="9">
        <v>287</v>
      </c>
      <c r="AA595" s="9">
        <v>287</v>
      </c>
      <c r="AB595" s="9">
        <v>0</v>
      </c>
      <c r="AC595" s="9">
        <v>0</v>
      </c>
      <c r="AD595" s="9">
        <v>0</v>
      </c>
      <c r="AE595" s="6" t="s">
        <v>57</v>
      </c>
      <c r="AF595" s="6" t="s">
        <v>57</v>
      </c>
      <c r="AG595" s="6" t="s">
        <v>57</v>
      </c>
      <c r="AH595" s="6" t="s">
        <v>57</v>
      </c>
      <c r="AI595" s="6" t="s">
        <v>57</v>
      </c>
      <c r="AJ595" s="6" t="s">
        <v>57</v>
      </c>
      <c r="AK595" s="6" t="s">
        <v>57</v>
      </c>
      <c r="AL595" s="6" t="s">
        <v>57</v>
      </c>
      <c r="AM595" s="6" t="s">
        <v>57</v>
      </c>
      <c r="AN595" s="6" t="s">
        <v>57</v>
      </c>
      <c r="AO595" s="6" t="s">
        <v>57</v>
      </c>
      <c r="AP595" s="6" t="s">
        <v>57</v>
      </c>
      <c r="AQ595" s="9">
        <v>0</v>
      </c>
    </row>
    <row r="596" spans="1:43" ht="15">
      <c r="A596" s="2" t="s">
        <v>2110</v>
      </c>
      <c r="B596" s="5">
        <v>5957391</v>
      </c>
      <c r="C596" s="2" t="s">
        <v>23</v>
      </c>
      <c r="D596" s="2" t="s">
        <v>2111</v>
      </c>
      <c r="E596" s="2" t="s">
        <v>2112</v>
      </c>
      <c r="F596" s="2" t="s">
        <v>26</v>
      </c>
      <c r="G596" s="2" t="s">
        <v>26</v>
      </c>
      <c r="H596" s="2" t="s">
        <v>27</v>
      </c>
      <c r="I596" s="2" t="s">
        <v>28</v>
      </c>
      <c r="J596" s="6"/>
      <c r="K596" s="2" t="s">
        <v>55</v>
      </c>
      <c r="L596" s="2" t="s">
        <v>56</v>
      </c>
      <c r="M596" s="2" t="s">
        <v>55</v>
      </c>
      <c r="N596" s="2"/>
      <c r="O596" s="2"/>
      <c r="P596" s="6" t="s">
        <v>57</v>
      </c>
      <c r="Q596" s="6" t="s">
        <v>57</v>
      </c>
      <c r="R596" s="9">
        <v>0</v>
      </c>
      <c r="S596" s="2" t="s">
        <v>2113</v>
      </c>
      <c r="T596" s="9">
        <v>0</v>
      </c>
      <c r="U596" s="9">
        <v>0</v>
      </c>
      <c r="V596" s="9">
        <v>0</v>
      </c>
      <c r="W596" s="9">
        <v>0</v>
      </c>
      <c r="X596" s="9">
        <v>0</v>
      </c>
      <c r="Y596" s="9">
        <v>0</v>
      </c>
      <c r="Z596" s="9">
        <v>0</v>
      </c>
      <c r="AA596" s="9">
        <v>0</v>
      </c>
      <c r="AB596" s="9">
        <v>0</v>
      </c>
      <c r="AC596" s="9">
        <v>0</v>
      </c>
      <c r="AD596" s="9">
        <v>0</v>
      </c>
      <c r="AE596" s="6" t="s">
        <v>57</v>
      </c>
      <c r="AF596" s="6" t="s">
        <v>57</v>
      </c>
      <c r="AG596" s="6" t="s">
        <v>57</v>
      </c>
      <c r="AH596" s="6" t="s">
        <v>57</v>
      </c>
      <c r="AI596" s="6" t="s">
        <v>57</v>
      </c>
      <c r="AJ596" s="6" t="s">
        <v>57</v>
      </c>
      <c r="AK596" s="6" t="s">
        <v>57</v>
      </c>
      <c r="AL596" s="6" t="s">
        <v>57</v>
      </c>
      <c r="AM596" s="6" t="s">
        <v>57</v>
      </c>
      <c r="AN596" s="6" t="s">
        <v>57</v>
      </c>
      <c r="AO596" s="6" t="s">
        <v>57</v>
      </c>
      <c r="AP596" s="6" t="s">
        <v>57</v>
      </c>
      <c r="AQ596" s="9">
        <v>0</v>
      </c>
    </row>
    <row r="597" spans="1:43" ht="15">
      <c r="A597" s="2" t="s">
        <v>2114</v>
      </c>
      <c r="B597" s="5">
        <v>110346137</v>
      </c>
      <c r="C597" s="2" t="s">
        <v>23</v>
      </c>
      <c r="D597" s="2" t="s">
        <v>2115</v>
      </c>
      <c r="E597" s="2" t="s">
        <v>2116</v>
      </c>
      <c r="F597" s="2" t="s">
        <v>26</v>
      </c>
      <c r="G597" s="2" t="s">
        <v>26</v>
      </c>
      <c r="H597" s="2" t="s">
        <v>27</v>
      </c>
      <c r="I597" s="2" t="s">
        <v>28</v>
      </c>
      <c r="J597" s="6"/>
      <c r="K597" s="2" t="s">
        <v>55</v>
      </c>
      <c r="L597" s="2" t="s">
        <v>56</v>
      </c>
      <c r="M597" s="2" t="s">
        <v>55</v>
      </c>
      <c r="N597" s="2"/>
      <c r="O597" s="2"/>
      <c r="P597" s="6" t="s">
        <v>57</v>
      </c>
      <c r="Q597" s="6" t="s">
        <v>57</v>
      </c>
      <c r="R597" s="6" t="s">
        <v>57</v>
      </c>
      <c r="S597" s="2"/>
      <c r="T597" s="6" t="s">
        <v>57</v>
      </c>
      <c r="U597" s="6" t="s">
        <v>57</v>
      </c>
      <c r="V597" s="6" t="s">
        <v>57</v>
      </c>
      <c r="W597" s="6" t="s">
        <v>57</v>
      </c>
      <c r="X597" s="6" t="s">
        <v>57</v>
      </c>
      <c r="Y597" s="6" t="s">
        <v>57</v>
      </c>
      <c r="Z597" s="6" t="s">
        <v>57</v>
      </c>
      <c r="AA597" s="6" t="s">
        <v>57</v>
      </c>
      <c r="AB597" s="6" t="s">
        <v>57</v>
      </c>
      <c r="AC597" s="6" t="s">
        <v>57</v>
      </c>
      <c r="AD597" s="6" t="s">
        <v>57</v>
      </c>
      <c r="AE597" s="6" t="s">
        <v>57</v>
      </c>
      <c r="AF597" s="6" t="s">
        <v>57</v>
      </c>
      <c r="AG597" s="6" t="s">
        <v>57</v>
      </c>
      <c r="AH597" s="6" t="s">
        <v>57</v>
      </c>
      <c r="AI597" s="6" t="s">
        <v>57</v>
      </c>
      <c r="AJ597" s="6" t="s">
        <v>57</v>
      </c>
      <c r="AK597" s="6" t="s">
        <v>57</v>
      </c>
      <c r="AL597" s="6" t="s">
        <v>57</v>
      </c>
      <c r="AM597" s="6" t="s">
        <v>57</v>
      </c>
      <c r="AN597" s="6" t="s">
        <v>57</v>
      </c>
      <c r="AO597" s="6" t="s">
        <v>57</v>
      </c>
      <c r="AP597" s="6" t="s">
        <v>57</v>
      </c>
      <c r="AQ597" s="6" t="s">
        <v>57</v>
      </c>
    </row>
    <row r="598" spans="1:43" ht="15">
      <c r="A598" s="2" t="s">
        <v>2117</v>
      </c>
      <c r="B598" s="5">
        <v>6150099</v>
      </c>
      <c r="C598" s="2" t="s">
        <v>23</v>
      </c>
      <c r="D598" s="2" t="s">
        <v>2118</v>
      </c>
      <c r="E598" s="2" t="s">
        <v>2119</v>
      </c>
      <c r="F598" s="2" t="s">
        <v>26</v>
      </c>
      <c r="G598" s="2" t="s">
        <v>26</v>
      </c>
      <c r="H598" s="2" t="s">
        <v>27</v>
      </c>
      <c r="I598" s="2" t="s">
        <v>28</v>
      </c>
      <c r="J598" s="6"/>
      <c r="K598" s="2" t="s">
        <v>55</v>
      </c>
      <c r="L598" s="2" t="s">
        <v>56</v>
      </c>
      <c r="M598" s="2" t="s">
        <v>55</v>
      </c>
      <c r="N598" s="2"/>
      <c r="O598" s="2"/>
      <c r="P598" s="7">
        <v>29.047215720215799</v>
      </c>
      <c r="Q598" s="6" t="s">
        <v>57</v>
      </c>
      <c r="R598" s="9">
        <v>0</v>
      </c>
      <c r="S598" s="2" t="s">
        <v>2120</v>
      </c>
      <c r="T598" s="9">
        <v>0</v>
      </c>
      <c r="U598" s="9">
        <v>0</v>
      </c>
      <c r="V598" s="9">
        <v>0</v>
      </c>
      <c r="W598" s="9">
        <v>0</v>
      </c>
      <c r="X598" s="9">
        <v>11</v>
      </c>
      <c r="Y598" s="9">
        <v>20</v>
      </c>
      <c r="Z598" s="9">
        <v>21</v>
      </c>
      <c r="AA598" s="9">
        <v>13</v>
      </c>
      <c r="AB598" s="9">
        <v>0</v>
      </c>
      <c r="AC598" s="9">
        <v>0</v>
      </c>
      <c r="AD598" s="9">
        <v>1</v>
      </c>
      <c r="AE598" s="6" t="s">
        <v>57</v>
      </c>
      <c r="AF598" s="6" t="s">
        <v>57</v>
      </c>
      <c r="AG598" s="6" t="s">
        <v>57</v>
      </c>
      <c r="AH598" s="6" t="s">
        <v>57</v>
      </c>
      <c r="AI598" s="6" t="s">
        <v>57</v>
      </c>
      <c r="AJ598" s="6" t="s">
        <v>57</v>
      </c>
      <c r="AK598" s="6" t="s">
        <v>57</v>
      </c>
      <c r="AL598" s="6" t="s">
        <v>57</v>
      </c>
      <c r="AM598" s="6" t="s">
        <v>57</v>
      </c>
      <c r="AN598" s="6" t="s">
        <v>57</v>
      </c>
      <c r="AO598" s="6" t="s">
        <v>57</v>
      </c>
      <c r="AP598" s="6" t="s">
        <v>57</v>
      </c>
      <c r="AQ598" s="9">
        <v>0</v>
      </c>
    </row>
    <row r="599" spans="1:43" ht="15">
      <c r="A599" s="2" t="s">
        <v>2121</v>
      </c>
      <c r="B599" s="5">
        <v>109768499</v>
      </c>
      <c r="C599" s="2" t="s">
        <v>23</v>
      </c>
      <c r="D599" s="2" t="s">
        <v>2122</v>
      </c>
      <c r="E599" s="2" t="s">
        <v>2123</v>
      </c>
      <c r="F599" s="2" t="s">
        <v>26</v>
      </c>
      <c r="G599" s="2" t="s">
        <v>26</v>
      </c>
      <c r="H599" s="2" t="s">
        <v>27</v>
      </c>
      <c r="I599" s="2" t="s">
        <v>28</v>
      </c>
      <c r="J599" s="6"/>
      <c r="K599" s="2" t="s">
        <v>55</v>
      </c>
      <c r="L599" s="2" t="s">
        <v>56</v>
      </c>
      <c r="M599" s="2" t="s">
        <v>55</v>
      </c>
      <c r="N599" s="2"/>
      <c r="O599" s="2"/>
      <c r="P599" s="6" t="s">
        <v>57</v>
      </c>
      <c r="Q599" s="6" t="s">
        <v>57</v>
      </c>
      <c r="R599" s="6" t="s">
        <v>57</v>
      </c>
      <c r="S599" s="2"/>
      <c r="T599" s="6" t="s">
        <v>57</v>
      </c>
      <c r="U599" s="6" t="s">
        <v>57</v>
      </c>
      <c r="V599" s="6" t="s">
        <v>57</v>
      </c>
      <c r="W599" s="6" t="s">
        <v>57</v>
      </c>
      <c r="X599" s="6" t="s">
        <v>57</v>
      </c>
      <c r="Y599" s="6" t="s">
        <v>57</v>
      </c>
      <c r="Z599" s="6" t="s">
        <v>57</v>
      </c>
      <c r="AA599" s="6" t="s">
        <v>57</v>
      </c>
      <c r="AB599" s="6" t="s">
        <v>57</v>
      </c>
      <c r="AC599" s="6" t="s">
        <v>57</v>
      </c>
      <c r="AD599" s="6" t="s">
        <v>57</v>
      </c>
      <c r="AE599" s="6" t="s">
        <v>57</v>
      </c>
      <c r="AF599" s="6" t="s">
        <v>57</v>
      </c>
      <c r="AG599" s="6" t="s">
        <v>57</v>
      </c>
      <c r="AH599" s="6" t="s">
        <v>57</v>
      </c>
      <c r="AI599" s="6" t="s">
        <v>57</v>
      </c>
      <c r="AJ599" s="6" t="s">
        <v>57</v>
      </c>
      <c r="AK599" s="6" t="s">
        <v>57</v>
      </c>
      <c r="AL599" s="6" t="s">
        <v>57</v>
      </c>
      <c r="AM599" s="6" t="s">
        <v>57</v>
      </c>
      <c r="AN599" s="6" t="s">
        <v>57</v>
      </c>
      <c r="AO599" s="6" t="s">
        <v>57</v>
      </c>
      <c r="AP599" s="6" t="s">
        <v>57</v>
      </c>
      <c r="AQ599" s="6" t="s">
        <v>57</v>
      </c>
    </row>
    <row r="600" spans="1:43" ht="15">
      <c r="A600" s="2" t="s">
        <v>2124</v>
      </c>
      <c r="B600" s="5">
        <v>107485252</v>
      </c>
      <c r="C600" s="2" t="s">
        <v>23</v>
      </c>
      <c r="D600" s="2" t="s">
        <v>2125</v>
      </c>
      <c r="E600" s="2" t="s">
        <v>2126</v>
      </c>
      <c r="F600" s="2" t="s">
        <v>26</v>
      </c>
      <c r="G600" s="2" t="s">
        <v>26</v>
      </c>
      <c r="H600" s="2" t="s">
        <v>27</v>
      </c>
      <c r="I600" s="2" t="s">
        <v>28</v>
      </c>
      <c r="J600" s="6"/>
      <c r="K600" s="2" t="s">
        <v>55</v>
      </c>
      <c r="L600" s="2" t="s">
        <v>56</v>
      </c>
      <c r="M600" s="2" t="s">
        <v>55</v>
      </c>
      <c r="N600" s="2"/>
      <c r="O600" s="2"/>
      <c r="P600" s="6" t="s">
        <v>57</v>
      </c>
      <c r="Q600" s="6" t="s">
        <v>57</v>
      </c>
      <c r="R600" s="9">
        <v>0</v>
      </c>
      <c r="S600" s="2"/>
      <c r="T600" s="9">
        <v>0</v>
      </c>
      <c r="U600" s="9">
        <v>0</v>
      </c>
      <c r="V600" s="9">
        <v>0</v>
      </c>
      <c r="W600" s="9">
        <v>0</v>
      </c>
      <c r="X600" s="9">
        <v>0</v>
      </c>
      <c r="Y600" s="9">
        <v>0</v>
      </c>
      <c r="Z600" s="9">
        <v>0</v>
      </c>
      <c r="AA600" s="9">
        <v>0</v>
      </c>
      <c r="AB600" s="9">
        <v>0</v>
      </c>
      <c r="AC600" s="9">
        <v>0</v>
      </c>
      <c r="AD600" s="9">
        <v>0</v>
      </c>
      <c r="AE600" s="6" t="s">
        <v>57</v>
      </c>
      <c r="AF600" s="6" t="s">
        <v>57</v>
      </c>
      <c r="AG600" s="6" t="s">
        <v>57</v>
      </c>
      <c r="AH600" s="6" t="s">
        <v>57</v>
      </c>
      <c r="AI600" s="6" t="s">
        <v>57</v>
      </c>
      <c r="AJ600" s="6" t="s">
        <v>57</v>
      </c>
      <c r="AK600" s="6" t="s">
        <v>57</v>
      </c>
      <c r="AL600" s="6" t="s">
        <v>57</v>
      </c>
      <c r="AM600" s="6" t="s">
        <v>57</v>
      </c>
      <c r="AN600" s="6" t="s">
        <v>57</v>
      </c>
      <c r="AO600" s="6" t="s">
        <v>57</v>
      </c>
      <c r="AP600" s="6" t="s">
        <v>57</v>
      </c>
      <c r="AQ600" s="9">
        <v>0</v>
      </c>
    </row>
    <row r="601" spans="1:43" ht="15">
      <c r="A601" s="2" t="s">
        <v>2127</v>
      </c>
      <c r="B601" s="5">
        <v>6131580</v>
      </c>
      <c r="C601" s="2" t="s">
        <v>23</v>
      </c>
      <c r="D601" s="2" t="s">
        <v>2128</v>
      </c>
      <c r="E601" s="2" t="s">
        <v>2129</v>
      </c>
      <c r="F601" s="2" t="s">
        <v>26</v>
      </c>
      <c r="G601" s="2" t="s">
        <v>26</v>
      </c>
      <c r="H601" s="2" t="s">
        <v>27</v>
      </c>
      <c r="I601" s="2" t="s">
        <v>28</v>
      </c>
      <c r="J601" s="6"/>
      <c r="K601" s="2" t="s">
        <v>55</v>
      </c>
      <c r="L601" s="2" t="s">
        <v>56</v>
      </c>
      <c r="M601" s="2" t="s">
        <v>55</v>
      </c>
      <c r="N601" s="2"/>
      <c r="O601" s="2"/>
      <c r="P601" s="7">
        <v>163.07092689139199</v>
      </c>
      <c r="Q601" s="6" t="s">
        <v>57</v>
      </c>
      <c r="R601" s="9">
        <v>82549</v>
      </c>
      <c r="S601" s="2" t="s">
        <v>2130</v>
      </c>
      <c r="T601" s="9">
        <v>152131</v>
      </c>
      <c r="U601" s="9">
        <v>182829</v>
      </c>
      <c r="V601" s="9">
        <v>234807</v>
      </c>
      <c r="W601" s="9">
        <v>321662</v>
      </c>
      <c r="X601" s="9">
        <v>321846</v>
      </c>
      <c r="Y601" s="9">
        <v>245329</v>
      </c>
      <c r="Z601" s="9">
        <v>200736</v>
      </c>
      <c r="AA601" s="9">
        <v>240024</v>
      </c>
      <c r="AB601" s="9">
        <v>180398</v>
      </c>
      <c r="AC601" s="9">
        <v>233478</v>
      </c>
      <c r="AD601" s="9">
        <v>310621</v>
      </c>
      <c r="AE601" s="6" t="s">
        <v>57</v>
      </c>
      <c r="AF601" s="6" t="s">
        <v>57</v>
      </c>
      <c r="AG601" s="6" t="s">
        <v>57</v>
      </c>
      <c r="AH601" s="6" t="s">
        <v>57</v>
      </c>
      <c r="AI601" s="6" t="s">
        <v>57</v>
      </c>
      <c r="AJ601" s="6" t="s">
        <v>57</v>
      </c>
      <c r="AK601" s="6" t="s">
        <v>57</v>
      </c>
      <c r="AL601" s="6" t="s">
        <v>57</v>
      </c>
      <c r="AM601" s="6" t="s">
        <v>57</v>
      </c>
      <c r="AN601" s="6" t="s">
        <v>57</v>
      </c>
      <c r="AO601" s="6" t="s">
        <v>57</v>
      </c>
      <c r="AP601" s="6" t="s">
        <v>57</v>
      </c>
      <c r="AQ601" s="9">
        <v>24429</v>
      </c>
    </row>
    <row r="602" spans="1:43" ht="15">
      <c r="A602" s="2" t="s">
        <v>2131</v>
      </c>
      <c r="B602" s="5">
        <v>9131211</v>
      </c>
      <c r="C602" s="2" t="s">
        <v>23</v>
      </c>
      <c r="D602" s="2" t="s">
        <v>2132</v>
      </c>
      <c r="E602" s="2" t="s">
        <v>2133</v>
      </c>
      <c r="F602" s="2" t="s">
        <v>26</v>
      </c>
      <c r="G602" s="2" t="s">
        <v>26</v>
      </c>
      <c r="H602" s="2" t="s">
        <v>27</v>
      </c>
      <c r="I602" s="2" t="s">
        <v>743</v>
      </c>
      <c r="J602" s="6"/>
      <c r="K602" s="2" t="s">
        <v>55</v>
      </c>
      <c r="L602" s="2" t="s">
        <v>56</v>
      </c>
      <c r="M602" s="2" t="s">
        <v>55</v>
      </c>
      <c r="N602" s="2"/>
      <c r="O602" s="2"/>
      <c r="P602" s="7">
        <v>1.7930604408199999</v>
      </c>
      <c r="Q602" s="6" t="s">
        <v>57</v>
      </c>
      <c r="R602" s="9">
        <v>0</v>
      </c>
      <c r="S602" s="2" t="s">
        <v>2134</v>
      </c>
      <c r="T602" s="9">
        <v>0</v>
      </c>
      <c r="U602" s="9">
        <v>0</v>
      </c>
      <c r="V602" s="9">
        <v>0</v>
      </c>
      <c r="W602" s="9">
        <v>0</v>
      </c>
      <c r="X602" s="9">
        <v>0</v>
      </c>
      <c r="Y602" s="9">
        <v>0</v>
      </c>
      <c r="Z602" s="9">
        <v>0</v>
      </c>
      <c r="AA602" s="9">
        <v>0</v>
      </c>
      <c r="AB602" s="9">
        <v>0</v>
      </c>
      <c r="AC602" s="9">
        <v>0</v>
      </c>
      <c r="AD602" s="9">
        <v>0</v>
      </c>
      <c r="AE602" s="6" t="s">
        <v>57</v>
      </c>
      <c r="AF602" s="6" t="s">
        <v>57</v>
      </c>
      <c r="AG602" s="6" t="s">
        <v>57</v>
      </c>
      <c r="AH602" s="6" t="s">
        <v>57</v>
      </c>
      <c r="AI602" s="6" t="s">
        <v>57</v>
      </c>
      <c r="AJ602" s="6" t="s">
        <v>57</v>
      </c>
      <c r="AK602" s="6" t="s">
        <v>57</v>
      </c>
      <c r="AL602" s="6" t="s">
        <v>57</v>
      </c>
      <c r="AM602" s="6" t="s">
        <v>57</v>
      </c>
      <c r="AN602" s="6" t="s">
        <v>57</v>
      </c>
      <c r="AO602" s="6" t="s">
        <v>57</v>
      </c>
      <c r="AP602" s="6" t="s">
        <v>57</v>
      </c>
      <c r="AQ602" s="9">
        <v>0</v>
      </c>
    </row>
    <row r="603" spans="1:43" ht="15">
      <c r="A603" s="2" t="s">
        <v>2135</v>
      </c>
      <c r="B603" s="5">
        <v>6113596</v>
      </c>
      <c r="C603" s="2" t="s">
        <v>23</v>
      </c>
      <c r="D603" s="2" t="s">
        <v>2136</v>
      </c>
      <c r="E603" s="2" t="s">
        <v>2137</v>
      </c>
      <c r="F603" s="2" t="s">
        <v>26</v>
      </c>
      <c r="G603" s="2" t="s">
        <v>26</v>
      </c>
      <c r="H603" s="2" t="s">
        <v>27</v>
      </c>
      <c r="I603" s="2" t="s">
        <v>28</v>
      </c>
      <c r="J603" s="6"/>
      <c r="K603" s="2" t="s">
        <v>55</v>
      </c>
      <c r="L603" s="2" t="s">
        <v>56</v>
      </c>
      <c r="M603" s="2" t="s">
        <v>55</v>
      </c>
      <c r="N603" s="2"/>
      <c r="O603" s="2"/>
      <c r="P603" s="6" t="s">
        <v>57</v>
      </c>
      <c r="Q603" s="6" t="s">
        <v>57</v>
      </c>
      <c r="R603" s="9">
        <v>0</v>
      </c>
      <c r="S603" s="2"/>
      <c r="T603" s="9">
        <v>0</v>
      </c>
      <c r="U603" s="9">
        <v>0</v>
      </c>
      <c r="V603" s="9">
        <v>22300</v>
      </c>
      <c r="W603" s="9">
        <v>52636</v>
      </c>
      <c r="X603" s="9">
        <v>52984</v>
      </c>
      <c r="Y603" s="9">
        <v>51543</v>
      </c>
      <c r="Z603" s="9">
        <v>60429</v>
      </c>
      <c r="AA603" s="9">
        <v>50037</v>
      </c>
      <c r="AB603" s="9">
        <v>0</v>
      </c>
      <c r="AC603" s="9">
        <v>20283</v>
      </c>
      <c r="AD603" s="9">
        <v>30382</v>
      </c>
      <c r="AE603" s="6" t="s">
        <v>57</v>
      </c>
      <c r="AF603" s="6" t="s">
        <v>57</v>
      </c>
      <c r="AG603" s="6" t="s">
        <v>57</v>
      </c>
      <c r="AH603" s="6" t="s">
        <v>57</v>
      </c>
      <c r="AI603" s="6" t="s">
        <v>57</v>
      </c>
      <c r="AJ603" s="6" t="s">
        <v>57</v>
      </c>
      <c r="AK603" s="6" t="s">
        <v>57</v>
      </c>
      <c r="AL603" s="6" t="s">
        <v>57</v>
      </c>
      <c r="AM603" s="6" t="s">
        <v>57</v>
      </c>
      <c r="AN603" s="6" t="s">
        <v>57</v>
      </c>
      <c r="AO603" s="6" t="s">
        <v>57</v>
      </c>
      <c r="AP603" s="6" t="s">
        <v>57</v>
      </c>
      <c r="AQ603" s="9">
        <v>0</v>
      </c>
    </row>
    <row r="604" spans="1:43" ht="15">
      <c r="A604" s="2" t="s">
        <v>2138</v>
      </c>
      <c r="B604" s="5">
        <v>19656143</v>
      </c>
      <c r="C604" s="2" t="s">
        <v>23</v>
      </c>
      <c r="D604" s="2" t="s">
        <v>2139</v>
      </c>
      <c r="E604" s="2" t="s">
        <v>2140</v>
      </c>
      <c r="F604" s="2" t="s">
        <v>26</v>
      </c>
      <c r="G604" s="2" t="s">
        <v>26</v>
      </c>
      <c r="H604" s="2" t="s">
        <v>27</v>
      </c>
      <c r="I604" s="2" t="s">
        <v>28</v>
      </c>
      <c r="J604" s="6"/>
      <c r="K604" s="2" t="s">
        <v>55</v>
      </c>
      <c r="L604" s="2" t="s">
        <v>56</v>
      </c>
      <c r="M604" s="2" t="s">
        <v>55</v>
      </c>
      <c r="N604" s="2"/>
      <c r="O604" s="2"/>
      <c r="P604" s="6" t="s">
        <v>57</v>
      </c>
      <c r="Q604" s="6" t="s">
        <v>57</v>
      </c>
      <c r="R604" s="9">
        <v>0</v>
      </c>
      <c r="S604" s="2"/>
      <c r="T604" s="9">
        <v>0</v>
      </c>
      <c r="U604" s="9">
        <v>0</v>
      </c>
      <c r="V604" s="9">
        <v>0</v>
      </c>
      <c r="W604" s="9">
        <v>420</v>
      </c>
      <c r="X604" s="9">
        <v>418</v>
      </c>
      <c r="Y604" s="9">
        <v>7209</v>
      </c>
      <c r="Z604" s="9">
        <v>7209</v>
      </c>
      <c r="AA604" s="9">
        <v>7209</v>
      </c>
      <c r="AB604" s="9">
        <v>0</v>
      </c>
      <c r="AC604" s="9">
        <v>0</v>
      </c>
      <c r="AD604" s="9">
        <v>0</v>
      </c>
      <c r="AE604" s="6" t="s">
        <v>57</v>
      </c>
      <c r="AF604" s="6" t="s">
        <v>57</v>
      </c>
      <c r="AG604" s="6" t="s">
        <v>57</v>
      </c>
      <c r="AH604" s="6" t="s">
        <v>57</v>
      </c>
      <c r="AI604" s="6" t="s">
        <v>57</v>
      </c>
      <c r="AJ604" s="6" t="s">
        <v>57</v>
      </c>
      <c r="AK604" s="6" t="s">
        <v>57</v>
      </c>
      <c r="AL604" s="6" t="s">
        <v>57</v>
      </c>
      <c r="AM604" s="6" t="s">
        <v>57</v>
      </c>
      <c r="AN604" s="6" t="s">
        <v>57</v>
      </c>
      <c r="AO604" s="6" t="s">
        <v>57</v>
      </c>
      <c r="AP604" s="6" t="s">
        <v>57</v>
      </c>
      <c r="AQ604" s="9">
        <v>0</v>
      </c>
    </row>
    <row r="605" spans="1:43" ht="15">
      <c r="A605" s="2" t="s">
        <v>2141</v>
      </c>
      <c r="B605" s="5">
        <v>5947945</v>
      </c>
      <c r="C605" s="2" t="s">
        <v>23</v>
      </c>
      <c r="D605" s="2" t="s">
        <v>2142</v>
      </c>
      <c r="E605" s="2" t="s">
        <v>2143</v>
      </c>
      <c r="F605" s="2" t="s">
        <v>26</v>
      </c>
      <c r="G605" s="2" t="s">
        <v>26</v>
      </c>
      <c r="H605" s="2" t="s">
        <v>27</v>
      </c>
      <c r="I605" s="2" t="s">
        <v>28</v>
      </c>
      <c r="J605" s="6"/>
      <c r="K605" s="2" t="s">
        <v>55</v>
      </c>
      <c r="L605" s="2" t="s">
        <v>56</v>
      </c>
      <c r="M605" s="2" t="s">
        <v>55</v>
      </c>
      <c r="N605" s="2"/>
      <c r="O605" s="2"/>
      <c r="P605" s="6" t="s">
        <v>57</v>
      </c>
      <c r="Q605" s="6" t="s">
        <v>57</v>
      </c>
      <c r="R605" s="9">
        <v>0</v>
      </c>
      <c r="S605" s="2"/>
      <c r="T605" s="9">
        <v>0</v>
      </c>
      <c r="U605" s="9">
        <v>0</v>
      </c>
      <c r="V605" s="9">
        <v>0</v>
      </c>
      <c r="W605" s="9">
        <v>0</v>
      </c>
      <c r="X605" s="9">
        <v>0</v>
      </c>
      <c r="Y605" s="9">
        <v>0</v>
      </c>
      <c r="Z605" s="9">
        <v>0</v>
      </c>
      <c r="AA605" s="9">
        <v>1</v>
      </c>
      <c r="AB605" s="9">
        <v>0</v>
      </c>
      <c r="AC605" s="9">
        <v>0</v>
      </c>
      <c r="AD605" s="9">
        <v>0</v>
      </c>
      <c r="AE605" s="6" t="s">
        <v>57</v>
      </c>
      <c r="AF605" s="6" t="s">
        <v>57</v>
      </c>
      <c r="AG605" s="6" t="s">
        <v>57</v>
      </c>
      <c r="AH605" s="6" t="s">
        <v>57</v>
      </c>
      <c r="AI605" s="6" t="s">
        <v>57</v>
      </c>
      <c r="AJ605" s="6" t="s">
        <v>57</v>
      </c>
      <c r="AK605" s="6" t="s">
        <v>57</v>
      </c>
      <c r="AL605" s="6" t="s">
        <v>57</v>
      </c>
      <c r="AM605" s="6" t="s">
        <v>57</v>
      </c>
      <c r="AN605" s="6" t="s">
        <v>57</v>
      </c>
      <c r="AO605" s="6" t="s">
        <v>57</v>
      </c>
      <c r="AP605" s="6" t="s">
        <v>57</v>
      </c>
      <c r="AQ605" s="9">
        <v>0</v>
      </c>
    </row>
    <row r="606" spans="1:43" ht="15">
      <c r="A606" s="2" t="s">
        <v>2144</v>
      </c>
      <c r="B606" s="5">
        <v>5949464</v>
      </c>
      <c r="C606" s="2" t="s">
        <v>23</v>
      </c>
      <c r="D606" s="2" t="s">
        <v>2145</v>
      </c>
      <c r="E606" s="2" t="s">
        <v>2146</v>
      </c>
      <c r="F606" s="2" t="s">
        <v>26</v>
      </c>
      <c r="G606" s="2" t="s">
        <v>26</v>
      </c>
      <c r="H606" s="2" t="s">
        <v>27</v>
      </c>
      <c r="I606" s="2" t="s">
        <v>28</v>
      </c>
      <c r="J606" s="6"/>
      <c r="K606" s="2" t="s">
        <v>55</v>
      </c>
      <c r="L606" s="2" t="s">
        <v>56</v>
      </c>
      <c r="M606" s="2" t="s">
        <v>55</v>
      </c>
      <c r="N606" s="2"/>
      <c r="O606" s="2"/>
      <c r="P606" s="6" t="s">
        <v>57</v>
      </c>
      <c r="Q606" s="6" t="s">
        <v>57</v>
      </c>
      <c r="R606" s="6" t="s">
        <v>57</v>
      </c>
      <c r="S606" s="2" t="s">
        <v>2147</v>
      </c>
      <c r="T606" s="6" t="s">
        <v>57</v>
      </c>
      <c r="U606" s="6" t="s">
        <v>57</v>
      </c>
      <c r="V606" s="6" t="s">
        <v>57</v>
      </c>
      <c r="W606" s="6" t="s">
        <v>57</v>
      </c>
      <c r="X606" s="6" t="s">
        <v>57</v>
      </c>
      <c r="Y606" s="6" t="s">
        <v>57</v>
      </c>
      <c r="Z606" s="6" t="s">
        <v>57</v>
      </c>
      <c r="AA606" s="6" t="s">
        <v>57</v>
      </c>
      <c r="AB606" s="6" t="s">
        <v>57</v>
      </c>
      <c r="AC606" s="6" t="s">
        <v>57</v>
      </c>
      <c r="AD606" s="6" t="s">
        <v>57</v>
      </c>
      <c r="AE606" s="6" t="s">
        <v>57</v>
      </c>
      <c r="AF606" s="6" t="s">
        <v>57</v>
      </c>
      <c r="AG606" s="6" t="s">
        <v>57</v>
      </c>
      <c r="AH606" s="6" t="s">
        <v>57</v>
      </c>
      <c r="AI606" s="6" t="s">
        <v>57</v>
      </c>
      <c r="AJ606" s="6" t="s">
        <v>57</v>
      </c>
      <c r="AK606" s="6" t="s">
        <v>57</v>
      </c>
      <c r="AL606" s="6" t="s">
        <v>57</v>
      </c>
      <c r="AM606" s="6" t="s">
        <v>57</v>
      </c>
      <c r="AN606" s="6" t="s">
        <v>57</v>
      </c>
      <c r="AO606" s="6" t="s">
        <v>57</v>
      </c>
      <c r="AP606" s="6" t="s">
        <v>57</v>
      </c>
      <c r="AQ606" s="6" t="s">
        <v>57</v>
      </c>
    </row>
    <row r="607" spans="1:43" ht="15">
      <c r="A607" s="2" t="s">
        <v>2148</v>
      </c>
      <c r="B607" s="5">
        <v>6034174</v>
      </c>
      <c r="C607" s="2" t="s">
        <v>23</v>
      </c>
      <c r="D607" s="2" t="s">
        <v>2149</v>
      </c>
      <c r="E607" s="2" t="s">
        <v>2150</v>
      </c>
      <c r="F607" s="2" t="s">
        <v>26</v>
      </c>
      <c r="G607" s="2" t="s">
        <v>26</v>
      </c>
      <c r="H607" s="2" t="s">
        <v>27</v>
      </c>
      <c r="I607" s="2" t="s">
        <v>28</v>
      </c>
      <c r="J607" s="6"/>
      <c r="K607" s="2" t="s">
        <v>55</v>
      </c>
      <c r="L607" s="2" t="s">
        <v>56</v>
      </c>
      <c r="M607" s="2" t="s">
        <v>55</v>
      </c>
      <c r="N607" s="2"/>
      <c r="O607" s="2"/>
      <c r="P607" s="6" t="s">
        <v>57</v>
      </c>
      <c r="Q607" s="6" t="s">
        <v>57</v>
      </c>
      <c r="R607" s="9">
        <v>0</v>
      </c>
      <c r="S607" s="2"/>
      <c r="T607" s="9">
        <v>0</v>
      </c>
      <c r="U607" s="9">
        <v>0</v>
      </c>
      <c r="V607" s="9">
        <v>0</v>
      </c>
      <c r="W607" s="9">
        <v>0</v>
      </c>
      <c r="X607" s="9">
        <v>0</v>
      </c>
      <c r="Y607" s="9">
        <v>8643</v>
      </c>
      <c r="Z607" s="9">
        <v>8643</v>
      </c>
      <c r="AA607" s="9">
        <v>8643</v>
      </c>
      <c r="AB607" s="9">
        <v>0</v>
      </c>
      <c r="AC607" s="9">
        <v>0</v>
      </c>
      <c r="AD607" s="9">
        <v>0</v>
      </c>
      <c r="AE607" s="6" t="s">
        <v>57</v>
      </c>
      <c r="AF607" s="6" t="s">
        <v>57</v>
      </c>
      <c r="AG607" s="6" t="s">
        <v>57</v>
      </c>
      <c r="AH607" s="6" t="s">
        <v>57</v>
      </c>
      <c r="AI607" s="6" t="s">
        <v>57</v>
      </c>
      <c r="AJ607" s="6" t="s">
        <v>57</v>
      </c>
      <c r="AK607" s="6" t="s">
        <v>57</v>
      </c>
      <c r="AL607" s="6" t="s">
        <v>57</v>
      </c>
      <c r="AM607" s="6" t="s">
        <v>57</v>
      </c>
      <c r="AN607" s="6" t="s">
        <v>57</v>
      </c>
      <c r="AO607" s="6" t="s">
        <v>57</v>
      </c>
      <c r="AP607" s="6" t="s">
        <v>57</v>
      </c>
      <c r="AQ607" s="9">
        <v>0</v>
      </c>
    </row>
    <row r="608" spans="1:43" ht="15">
      <c r="A608" s="2" t="s">
        <v>2151</v>
      </c>
      <c r="B608" s="5">
        <v>5727670</v>
      </c>
      <c r="C608" s="2" t="s">
        <v>23</v>
      </c>
      <c r="D608" s="2" t="s">
        <v>2152</v>
      </c>
      <c r="E608" s="2" t="s">
        <v>2153</v>
      </c>
      <c r="F608" s="2" t="s">
        <v>26</v>
      </c>
      <c r="G608" s="2" t="s">
        <v>26</v>
      </c>
      <c r="H608" s="2" t="s">
        <v>27</v>
      </c>
      <c r="I608" s="2" t="s">
        <v>28</v>
      </c>
      <c r="J608" s="6"/>
      <c r="K608" s="2" t="s">
        <v>55</v>
      </c>
      <c r="L608" s="2" t="s">
        <v>56</v>
      </c>
      <c r="M608" s="2" t="s">
        <v>55</v>
      </c>
      <c r="N608" s="2"/>
      <c r="O608" s="2"/>
      <c r="P608" s="6" t="s">
        <v>57</v>
      </c>
      <c r="Q608" s="6" t="s">
        <v>57</v>
      </c>
      <c r="R608" s="9">
        <v>0</v>
      </c>
      <c r="S608" s="2" t="s">
        <v>2154</v>
      </c>
      <c r="T608" s="9">
        <v>0</v>
      </c>
      <c r="U608" s="9">
        <v>0</v>
      </c>
      <c r="V608" s="9">
        <v>0</v>
      </c>
      <c r="W608" s="9">
        <v>0</v>
      </c>
      <c r="X608" s="9">
        <v>0</v>
      </c>
      <c r="Y608" s="9">
        <v>0</v>
      </c>
      <c r="Z608" s="9">
        <v>0</v>
      </c>
      <c r="AA608" s="9">
        <v>0</v>
      </c>
      <c r="AB608" s="9">
        <v>0</v>
      </c>
      <c r="AC608" s="9">
        <v>0</v>
      </c>
      <c r="AD608" s="9">
        <v>0</v>
      </c>
      <c r="AE608" s="6" t="s">
        <v>57</v>
      </c>
      <c r="AF608" s="6" t="s">
        <v>57</v>
      </c>
      <c r="AG608" s="6" t="s">
        <v>57</v>
      </c>
      <c r="AH608" s="6" t="s">
        <v>57</v>
      </c>
      <c r="AI608" s="6" t="s">
        <v>57</v>
      </c>
      <c r="AJ608" s="6" t="s">
        <v>57</v>
      </c>
      <c r="AK608" s="6" t="s">
        <v>57</v>
      </c>
      <c r="AL608" s="6" t="s">
        <v>57</v>
      </c>
      <c r="AM608" s="6" t="s">
        <v>57</v>
      </c>
      <c r="AN608" s="6" t="s">
        <v>57</v>
      </c>
      <c r="AO608" s="6" t="s">
        <v>57</v>
      </c>
      <c r="AP608" s="6" t="s">
        <v>57</v>
      </c>
      <c r="AQ608" s="9">
        <v>0</v>
      </c>
    </row>
    <row r="609" spans="1:43" ht="15">
      <c r="A609" s="2" t="s">
        <v>2155</v>
      </c>
      <c r="B609" s="5">
        <v>6844942</v>
      </c>
      <c r="C609" s="2" t="s">
        <v>23</v>
      </c>
      <c r="D609" s="2" t="s">
        <v>2156</v>
      </c>
      <c r="E609" s="2" t="s">
        <v>2157</v>
      </c>
      <c r="F609" s="2" t="s">
        <v>26</v>
      </c>
      <c r="G609" s="2" t="s">
        <v>26</v>
      </c>
      <c r="H609" s="2" t="s">
        <v>27</v>
      </c>
      <c r="I609" s="2" t="s">
        <v>28</v>
      </c>
      <c r="J609" s="6"/>
      <c r="K609" s="2" t="s">
        <v>55</v>
      </c>
      <c r="L609" s="2" t="s">
        <v>56</v>
      </c>
      <c r="M609" s="2" t="s">
        <v>55</v>
      </c>
      <c r="N609" s="2"/>
      <c r="O609" s="2"/>
      <c r="P609" s="6" t="s">
        <v>57</v>
      </c>
      <c r="Q609" s="6" t="s">
        <v>57</v>
      </c>
      <c r="R609" s="9">
        <v>252836</v>
      </c>
      <c r="S609" s="2" t="s">
        <v>2158</v>
      </c>
      <c r="T609" s="9">
        <v>177900</v>
      </c>
      <c r="U609" s="9">
        <v>93249</v>
      </c>
      <c r="V609" s="9">
        <v>81417</v>
      </c>
      <c r="W609" s="9">
        <v>85432</v>
      </c>
      <c r="X609" s="9">
        <v>86240</v>
      </c>
      <c r="Y609" s="9">
        <v>61211</v>
      </c>
      <c r="Z609" s="9">
        <v>54738</v>
      </c>
      <c r="AA609" s="9">
        <v>45578</v>
      </c>
      <c r="AB609" s="9">
        <v>104209</v>
      </c>
      <c r="AC609" s="9">
        <v>81719</v>
      </c>
      <c r="AD609" s="9">
        <v>83854</v>
      </c>
      <c r="AE609" s="6" t="s">
        <v>57</v>
      </c>
      <c r="AF609" s="6" t="s">
        <v>57</v>
      </c>
      <c r="AG609" s="6" t="s">
        <v>57</v>
      </c>
      <c r="AH609" s="6" t="s">
        <v>57</v>
      </c>
      <c r="AI609" s="6" t="s">
        <v>57</v>
      </c>
      <c r="AJ609" s="6" t="s">
        <v>57</v>
      </c>
      <c r="AK609" s="6" t="s">
        <v>57</v>
      </c>
      <c r="AL609" s="6" t="s">
        <v>57</v>
      </c>
      <c r="AM609" s="6" t="s">
        <v>57</v>
      </c>
      <c r="AN609" s="6" t="s">
        <v>57</v>
      </c>
      <c r="AO609" s="6" t="s">
        <v>57</v>
      </c>
      <c r="AP609" s="6" t="s">
        <v>57</v>
      </c>
      <c r="AQ609" s="9">
        <v>182203</v>
      </c>
    </row>
    <row r="610" spans="1:43" ht="15">
      <c r="A610" s="2" t="s">
        <v>2159</v>
      </c>
      <c r="B610" s="5">
        <v>5957378</v>
      </c>
      <c r="C610" s="2" t="s">
        <v>23</v>
      </c>
      <c r="D610" s="2" t="s">
        <v>2160</v>
      </c>
      <c r="E610" s="2" t="s">
        <v>2161</v>
      </c>
      <c r="F610" s="2" t="s">
        <v>26</v>
      </c>
      <c r="G610" s="2" t="s">
        <v>26</v>
      </c>
      <c r="H610" s="2" t="s">
        <v>27</v>
      </c>
      <c r="I610" s="2" t="s">
        <v>28</v>
      </c>
      <c r="J610" s="6"/>
      <c r="K610" s="2" t="s">
        <v>55</v>
      </c>
      <c r="L610" s="2" t="s">
        <v>56</v>
      </c>
      <c r="M610" s="2" t="s">
        <v>55</v>
      </c>
      <c r="N610" s="2"/>
      <c r="O610" s="2"/>
      <c r="P610" s="6" t="s">
        <v>57</v>
      </c>
      <c r="Q610" s="6" t="s">
        <v>57</v>
      </c>
      <c r="R610" s="9">
        <v>0</v>
      </c>
      <c r="S610" s="2" t="s">
        <v>2162</v>
      </c>
      <c r="T610" s="9">
        <v>0</v>
      </c>
      <c r="U610" s="9">
        <v>0</v>
      </c>
      <c r="V610" s="9">
        <v>0</v>
      </c>
      <c r="W610" s="9">
        <v>0</v>
      </c>
      <c r="X610" s="9">
        <v>0</v>
      </c>
      <c r="Y610" s="9">
        <v>8312</v>
      </c>
      <c r="Z610" s="9">
        <v>38553</v>
      </c>
      <c r="AA610" s="9">
        <v>40382</v>
      </c>
      <c r="AB610" s="9">
        <v>0</v>
      </c>
      <c r="AC610" s="9">
        <v>0</v>
      </c>
      <c r="AD610" s="9">
        <v>0</v>
      </c>
      <c r="AE610" s="6" t="s">
        <v>57</v>
      </c>
      <c r="AF610" s="6" t="s">
        <v>57</v>
      </c>
      <c r="AG610" s="6" t="s">
        <v>57</v>
      </c>
      <c r="AH610" s="6" t="s">
        <v>57</v>
      </c>
      <c r="AI610" s="6" t="s">
        <v>57</v>
      </c>
      <c r="AJ610" s="6" t="s">
        <v>57</v>
      </c>
      <c r="AK610" s="6" t="s">
        <v>57</v>
      </c>
      <c r="AL610" s="6" t="s">
        <v>57</v>
      </c>
      <c r="AM610" s="6" t="s">
        <v>57</v>
      </c>
      <c r="AN610" s="6" t="s">
        <v>57</v>
      </c>
      <c r="AO610" s="6" t="s">
        <v>57</v>
      </c>
      <c r="AP610" s="6" t="s">
        <v>57</v>
      </c>
      <c r="AQ610" s="9">
        <v>0</v>
      </c>
    </row>
    <row r="611" spans="1:43" ht="15">
      <c r="A611" s="2" t="s">
        <v>2163</v>
      </c>
      <c r="B611" s="5">
        <v>24798217</v>
      </c>
      <c r="C611" s="2" t="s">
        <v>23</v>
      </c>
      <c r="D611" s="2" t="s">
        <v>2164</v>
      </c>
      <c r="E611" s="2" t="s">
        <v>2165</v>
      </c>
      <c r="F611" s="2" t="s">
        <v>26</v>
      </c>
      <c r="G611" s="2" t="s">
        <v>26</v>
      </c>
      <c r="H611" s="2" t="s">
        <v>27</v>
      </c>
      <c r="I611" s="2" t="s">
        <v>28</v>
      </c>
      <c r="J611" s="6"/>
      <c r="K611" s="2" t="s">
        <v>55</v>
      </c>
      <c r="L611" s="2" t="s">
        <v>56</v>
      </c>
      <c r="M611" s="2" t="s">
        <v>55</v>
      </c>
      <c r="N611" s="2"/>
      <c r="O611" s="2"/>
      <c r="P611" s="6" t="s">
        <v>57</v>
      </c>
      <c r="Q611" s="6" t="s">
        <v>57</v>
      </c>
      <c r="R611" s="6" t="s">
        <v>57</v>
      </c>
      <c r="S611" s="2"/>
      <c r="T611" s="6" t="s">
        <v>57</v>
      </c>
      <c r="U611" s="6" t="s">
        <v>57</v>
      </c>
      <c r="V611" s="6" t="s">
        <v>57</v>
      </c>
      <c r="W611" s="6" t="s">
        <v>57</v>
      </c>
      <c r="X611" s="6" t="s">
        <v>57</v>
      </c>
      <c r="Y611" s="6" t="s">
        <v>57</v>
      </c>
      <c r="Z611" s="6" t="s">
        <v>57</v>
      </c>
      <c r="AA611" s="6" t="s">
        <v>57</v>
      </c>
      <c r="AB611" s="6" t="s">
        <v>57</v>
      </c>
      <c r="AC611" s="6" t="s">
        <v>57</v>
      </c>
      <c r="AD611" s="6" t="s">
        <v>57</v>
      </c>
      <c r="AE611" s="6" t="s">
        <v>57</v>
      </c>
      <c r="AF611" s="6" t="s">
        <v>57</v>
      </c>
      <c r="AG611" s="6" t="s">
        <v>57</v>
      </c>
      <c r="AH611" s="6" t="s">
        <v>57</v>
      </c>
      <c r="AI611" s="6" t="s">
        <v>57</v>
      </c>
      <c r="AJ611" s="6" t="s">
        <v>57</v>
      </c>
      <c r="AK611" s="6" t="s">
        <v>57</v>
      </c>
      <c r="AL611" s="6" t="s">
        <v>57</v>
      </c>
      <c r="AM611" s="6" t="s">
        <v>57</v>
      </c>
      <c r="AN611" s="6" t="s">
        <v>57</v>
      </c>
      <c r="AO611" s="6" t="s">
        <v>57</v>
      </c>
      <c r="AP611" s="6" t="s">
        <v>57</v>
      </c>
      <c r="AQ611" s="6" t="s">
        <v>57</v>
      </c>
    </row>
    <row r="612" spans="1:43" ht="15">
      <c r="A612" s="2" t="s">
        <v>2166</v>
      </c>
      <c r="B612" s="5">
        <v>6034782</v>
      </c>
      <c r="C612" s="2" t="s">
        <v>23</v>
      </c>
      <c r="D612" s="2" t="s">
        <v>2167</v>
      </c>
      <c r="E612" s="2" t="s">
        <v>2168</v>
      </c>
      <c r="F612" s="2" t="s">
        <v>26</v>
      </c>
      <c r="G612" s="2" t="s">
        <v>26</v>
      </c>
      <c r="H612" s="2" t="s">
        <v>27</v>
      </c>
      <c r="I612" s="2" t="s">
        <v>28</v>
      </c>
      <c r="J612" s="6"/>
      <c r="K612" s="2" t="s">
        <v>55</v>
      </c>
      <c r="L612" s="2" t="s">
        <v>56</v>
      </c>
      <c r="M612" s="2" t="s">
        <v>55</v>
      </c>
      <c r="N612" s="2"/>
      <c r="O612" s="2"/>
      <c r="P612" s="6" t="s">
        <v>57</v>
      </c>
      <c r="Q612" s="6" t="s">
        <v>57</v>
      </c>
      <c r="R612" s="9">
        <v>0</v>
      </c>
      <c r="S612" s="2"/>
      <c r="T612" s="9">
        <v>0</v>
      </c>
      <c r="U612" s="9">
        <v>0</v>
      </c>
      <c r="V612" s="9">
        <v>0</v>
      </c>
      <c r="W612" s="9">
        <v>0</v>
      </c>
      <c r="X612" s="9">
        <v>0</v>
      </c>
      <c r="Y612" s="9">
        <v>212</v>
      </c>
      <c r="Z612" s="9">
        <v>212</v>
      </c>
      <c r="AA612" s="9">
        <v>212</v>
      </c>
      <c r="AB612" s="9">
        <v>0</v>
      </c>
      <c r="AC612" s="9">
        <v>0</v>
      </c>
      <c r="AD612" s="9">
        <v>0</v>
      </c>
      <c r="AE612" s="6" t="s">
        <v>57</v>
      </c>
      <c r="AF612" s="6" t="s">
        <v>57</v>
      </c>
      <c r="AG612" s="6" t="s">
        <v>57</v>
      </c>
      <c r="AH612" s="6" t="s">
        <v>57</v>
      </c>
      <c r="AI612" s="6" t="s">
        <v>57</v>
      </c>
      <c r="AJ612" s="6" t="s">
        <v>57</v>
      </c>
      <c r="AK612" s="6" t="s">
        <v>57</v>
      </c>
      <c r="AL612" s="6" t="s">
        <v>57</v>
      </c>
      <c r="AM612" s="6" t="s">
        <v>57</v>
      </c>
      <c r="AN612" s="6" t="s">
        <v>57</v>
      </c>
      <c r="AO612" s="6" t="s">
        <v>57</v>
      </c>
      <c r="AP612" s="6" t="s">
        <v>57</v>
      </c>
      <c r="AQ612" s="9">
        <v>0</v>
      </c>
    </row>
    <row r="613" spans="1:43" ht="15">
      <c r="A613" s="2" t="s">
        <v>2169</v>
      </c>
      <c r="B613" s="5">
        <v>6812091</v>
      </c>
      <c r="C613" s="2" t="s">
        <v>23</v>
      </c>
      <c r="D613" s="2" t="s">
        <v>2170</v>
      </c>
      <c r="E613" s="2" t="s">
        <v>2171</v>
      </c>
      <c r="F613" s="2" t="s">
        <v>26</v>
      </c>
      <c r="G613" s="2" t="s">
        <v>26</v>
      </c>
      <c r="H613" s="2" t="s">
        <v>27</v>
      </c>
      <c r="I613" s="2" t="s">
        <v>28</v>
      </c>
      <c r="J613" s="6"/>
      <c r="K613" s="2" t="s">
        <v>55</v>
      </c>
      <c r="L613" s="2" t="s">
        <v>56</v>
      </c>
      <c r="M613" s="2" t="s">
        <v>55</v>
      </c>
      <c r="N613" s="2"/>
      <c r="O613" s="2"/>
      <c r="P613" s="6" t="s">
        <v>57</v>
      </c>
      <c r="Q613" s="6" t="s">
        <v>57</v>
      </c>
      <c r="R613" s="9">
        <v>0</v>
      </c>
      <c r="S613" s="2"/>
      <c r="T613" s="9">
        <v>0</v>
      </c>
      <c r="U613" s="9">
        <v>0</v>
      </c>
      <c r="V613" s="9">
        <v>0</v>
      </c>
      <c r="W613" s="9">
        <v>0</v>
      </c>
      <c r="X613" s="9">
        <v>0</v>
      </c>
      <c r="Y613" s="9">
        <v>0</v>
      </c>
      <c r="Z613" s="9">
        <v>0</v>
      </c>
      <c r="AA613" s="9">
        <v>1</v>
      </c>
      <c r="AB613" s="9">
        <v>0</v>
      </c>
      <c r="AC613" s="9">
        <v>0</v>
      </c>
      <c r="AD613" s="9">
        <v>0</v>
      </c>
      <c r="AE613" s="6" t="s">
        <v>57</v>
      </c>
      <c r="AF613" s="6" t="s">
        <v>57</v>
      </c>
      <c r="AG613" s="6" t="s">
        <v>57</v>
      </c>
      <c r="AH613" s="6" t="s">
        <v>57</v>
      </c>
      <c r="AI613" s="6" t="s">
        <v>57</v>
      </c>
      <c r="AJ613" s="6" t="s">
        <v>57</v>
      </c>
      <c r="AK613" s="6" t="s">
        <v>57</v>
      </c>
      <c r="AL613" s="6" t="s">
        <v>57</v>
      </c>
      <c r="AM613" s="6" t="s">
        <v>57</v>
      </c>
      <c r="AN613" s="6" t="s">
        <v>57</v>
      </c>
      <c r="AO613" s="6" t="s">
        <v>57</v>
      </c>
      <c r="AP613" s="6" t="s">
        <v>57</v>
      </c>
      <c r="AQ613" s="9">
        <v>0</v>
      </c>
    </row>
    <row r="614" spans="1:43" ht="15">
      <c r="A614" s="2" t="s">
        <v>2172</v>
      </c>
      <c r="B614" s="5">
        <v>26181597</v>
      </c>
      <c r="C614" s="2" t="s">
        <v>23</v>
      </c>
      <c r="D614" s="2" t="s">
        <v>2173</v>
      </c>
      <c r="E614" s="2" t="s">
        <v>2174</v>
      </c>
      <c r="F614" s="2" t="s">
        <v>26</v>
      </c>
      <c r="G614" s="2" t="s">
        <v>26</v>
      </c>
      <c r="H614" s="2" t="s">
        <v>27</v>
      </c>
      <c r="I614" s="2" t="s">
        <v>28</v>
      </c>
      <c r="J614" s="6"/>
      <c r="K614" s="2" t="s">
        <v>55</v>
      </c>
      <c r="L614" s="2" t="s">
        <v>56</v>
      </c>
      <c r="M614" s="2" t="s">
        <v>55</v>
      </c>
      <c r="N614" s="2"/>
      <c r="O614" s="2"/>
      <c r="P614" s="6" t="s">
        <v>57</v>
      </c>
      <c r="Q614" s="6" t="s">
        <v>57</v>
      </c>
      <c r="R614" s="9">
        <v>117921</v>
      </c>
      <c r="S614" s="2"/>
      <c r="T614" s="9">
        <v>61868</v>
      </c>
      <c r="U614" s="9">
        <v>31673</v>
      </c>
      <c r="V614" s="9">
        <v>134509</v>
      </c>
      <c r="W614" s="9">
        <v>353826</v>
      </c>
      <c r="X614" s="9">
        <v>352411</v>
      </c>
      <c r="Y614" s="9">
        <v>555833</v>
      </c>
      <c r="Z614" s="9">
        <v>848891</v>
      </c>
      <c r="AA614" s="9">
        <v>1088570</v>
      </c>
      <c r="AB614" s="9">
        <v>36198</v>
      </c>
      <c r="AC614" s="9">
        <v>106215</v>
      </c>
      <c r="AD614" s="9">
        <v>130922</v>
      </c>
      <c r="AE614" s="6" t="s">
        <v>57</v>
      </c>
      <c r="AF614" s="6" t="s">
        <v>57</v>
      </c>
      <c r="AG614" s="6" t="s">
        <v>57</v>
      </c>
      <c r="AH614" s="6" t="s">
        <v>57</v>
      </c>
      <c r="AI614" s="6" t="s">
        <v>57</v>
      </c>
      <c r="AJ614" s="6" t="s">
        <v>57</v>
      </c>
      <c r="AK614" s="6" t="s">
        <v>57</v>
      </c>
      <c r="AL614" s="6" t="s">
        <v>57</v>
      </c>
      <c r="AM614" s="6" t="s">
        <v>57</v>
      </c>
      <c r="AN614" s="6" t="s">
        <v>57</v>
      </c>
      <c r="AO614" s="6" t="s">
        <v>57</v>
      </c>
      <c r="AP614" s="6" t="s">
        <v>57</v>
      </c>
      <c r="AQ614" s="9">
        <v>0</v>
      </c>
    </row>
    <row r="615" spans="1:43" ht="15">
      <c r="A615" s="2" t="s">
        <v>2175</v>
      </c>
      <c r="B615" s="5">
        <v>4560453</v>
      </c>
      <c r="C615" s="2" t="s">
        <v>23</v>
      </c>
      <c r="D615" s="2" t="s">
        <v>2176</v>
      </c>
      <c r="E615" s="2" t="s">
        <v>2177</v>
      </c>
      <c r="F615" s="2" t="s">
        <v>26</v>
      </c>
      <c r="G615" s="2" t="s">
        <v>26</v>
      </c>
      <c r="H615" s="2" t="s">
        <v>27</v>
      </c>
      <c r="I615" s="2" t="s">
        <v>28</v>
      </c>
      <c r="J615" s="6"/>
      <c r="K615" s="2" t="s">
        <v>1391</v>
      </c>
      <c r="L615" s="2" t="s">
        <v>56</v>
      </c>
      <c r="M615" s="2" t="s">
        <v>1391</v>
      </c>
      <c r="N615" s="2"/>
      <c r="O615" s="2"/>
      <c r="P615" s="7">
        <v>643.78619160000005</v>
      </c>
      <c r="Q615" s="8">
        <v>657.387096663232</v>
      </c>
      <c r="R615" s="9">
        <v>1299</v>
      </c>
      <c r="S615" s="2" t="s">
        <v>2178</v>
      </c>
      <c r="T615" s="9">
        <v>576</v>
      </c>
      <c r="U615" s="9">
        <v>1456</v>
      </c>
      <c r="V615" s="9">
        <v>1480</v>
      </c>
      <c r="W615" s="9">
        <v>2876</v>
      </c>
      <c r="X615" s="9">
        <v>2865</v>
      </c>
      <c r="Y615" s="9">
        <v>1906</v>
      </c>
      <c r="Z615" s="9">
        <v>1613</v>
      </c>
      <c r="AA615" s="9">
        <v>2545</v>
      </c>
      <c r="AB615" s="9">
        <v>1615</v>
      </c>
      <c r="AC615" s="9">
        <v>1551</v>
      </c>
      <c r="AD615" s="9">
        <v>1145</v>
      </c>
      <c r="AE615" s="7">
        <v>0.0051939999999999998</v>
      </c>
      <c r="AF615" s="7">
        <v>0.0023053333333333298</v>
      </c>
      <c r="AG615" s="7">
        <v>0.00582566666666667</v>
      </c>
      <c r="AH615" s="7">
        <v>0.0059206874999999997</v>
      </c>
      <c r="AI615" s="7">
        <v>0.0115048192771084</v>
      </c>
      <c r="AJ615" s="7">
        <v>0.01146136</v>
      </c>
      <c r="AK615" s="7">
        <v>0.0076250784708249498</v>
      </c>
      <c r="AL615" s="7">
        <v>0.0064500804289544201</v>
      </c>
      <c r="AM615" s="7">
        <v>0.010178586345381499</v>
      </c>
      <c r="AN615" s="7">
        <v>0.0064607619047618997</v>
      </c>
      <c r="AO615" s="7">
        <v>0.0062052459016393403</v>
      </c>
      <c r="AP615" s="7">
        <v>0.0045782903225806398</v>
      </c>
      <c r="AQ615" s="9">
        <v>1</v>
      </c>
    </row>
    <row r="616" spans="1:43" ht="15">
      <c r="A616" s="2" t="s">
        <v>2179</v>
      </c>
      <c r="B616" s="5">
        <v>4264581</v>
      </c>
      <c r="C616" s="2" t="s">
        <v>23</v>
      </c>
      <c r="D616" s="2" t="s">
        <v>2180</v>
      </c>
      <c r="E616" s="2" t="s">
        <v>2181</v>
      </c>
      <c r="F616" s="2" t="s">
        <v>26</v>
      </c>
      <c r="G616" s="2" t="s">
        <v>26</v>
      </c>
      <c r="H616" s="2" t="s">
        <v>27</v>
      </c>
      <c r="I616" s="2" t="s">
        <v>40</v>
      </c>
      <c r="J616" s="10">
        <v>39064</v>
      </c>
      <c r="K616" s="2" t="s">
        <v>2182</v>
      </c>
      <c r="L616" s="2" t="s">
        <v>30</v>
      </c>
      <c r="M616" s="2" t="s">
        <v>189</v>
      </c>
      <c r="N616" s="2" t="s">
        <v>1154</v>
      </c>
      <c r="O616" s="2" t="s">
        <v>2182</v>
      </c>
      <c r="P616" s="7">
        <v>552.21110728084795</v>
      </c>
      <c r="Q616" s="8">
        <v>607.13086970576001</v>
      </c>
      <c r="R616" s="9">
        <v>125201</v>
      </c>
      <c r="S616" s="2" t="s">
        <v>2183</v>
      </c>
      <c r="T616" s="9">
        <v>58412</v>
      </c>
      <c r="U616" s="9">
        <v>43230</v>
      </c>
      <c r="V616" s="9">
        <v>38539</v>
      </c>
      <c r="W616" s="9">
        <v>51508</v>
      </c>
      <c r="X616" s="9">
        <v>51402</v>
      </c>
      <c r="Y616" s="9">
        <v>61880</v>
      </c>
      <c r="Z616" s="9">
        <v>57617</v>
      </c>
      <c r="AA616" s="9">
        <v>65608</v>
      </c>
      <c r="AB616" s="9">
        <v>49067</v>
      </c>
      <c r="AC616" s="9">
        <v>30106</v>
      </c>
      <c r="AD616" s="9">
        <v>48770</v>
      </c>
      <c r="AE616" s="7">
        <v>0.24219732347012601</v>
      </c>
      <c r="AF616" s="7">
        <v>0.112995497848227</v>
      </c>
      <c r="AG616" s="7">
        <v>0.083626808243928694</v>
      </c>
      <c r="AH616" s="7">
        <v>0.074551705185147907</v>
      </c>
      <c r="AI616" s="7">
        <v>0.099639666885548997</v>
      </c>
      <c r="AJ616" s="7">
        <v>0.099434555014334403</v>
      </c>
      <c r="AK616" s="7">
        <v>0.119704134140197</v>
      </c>
      <c r="AL616" s="7">
        <v>0.111458536255824</v>
      </c>
      <c r="AM616" s="7">
        <v>0.12691652907471901</v>
      </c>
      <c r="AN616" s="7">
        <v>0.094917986848934099</v>
      </c>
      <c r="AO616" s="7">
        <v>0.058238870514262103</v>
      </c>
      <c r="AP616" s="7">
        <v>0.094344330180483396</v>
      </c>
      <c r="AQ616" s="9">
        <v>0</v>
      </c>
    </row>
    <row r="617" spans="1:43" ht="15">
      <c r="A617" s="2" t="s">
        <v>2184</v>
      </c>
      <c r="B617" s="5">
        <v>6676243</v>
      </c>
      <c r="C617" s="2" t="s">
        <v>46</v>
      </c>
      <c r="D617" s="2" t="s">
        <v>2185</v>
      </c>
      <c r="E617" s="2" t="s">
        <v>2186</v>
      </c>
      <c r="F617" s="2" t="s">
        <v>49</v>
      </c>
      <c r="G617" s="2" t="s">
        <v>49</v>
      </c>
      <c r="H617" s="2" t="s">
        <v>50</v>
      </c>
      <c r="I617" s="2" t="s">
        <v>28</v>
      </c>
      <c r="J617" s="6"/>
      <c r="K617" s="2" t="s">
        <v>1139</v>
      </c>
      <c r="L617" s="2" t="s">
        <v>42</v>
      </c>
      <c r="M617" s="2" t="s">
        <v>43</v>
      </c>
      <c r="N617" s="2" t="s">
        <v>1139</v>
      </c>
      <c r="O617" s="2"/>
      <c r="P617" s="7">
        <v>0.42806754826658999</v>
      </c>
      <c r="Q617" s="8">
        <v>0.096337478673219998</v>
      </c>
      <c r="R617" s="9">
        <v>0</v>
      </c>
      <c r="S617" s="2" t="s">
        <v>2187</v>
      </c>
      <c r="T617" s="9">
        <v>0</v>
      </c>
      <c r="U617" s="9">
        <v>91</v>
      </c>
      <c r="V617" s="9">
        <v>173</v>
      </c>
      <c r="W617" s="9">
        <v>45</v>
      </c>
      <c r="X617" s="9">
        <v>45</v>
      </c>
      <c r="Y617" s="9">
        <v>22</v>
      </c>
      <c r="Z617" s="9">
        <v>22</v>
      </c>
      <c r="AA617" s="9">
        <v>140</v>
      </c>
      <c r="AB617" s="9">
        <v>81</v>
      </c>
      <c r="AC617" s="9">
        <v>182</v>
      </c>
      <c r="AD617" s="9">
        <v>90</v>
      </c>
      <c r="AE617" s="7">
        <v>0</v>
      </c>
      <c r="AF617" s="7">
        <v>5.6274746819913999E-05</v>
      </c>
      <c r="AG617" s="7">
        <v>0.030866698630722899</v>
      </c>
      <c r="AH617" s="7">
        <v>0.058539805379415603</v>
      </c>
      <c r="AI617" s="7">
        <v>0.015104684453663199</v>
      </c>
      <c r="AJ617" s="7">
        <v>0.0150442657158485</v>
      </c>
      <c r="AK617" s="7">
        <v>0.0075372072724692101</v>
      </c>
      <c r="AL617" s="7">
        <v>0.0072986095635555696</v>
      </c>
      <c r="AM617" s="7">
        <v>0.047160754916415401</v>
      </c>
      <c r="AN617" s="7">
        <v>0.027236977460838401</v>
      </c>
      <c r="AO617" s="7">
        <v>0.061418812201354103</v>
      </c>
      <c r="AP617" s="7">
        <v>0.030320288992245599</v>
      </c>
      <c r="AQ617" s="9">
        <v>0</v>
      </c>
    </row>
    <row r="618" spans="1:43" ht="15">
      <c r="A618" s="2" t="s">
        <v>2188</v>
      </c>
      <c r="B618" s="5">
        <v>123896480</v>
      </c>
      <c r="C618" s="2" t="s">
        <v>23</v>
      </c>
      <c r="D618" s="2" t="s">
        <v>2189</v>
      </c>
      <c r="E618" s="2" t="s">
        <v>2190</v>
      </c>
      <c r="F618" s="2" t="s">
        <v>26</v>
      </c>
      <c r="G618" s="2" t="s">
        <v>26</v>
      </c>
      <c r="H618" s="2" t="s">
        <v>27</v>
      </c>
      <c r="I618" s="2" t="s">
        <v>28</v>
      </c>
      <c r="J618" s="6"/>
      <c r="K618" s="2" t="s">
        <v>55</v>
      </c>
      <c r="L618" s="2" t="s">
        <v>56</v>
      </c>
      <c r="M618" s="2" t="s">
        <v>55</v>
      </c>
      <c r="N618" s="2"/>
      <c r="O618" s="2"/>
      <c r="P618" s="6" t="s">
        <v>57</v>
      </c>
      <c r="Q618" s="6" t="s">
        <v>57</v>
      </c>
      <c r="R618" s="9">
        <v>0</v>
      </c>
      <c r="S618" s="2"/>
      <c r="T618" s="9">
        <v>0</v>
      </c>
      <c r="U618" s="9">
        <v>0</v>
      </c>
      <c r="V618" s="9">
        <v>0</v>
      </c>
      <c r="W618" s="9">
        <v>0</v>
      </c>
      <c r="X618" s="9">
        <v>0</v>
      </c>
      <c r="Y618" s="9">
        <v>76</v>
      </c>
      <c r="Z618" s="9">
        <v>76</v>
      </c>
      <c r="AA618" s="9">
        <v>76</v>
      </c>
      <c r="AB618" s="9">
        <v>0</v>
      </c>
      <c r="AC618" s="9">
        <v>0</v>
      </c>
      <c r="AD618" s="9">
        <v>0</v>
      </c>
      <c r="AE618" s="6" t="s">
        <v>57</v>
      </c>
      <c r="AF618" s="6" t="s">
        <v>57</v>
      </c>
      <c r="AG618" s="6" t="s">
        <v>57</v>
      </c>
      <c r="AH618" s="6" t="s">
        <v>57</v>
      </c>
      <c r="AI618" s="6" t="s">
        <v>57</v>
      </c>
      <c r="AJ618" s="6" t="s">
        <v>57</v>
      </c>
      <c r="AK618" s="6" t="s">
        <v>57</v>
      </c>
      <c r="AL618" s="6" t="s">
        <v>57</v>
      </c>
      <c r="AM618" s="6" t="s">
        <v>57</v>
      </c>
      <c r="AN618" s="6" t="s">
        <v>57</v>
      </c>
      <c r="AO618" s="6" t="s">
        <v>57</v>
      </c>
      <c r="AP618" s="6" t="s">
        <v>57</v>
      </c>
      <c r="AQ618" s="9">
        <v>0</v>
      </c>
    </row>
    <row r="619" spans="1:43" ht="15">
      <c r="A619" s="2" t="s">
        <v>2191</v>
      </c>
      <c r="B619" s="5">
        <v>101292996</v>
      </c>
      <c r="C619" s="2" t="s">
        <v>23</v>
      </c>
      <c r="D619" s="2" t="s">
        <v>2192</v>
      </c>
      <c r="E619" s="2" t="s">
        <v>2193</v>
      </c>
      <c r="F619" s="2" t="s">
        <v>26</v>
      </c>
      <c r="G619" s="2"/>
      <c r="H619" s="2"/>
      <c r="I619" s="2" t="s">
        <v>28</v>
      </c>
      <c r="J619" s="6"/>
      <c r="K619" s="2" t="s">
        <v>55</v>
      </c>
      <c r="L619" s="2" t="s">
        <v>56</v>
      </c>
      <c r="M619" s="2" t="s">
        <v>55</v>
      </c>
      <c r="N619" s="2"/>
      <c r="O619" s="2"/>
      <c r="P619" s="6" t="s">
        <v>57</v>
      </c>
      <c r="Q619" s="6" t="s">
        <v>57</v>
      </c>
      <c r="R619" s="9">
        <v>0</v>
      </c>
      <c r="S619" s="2"/>
      <c r="T619" s="9">
        <v>0</v>
      </c>
      <c r="U619" s="9">
        <v>0</v>
      </c>
      <c r="V619" s="9">
        <v>0</v>
      </c>
      <c r="W619" s="9">
        <v>0</v>
      </c>
      <c r="X619" s="9">
        <v>0</v>
      </c>
      <c r="Y619" s="9">
        <v>0</v>
      </c>
      <c r="Z619" s="9">
        <v>0</v>
      </c>
      <c r="AA619" s="9">
        <v>39</v>
      </c>
      <c r="AB619" s="9">
        <v>0</v>
      </c>
      <c r="AC619" s="9">
        <v>0</v>
      </c>
      <c r="AD619" s="9">
        <v>0</v>
      </c>
      <c r="AE619" s="6" t="s">
        <v>57</v>
      </c>
      <c r="AF619" s="6" t="s">
        <v>57</v>
      </c>
      <c r="AG619" s="6" t="s">
        <v>57</v>
      </c>
      <c r="AH619" s="6" t="s">
        <v>57</v>
      </c>
      <c r="AI619" s="6" t="s">
        <v>57</v>
      </c>
      <c r="AJ619" s="6" t="s">
        <v>57</v>
      </c>
      <c r="AK619" s="6" t="s">
        <v>57</v>
      </c>
      <c r="AL619" s="6" t="s">
        <v>57</v>
      </c>
      <c r="AM619" s="6" t="s">
        <v>57</v>
      </c>
      <c r="AN619" s="6" t="s">
        <v>57</v>
      </c>
      <c r="AO619" s="6" t="s">
        <v>57</v>
      </c>
      <c r="AP619" s="6" t="s">
        <v>57</v>
      </c>
      <c r="AQ619" s="9">
        <v>0</v>
      </c>
    </row>
    <row r="620" spans="1:43" ht="15">
      <c r="A620" s="2" t="s">
        <v>2194</v>
      </c>
      <c r="B620" s="5">
        <v>105657782</v>
      </c>
      <c r="C620" s="2" t="s">
        <v>23</v>
      </c>
      <c r="D620" s="2" t="s">
        <v>2195</v>
      </c>
      <c r="E620" s="2" t="s">
        <v>2196</v>
      </c>
      <c r="F620" s="2" t="s">
        <v>26</v>
      </c>
      <c r="G620" s="2" t="s">
        <v>26</v>
      </c>
      <c r="H620" s="2" t="s">
        <v>27</v>
      </c>
      <c r="I620" s="2" t="s">
        <v>28</v>
      </c>
      <c r="J620" s="6"/>
      <c r="K620" s="2" t="s">
        <v>55</v>
      </c>
      <c r="L620" s="2" t="s">
        <v>56</v>
      </c>
      <c r="M620" s="2" t="s">
        <v>55</v>
      </c>
      <c r="N620" s="2"/>
      <c r="O620" s="2"/>
      <c r="P620" s="6" t="s">
        <v>57</v>
      </c>
      <c r="Q620" s="6" t="s">
        <v>57</v>
      </c>
      <c r="R620" s="9">
        <v>0</v>
      </c>
      <c r="S620" s="2"/>
      <c r="T620" s="9">
        <v>0</v>
      </c>
      <c r="U620" s="9">
        <v>0</v>
      </c>
      <c r="V620" s="9">
        <v>0</v>
      </c>
      <c r="W620" s="9">
        <v>55292</v>
      </c>
      <c r="X620" s="9">
        <v>55071</v>
      </c>
      <c r="Y620" s="9">
        <v>83759</v>
      </c>
      <c r="Z620" s="9">
        <v>88196</v>
      </c>
      <c r="AA620" s="9">
        <v>151414</v>
      </c>
      <c r="AB620" s="9">
        <v>0</v>
      </c>
      <c r="AC620" s="9">
        <v>0</v>
      </c>
      <c r="AD620" s="9">
        <v>0</v>
      </c>
      <c r="AE620" s="6" t="s">
        <v>57</v>
      </c>
      <c r="AF620" s="6" t="s">
        <v>57</v>
      </c>
      <c r="AG620" s="6" t="s">
        <v>57</v>
      </c>
      <c r="AH620" s="6" t="s">
        <v>57</v>
      </c>
      <c r="AI620" s="6" t="s">
        <v>57</v>
      </c>
      <c r="AJ620" s="6" t="s">
        <v>57</v>
      </c>
      <c r="AK620" s="6" t="s">
        <v>57</v>
      </c>
      <c r="AL620" s="6" t="s">
        <v>57</v>
      </c>
      <c r="AM620" s="6" t="s">
        <v>57</v>
      </c>
      <c r="AN620" s="6" t="s">
        <v>57</v>
      </c>
      <c r="AO620" s="6" t="s">
        <v>57</v>
      </c>
      <c r="AP620" s="6" t="s">
        <v>57</v>
      </c>
      <c r="AQ620" s="9">
        <v>0</v>
      </c>
    </row>
    <row r="621" spans="1:43" ht="15">
      <c r="A621" s="2" t="s">
        <v>2197</v>
      </c>
      <c r="B621" s="5">
        <v>141922581</v>
      </c>
      <c r="C621" s="2" t="s">
        <v>23</v>
      </c>
      <c r="D621" s="2" t="s">
        <v>2198</v>
      </c>
      <c r="E621" s="2" t="s">
        <v>2199</v>
      </c>
      <c r="F621" s="2" t="s">
        <v>26</v>
      </c>
      <c r="G621" s="2"/>
      <c r="H621" s="2"/>
      <c r="I621" s="2" t="s">
        <v>28</v>
      </c>
      <c r="J621" s="6"/>
      <c r="K621" s="2" t="s">
        <v>55</v>
      </c>
      <c r="L621" s="2" t="s">
        <v>56</v>
      </c>
      <c r="M621" s="2" t="s">
        <v>55</v>
      </c>
      <c r="N621" s="2"/>
      <c r="O621" s="2"/>
      <c r="P621" s="6" t="s">
        <v>57</v>
      </c>
      <c r="Q621" s="6" t="s">
        <v>57</v>
      </c>
      <c r="R621" s="6" t="s">
        <v>57</v>
      </c>
      <c r="S621" s="2"/>
      <c r="T621" s="6" t="s">
        <v>57</v>
      </c>
      <c r="U621" s="6" t="s">
        <v>57</v>
      </c>
      <c r="V621" s="6" t="s">
        <v>57</v>
      </c>
      <c r="W621" s="6" t="s">
        <v>57</v>
      </c>
      <c r="X621" s="6" t="s">
        <v>57</v>
      </c>
      <c r="Y621" s="6" t="s">
        <v>57</v>
      </c>
      <c r="Z621" s="6" t="s">
        <v>57</v>
      </c>
      <c r="AA621" s="6" t="s">
        <v>57</v>
      </c>
      <c r="AB621" s="6" t="s">
        <v>57</v>
      </c>
      <c r="AC621" s="6" t="s">
        <v>57</v>
      </c>
      <c r="AD621" s="6" t="s">
        <v>57</v>
      </c>
      <c r="AE621" s="6" t="s">
        <v>57</v>
      </c>
      <c r="AF621" s="6" t="s">
        <v>57</v>
      </c>
      <c r="AG621" s="6" t="s">
        <v>57</v>
      </c>
      <c r="AH621" s="6" t="s">
        <v>57</v>
      </c>
      <c r="AI621" s="6" t="s">
        <v>57</v>
      </c>
      <c r="AJ621" s="6" t="s">
        <v>57</v>
      </c>
      <c r="AK621" s="6" t="s">
        <v>57</v>
      </c>
      <c r="AL621" s="6" t="s">
        <v>57</v>
      </c>
      <c r="AM621" s="6" t="s">
        <v>57</v>
      </c>
      <c r="AN621" s="6" t="s">
        <v>57</v>
      </c>
      <c r="AO621" s="6" t="s">
        <v>57</v>
      </c>
      <c r="AP621" s="6" t="s">
        <v>57</v>
      </c>
      <c r="AQ621" s="6" t="s">
        <v>57</v>
      </c>
    </row>
    <row r="622" spans="1:43" ht="15">
      <c r="A622" s="2" t="s">
        <v>2200</v>
      </c>
      <c r="B622" s="5">
        <v>109777070</v>
      </c>
      <c r="C622" s="2" t="s">
        <v>23</v>
      </c>
      <c r="D622" s="2" t="s">
        <v>2198</v>
      </c>
      <c r="E622" s="2" t="s">
        <v>2201</v>
      </c>
      <c r="F622" s="2" t="s">
        <v>26</v>
      </c>
      <c r="G622" s="2" t="s">
        <v>26</v>
      </c>
      <c r="H622" s="2" t="s">
        <v>27</v>
      </c>
      <c r="I622" s="2" t="s">
        <v>28</v>
      </c>
      <c r="J622" s="6"/>
      <c r="K622" s="2" t="s">
        <v>55</v>
      </c>
      <c r="L622" s="2" t="s">
        <v>56</v>
      </c>
      <c r="M622" s="2" t="s">
        <v>55</v>
      </c>
      <c r="N622" s="2"/>
      <c r="O622" s="2"/>
      <c r="P622" s="6" t="s">
        <v>57</v>
      </c>
      <c r="Q622" s="6" t="s">
        <v>57</v>
      </c>
      <c r="R622" s="9">
        <v>0</v>
      </c>
      <c r="S622" s="2"/>
      <c r="T622" s="9">
        <v>0</v>
      </c>
      <c r="U622" s="9">
        <v>0</v>
      </c>
      <c r="V622" s="9">
        <v>0</v>
      </c>
      <c r="W622" s="9">
        <v>0</v>
      </c>
      <c r="X622" s="9">
        <v>0</v>
      </c>
      <c r="Y622" s="9">
        <v>0</v>
      </c>
      <c r="Z622" s="9">
        <v>0</v>
      </c>
      <c r="AA622" s="9">
        <v>0</v>
      </c>
      <c r="AB622" s="9">
        <v>0</v>
      </c>
      <c r="AC622" s="9">
        <v>0</v>
      </c>
      <c r="AD622" s="9">
        <v>0</v>
      </c>
      <c r="AE622" s="6" t="s">
        <v>57</v>
      </c>
      <c r="AF622" s="6" t="s">
        <v>57</v>
      </c>
      <c r="AG622" s="6" t="s">
        <v>57</v>
      </c>
      <c r="AH622" s="6" t="s">
        <v>57</v>
      </c>
      <c r="AI622" s="6" t="s">
        <v>57</v>
      </c>
      <c r="AJ622" s="6" t="s">
        <v>57</v>
      </c>
      <c r="AK622" s="6" t="s">
        <v>57</v>
      </c>
      <c r="AL622" s="6" t="s">
        <v>57</v>
      </c>
      <c r="AM622" s="6" t="s">
        <v>57</v>
      </c>
      <c r="AN622" s="6" t="s">
        <v>57</v>
      </c>
      <c r="AO622" s="6" t="s">
        <v>57</v>
      </c>
      <c r="AP622" s="6" t="s">
        <v>57</v>
      </c>
      <c r="AQ622" s="9">
        <v>0</v>
      </c>
    </row>
    <row r="623" spans="1:43" ht="15">
      <c r="A623" s="2" t="s">
        <v>2202</v>
      </c>
      <c r="B623" s="5">
        <v>125206512</v>
      </c>
      <c r="C623" s="2" t="s">
        <v>23</v>
      </c>
      <c r="D623" s="2" t="s">
        <v>2203</v>
      </c>
      <c r="E623" s="2" t="s">
        <v>2204</v>
      </c>
      <c r="F623" s="2" t="s">
        <v>26</v>
      </c>
      <c r="G623" s="2" t="s">
        <v>26</v>
      </c>
      <c r="H623" s="2" t="s">
        <v>27</v>
      </c>
      <c r="I623" s="2" t="s">
        <v>28</v>
      </c>
      <c r="J623" s="6"/>
      <c r="K623" s="2" t="s">
        <v>55</v>
      </c>
      <c r="L623" s="2" t="s">
        <v>56</v>
      </c>
      <c r="M623" s="2" t="s">
        <v>55</v>
      </c>
      <c r="N623" s="2"/>
      <c r="O623" s="2"/>
      <c r="P623" s="6" t="s">
        <v>57</v>
      </c>
      <c r="Q623" s="6" t="s">
        <v>57</v>
      </c>
      <c r="R623" s="6" t="s">
        <v>57</v>
      </c>
      <c r="S623" s="2"/>
      <c r="T623" s="6" t="s">
        <v>57</v>
      </c>
      <c r="U623" s="6" t="s">
        <v>57</v>
      </c>
      <c r="V623" s="6" t="s">
        <v>57</v>
      </c>
      <c r="W623" s="6" t="s">
        <v>57</v>
      </c>
      <c r="X623" s="6" t="s">
        <v>57</v>
      </c>
      <c r="Y623" s="6" t="s">
        <v>57</v>
      </c>
      <c r="Z623" s="6" t="s">
        <v>57</v>
      </c>
      <c r="AA623" s="6" t="s">
        <v>57</v>
      </c>
      <c r="AB623" s="6" t="s">
        <v>57</v>
      </c>
      <c r="AC623" s="6" t="s">
        <v>57</v>
      </c>
      <c r="AD623" s="6" t="s">
        <v>57</v>
      </c>
      <c r="AE623" s="6" t="s">
        <v>57</v>
      </c>
      <c r="AF623" s="6" t="s">
        <v>57</v>
      </c>
      <c r="AG623" s="6" t="s">
        <v>57</v>
      </c>
      <c r="AH623" s="6" t="s">
        <v>57</v>
      </c>
      <c r="AI623" s="6" t="s">
        <v>57</v>
      </c>
      <c r="AJ623" s="6" t="s">
        <v>57</v>
      </c>
      <c r="AK623" s="6" t="s">
        <v>57</v>
      </c>
      <c r="AL623" s="6" t="s">
        <v>57</v>
      </c>
      <c r="AM623" s="6" t="s">
        <v>57</v>
      </c>
      <c r="AN623" s="6" t="s">
        <v>57</v>
      </c>
      <c r="AO623" s="6" t="s">
        <v>57</v>
      </c>
      <c r="AP623" s="6" t="s">
        <v>57</v>
      </c>
      <c r="AQ623" s="6" t="s">
        <v>57</v>
      </c>
    </row>
    <row r="624" spans="1:43" ht="15">
      <c r="A624" s="2" t="s">
        <v>2205</v>
      </c>
      <c r="B624" s="5">
        <v>132434557</v>
      </c>
      <c r="C624" s="2" t="s">
        <v>23</v>
      </c>
      <c r="D624" s="2" t="s">
        <v>2206</v>
      </c>
      <c r="E624" s="2" t="s">
        <v>2207</v>
      </c>
      <c r="F624" s="2" t="s">
        <v>26</v>
      </c>
      <c r="G624" s="2" t="s">
        <v>26</v>
      </c>
      <c r="H624" s="2" t="s">
        <v>27</v>
      </c>
      <c r="I624" s="2" t="s">
        <v>28</v>
      </c>
      <c r="J624" s="6"/>
      <c r="K624" s="2" t="s">
        <v>55</v>
      </c>
      <c r="L624" s="2" t="s">
        <v>56</v>
      </c>
      <c r="M624" s="2" t="s">
        <v>55</v>
      </c>
      <c r="N624" s="2"/>
      <c r="O624" s="2"/>
      <c r="P624" s="6" t="s">
        <v>57</v>
      </c>
      <c r="Q624" s="6" t="s">
        <v>57</v>
      </c>
      <c r="R624" s="9">
        <v>0</v>
      </c>
      <c r="S624" s="2"/>
      <c r="T624" s="9">
        <v>0</v>
      </c>
      <c r="U624" s="9">
        <v>0</v>
      </c>
      <c r="V624" s="9">
        <v>0</v>
      </c>
      <c r="W624" s="9">
        <v>0</v>
      </c>
      <c r="X624" s="9">
        <v>0</v>
      </c>
      <c r="Y624" s="9">
        <v>0</v>
      </c>
      <c r="Z624" s="9">
        <v>0</v>
      </c>
      <c r="AA624" s="9">
        <v>0</v>
      </c>
      <c r="AB624" s="9">
        <v>0</v>
      </c>
      <c r="AC624" s="9">
        <v>0</v>
      </c>
      <c r="AD624" s="9">
        <v>0</v>
      </c>
      <c r="AE624" s="6" t="s">
        <v>57</v>
      </c>
      <c r="AF624" s="6" t="s">
        <v>57</v>
      </c>
      <c r="AG624" s="6" t="s">
        <v>57</v>
      </c>
      <c r="AH624" s="6" t="s">
        <v>57</v>
      </c>
      <c r="AI624" s="6" t="s">
        <v>57</v>
      </c>
      <c r="AJ624" s="6" t="s">
        <v>57</v>
      </c>
      <c r="AK624" s="6" t="s">
        <v>57</v>
      </c>
      <c r="AL624" s="6" t="s">
        <v>57</v>
      </c>
      <c r="AM624" s="6" t="s">
        <v>57</v>
      </c>
      <c r="AN624" s="6" t="s">
        <v>57</v>
      </c>
      <c r="AO624" s="6" t="s">
        <v>57</v>
      </c>
      <c r="AP624" s="6" t="s">
        <v>57</v>
      </c>
      <c r="AQ624" s="9">
        <v>0</v>
      </c>
    </row>
    <row r="625" spans="1:43" ht="15">
      <c r="A625" s="2" t="s">
        <v>2208</v>
      </c>
      <c r="B625" s="5">
        <v>131010891</v>
      </c>
      <c r="C625" s="2" t="s">
        <v>23</v>
      </c>
      <c r="D625" s="2" t="s">
        <v>2209</v>
      </c>
      <c r="E625" s="2" t="s">
        <v>2210</v>
      </c>
      <c r="F625" s="2" t="s">
        <v>26</v>
      </c>
      <c r="G625" s="2"/>
      <c r="H625" s="2"/>
      <c r="I625" s="2" t="s">
        <v>28</v>
      </c>
      <c r="J625" s="6"/>
      <c r="K625" s="2" t="s">
        <v>55</v>
      </c>
      <c r="L625" s="2" t="s">
        <v>56</v>
      </c>
      <c r="M625" s="2" t="s">
        <v>55</v>
      </c>
      <c r="N625" s="2"/>
      <c r="O625" s="2"/>
      <c r="P625" s="6" t="s">
        <v>57</v>
      </c>
      <c r="Q625" s="6" t="s">
        <v>57</v>
      </c>
      <c r="R625" s="6" t="s">
        <v>57</v>
      </c>
      <c r="S625" s="2"/>
      <c r="T625" s="6" t="s">
        <v>57</v>
      </c>
      <c r="U625" s="6" t="s">
        <v>57</v>
      </c>
      <c r="V625" s="6" t="s">
        <v>57</v>
      </c>
      <c r="W625" s="6" t="s">
        <v>57</v>
      </c>
      <c r="X625" s="6" t="s">
        <v>57</v>
      </c>
      <c r="Y625" s="6" t="s">
        <v>57</v>
      </c>
      <c r="Z625" s="6" t="s">
        <v>57</v>
      </c>
      <c r="AA625" s="6" t="s">
        <v>57</v>
      </c>
      <c r="AB625" s="6" t="s">
        <v>57</v>
      </c>
      <c r="AC625" s="6" t="s">
        <v>57</v>
      </c>
      <c r="AD625" s="6" t="s">
        <v>57</v>
      </c>
      <c r="AE625" s="6" t="s">
        <v>57</v>
      </c>
      <c r="AF625" s="6" t="s">
        <v>57</v>
      </c>
      <c r="AG625" s="6" t="s">
        <v>57</v>
      </c>
      <c r="AH625" s="6" t="s">
        <v>57</v>
      </c>
      <c r="AI625" s="6" t="s">
        <v>57</v>
      </c>
      <c r="AJ625" s="6" t="s">
        <v>57</v>
      </c>
      <c r="AK625" s="6" t="s">
        <v>57</v>
      </c>
      <c r="AL625" s="6" t="s">
        <v>57</v>
      </c>
      <c r="AM625" s="6" t="s">
        <v>57</v>
      </c>
      <c r="AN625" s="6" t="s">
        <v>57</v>
      </c>
      <c r="AO625" s="6" t="s">
        <v>57</v>
      </c>
      <c r="AP625" s="6" t="s">
        <v>57</v>
      </c>
      <c r="AQ625" s="6" t="s">
        <v>57</v>
      </c>
    </row>
    <row r="626" spans="1:43" ht="15">
      <c r="A626" s="2" t="s">
        <v>2211</v>
      </c>
      <c r="B626" s="5">
        <v>140734404</v>
      </c>
      <c r="C626" s="2" t="s">
        <v>23</v>
      </c>
      <c r="D626" s="2" t="s">
        <v>2212</v>
      </c>
      <c r="E626" s="2" t="s">
        <v>2213</v>
      </c>
      <c r="F626" s="2" t="s">
        <v>26</v>
      </c>
      <c r="G626" s="2"/>
      <c r="H626" s="2"/>
      <c r="I626" s="2" t="s">
        <v>28</v>
      </c>
      <c r="J626" s="6"/>
      <c r="K626" s="2" t="s">
        <v>55</v>
      </c>
      <c r="L626" s="2" t="s">
        <v>56</v>
      </c>
      <c r="M626" s="2" t="s">
        <v>55</v>
      </c>
      <c r="N626" s="2"/>
      <c r="O626" s="2"/>
      <c r="P626" s="6" t="s">
        <v>57</v>
      </c>
      <c r="Q626" s="6" t="s">
        <v>57</v>
      </c>
      <c r="R626" s="9">
        <v>0</v>
      </c>
      <c r="S626" s="2"/>
      <c r="T626" s="9">
        <v>0</v>
      </c>
      <c r="U626" s="9">
        <v>0</v>
      </c>
      <c r="V626" s="9">
        <v>0</v>
      </c>
      <c r="W626" s="9">
        <v>160</v>
      </c>
      <c r="X626" s="9">
        <v>160</v>
      </c>
      <c r="Y626" s="9">
        <v>160</v>
      </c>
      <c r="Z626" s="9">
        <v>160</v>
      </c>
      <c r="AA626" s="9">
        <v>160</v>
      </c>
      <c r="AB626" s="9">
        <v>0</v>
      </c>
      <c r="AC626" s="9">
        <v>0</v>
      </c>
      <c r="AD626" s="9">
        <v>0</v>
      </c>
      <c r="AE626" s="6" t="s">
        <v>57</v>
      </c>
      <c r="AF626" s="6" t="s">
        <v>57</v>
      </c>
      <c r="AG626" s="6" t="s">
        <v>57</v>
      </c>
      <c r="AH626" s="6" t="s">
        <v>57</v>
      </c>
      <c r="AI626" s="6" t="s">
        <v>57</v>
      </c>
      <c r="AJ626" s="6" t="s">
        <v>57</v>
      </c>
      <c r="AK626" s="6" t="s">
        <v>57</v>
      </c>
      <c r="AL626" s="6" t="s">
        <v>57</v>
      </c>
      <c r="AM626" s="6" t="s">
        <v>57</v>
      </c>
      <c r="AN626" s="6" t="s">
        <v>57</v>
      </c>
      <c r="AO626" s="6" t="s">
        <v>57</v>
      </c>
      <c r="AP626" s="6" t="s">
        <v>57</v>
      </c>
      <c r="AQ626" s="9">
        <v>0</v>
      </c>
    </row>
    <row r="627" spans="1:43" ht="15">
      <c r="A627" s="2" t="s">
        <v>2214</v>
      </c>
      <c r="B627" s="5">
        <v>130258058</v>
      </c>
      <c r="C627" s="2" t="s">
        <v>23</v>
      </c>
      <c r="D627" s="2" t="s">
        <v>2215</v>
      </c>
      <c r="E627" s="2" t="s">
        <v>2216</v>
      </c>
      <c r="F627" s="2" t="s">
        <v>26</v>
      </c>
      <c r="G627" s="2" t="s">
        <v>26</v>
      </c>
      <c r="H627" s="2" t="s">
        <v>27</v>
      </c>
      <c r="I627" s="2" t="s">
        <v>28</v>
      </c>
      <c r="J627" s="6"/>
      <c r="K627" s="2" t="s">
        <v>55</v>
      </c>
      <c r="L627" s="2" t="s">
        <v>56</v>
      </c>
      <c r="M627" s="2" t="s">
        <v>55</v>
      </c>
      <c r="N627" s="2"/>
      <c r="O627" s="2"/>
      <c r="P627" s="6" t="s">
        <v>57</v>
      </c>
      <c r="Q627" s="6" t="s">
        <v>57</v>
      </c>
      <c r="R627" s="9">
        <v>0</v>
      </c>
      <c r="S627" s="2"/>
      <c r="T627" s="9">
        <v>0</v>
      </c>
      <c r="U627" s="9">
        <v>0</v>
      </c>
      <c r="V627" s="9">
        <v>0</v>
      </c>
      <c r="W627" s="9">
        <v>0</v>
      </c>
      <c r="X627" s="9">
        <v>0</v>
      </c>
      <c r="Y627" s="9">
        <v>232</v>
      </c>
      <c r="Z627" s="9">
        <v>232</v>
      </c>
      <c r="AA627" s="9">
        <v>232</v>
      </c>
      <c r="AB627" s="9">
        <v>0</v>
      </c>
      <c r="AC627" s="9">
        <v>0</v>
      </c>
      <c r="AD627" s="9">
        <v>0</v>
      </c>
      <c r="AE627" s="6" t="s">
        <v>57</v>
      </c>
      <c r="AF627" s="6" t="s">
        <v>57</v>
      </c>
      <c r="AG627" s="6" t="s">
        <v>57</v>
      </c>
      <c r="AH627" s="6" t="s">
        <v>57</v>
      </c>
      <c r="AI627" s="6" t="s">
        <v>57</v>
      </c>
      <c r="AJ627" s="6" t="s">
        <v>57</v>
      </c>
      <c r="AK627" s="6" t="s">
        <v>57</v>
      </c>
      <c r="AL627" s="6" t="s">
        <v>57</v>
      </c>
      <c r="AM627" s="6" t="s">
        <v>57</v>
      </c>
      <c r="AN627" s="6" t="s">
        <v>57</v>
      </c>
      <c r="AO627" s="6" t="s">
        <v>57</v>
      </c>
      <c r="AP627" s="6" t="s">
        <v>57</v>
      </c>
      <c r="AQ627" s="9">
        <v>0</v>
      </c>
    </row>
    <row r="628" spans="1:43" ht="15">
      <c r="A628" s="2" t="s">
        <v>2217</v>
      </c>
      <c r="B628" s="5">
        <v>28983035</v>
      </c>
      <c r="C628" s="2" t="s">
        <v>23</v>
      </c>
      <c r="D628" s="2" t="s">
        <v>2218</v>
      </c>
      <c r="E628" s="2" t="s">
        <v>2219</v>
      </c>
      <c r="F628" s="2" t="s">
        <v>26</v>
      </c>
      <c r="G628" s="2" t="s">
        <v>26</v>
      </c>
      <c r="H628" s="2" t="s">
        <v>27</v>
      </c>
      <c r="I628" s="2" t="s">
        <v>28</v>
      </c>
      <c r="J628" s="6"/>
      <c r="K628" s="2" t="s">
        <v>55</v>
      </c>
      <c r="L628" s="2" t="s">
        <v>56</v>
      </c>
      <c r="M628" s="2" t="s">
        <v>55</v>
      </c>
      <c r="N628" s="2"/>
      <c r="O628" s="2"/>
      <c r="P628" s="6" t="s">
        <v>57</v>
      </c>
      <c r="Q628" s="6" t="s">
        <v>57</v>
      </c>
      <c r="R628" s="9">
        <v>0</v>
      </c>
      <c r="S628" s="2"/>
      <c r="T628" s="9">
        <v>0</v>
      </c>
      <c r="U628" s="9">
        <v>0</v>
      </c>
      <c r="V628" s="9">
        <v>0</v>
      </c>
      <c r="W628" s="9">
        <v>0</v>
      </c>
      <c r="X628" s="9">
        <v>0</v>
      </c>
      <c r="Y628" s="9">
        <v>15233</v>
      </c>
      <c r="Z628" s="9">
        <v>10148</v>
      </c>
      <c r="AA628" s="9">
        <v>8722</v>
      </c>
      <c r="AB628" s="9">
        <v>0</v>
      </c>
      <c r="AC628" s="9">
        <v>0</v>
      </c>
      <c r="AD628" s="9">
        <v>0</v>
      </c>
      <c r="AE628" s="6" t="s">
        <v>57</v>
      </c>
      <c r="AF628" s="6" t="s">
        <v>57</v>
      </c>
      <c r="AG628" s="6" t="s">
        <v>57</v>
      </c>
      <c r="AH628" s="6" t="s">
        <v>57</v>
      </c>
      <c r="AI628" s="6" t="s">
        <v>57</v>
      </c>
      <c r="AJ628" s="6" t="s">
        <v>57</v>
      </c>
      <c r="AK628" s="6" t="s">
        <v>57</v>
      </c>
      <c r="AL628" s="6" t="s">
        <v>57</v>
      </c>
      <c r="AM628" s="6" t="s">
        <v>57</v>
      </c>
      <c r="AN628" s="6" t="s">
        <v>57</v>
      </c>
      <c r="AO628" s="6" t="s">
        <v>57</v>
      </c>
      <c r="AP628" s="6" t="s">
        <v>57</v>
      </c>
      <c r="AQ628" s="9">
        <v>0</v>
      </c>
    </row>
    <row r="629" spans="1:43" ht="15">
      <c r="A629" s="2" t="s">
        <v>2220</v>
      </c>
      <c r="B629" s="5">
        <v>28746483</v>
      </c>
      <c r="C629" s="2" t="s">
        <v>23</v>
      </c>
      <c r="D629" s="2" t="s">
        <v>2221</v>
      </c>
      <c r="E629" s="2" t="s">
        <v>2222</v>
      </c>
      <c r="F629" s="2" t="s">
        <v>26</v>
      </c>
      <c r="G629" s="2"/>
      <c r="H629" s="2"/>
      <c r="I629" s="2" t="s">
        <v>28</v>
      </c>
      <c r="J629" s="6"/>
      <c r="K629" s="2" t="s">
        <v>55</v>
      </c>
      <c r="L629" s="2" t="s">
        <v>56</v>
      </c>
      <c r="M629" s="2" t="s">
        <v>55</v>
      </c>
      <c r="N629" s="2"/>
      <c r="O629" s="2"/>
      <c r="P629" s="6" t="s">
        <v>57</v>
      </c>
      <c r="Q629" s="6" t="s">
        <v>57</v>
      </c>
      <c r="R629" s="9">
        <v>0</v>
      </c>
      <c r="S629" s="2"/>
      <c r="T629" s="9">
        <v>0</v>
      </c>
      <c r="U629" s="9">
        <v>0</v>
      </c>
      <c r="V629" s="9">
        <v>0</v>
      </c>
      <c r="W629" s="9">
        <v>2</v>
      </c>
      <c r="X629" s="9">
        <v>2</v>
      </c>
      <c r="Y629" s="9">
        <v>1</v>
      </c>
      <c r="Z629" s="9">
        <v>1</v>
      </c>
      <c r="AA629" s="9">
        <v>64</v>
      </c>
      <c r="AB629" s="9">
        <v>0</v>
      </c>
      <c r="AC629" s="9">
        <v>0</v>
      </c>
      <c r="AD629" s="9">
        <v>0</v>
      </c>
      <c r="AE629" s="6" t="s">
        <v>57</v>
      </c>
      <c r="AF629" s="6" t="s">
        <v>57</v>
      </c>
      <c r="AG629" s="6" t="s">
        <v>57</v>
      </c>
      <c r="AH629" s="6" t="s">
        <v>57</v>
      </c>
      <c r="AI629" s="6" t="s">
        <v>57</v>
      </c>
      <c r="AJ629" s="6" t="s">
        <v>57</v>
      </c>
      <c r="AK629" s="6" t="s">
        <v>57</v>
      </c>
      <c r="AL629" s="6" t="s">
        <v>57</v>
      </c>
      <c r="AM629" s="6" t="s">
        <v>57</v>
      </c>
      <c r="AN629" s="6" t="s">
        <v>57</v>
      </c>
      <c r="AO629" s="6" t="s">
        <v>57</v>
      </c>
      <c r="AP629" s="6" t="s">
        <v>57</v>
      </c>
      <c r="AQ629" s="9">
        <v>0</v>
      </c>
    </row>
    <row r="630" spans="1:43" ht="15">
      <c r="A630" s="2" t="s">
        <v>2223</v>
      </c>
      <c r="B630" s="5">
        <v>19954854</v>
      </c>
      <c r="C630" s="2" t="s">
        <v>23</v>
      </c>
      <c r="D630" s="2" t="s">
        <v>2224</v>
      </c>
      <c r="E630" s="2" t="s">
        <v>2225</v>
      </c>
      <c r="F630" s="2" t="s">
        <v>26</v>
      </c>
      <c r="G630" s="2" t="s">
        <v>26</v>
      </c>
      <c r="H630" s="2" t="s">
        <v>27</v>
      </c>
      <c r="I630" s="2" t="s">
        <v>28</v>
      </c>
      <c r="J630" s="6"/>
      <c r="K630" s="2" t="s">
        <v>55</v>
      </c>
      <c r="L630" s="2" t="s">
        <v>56</v>
      </c>
      <c r="M630" s="2" t="s">
        <v>55</v>
      </c>
      <c r="N630" s="2"/>
      <c r="O630" s="2"/>
      <c r="P630" s="6" t="s">
        <v>57</v>
      </c>
      <c r="Q630" s="6" t="s">
        <v>57</v>
      </c>
      <c r="R630" s="6" t="s">
        <v>57</v>
      </c>
      <c r="S630" s="2"/>
      <c r="T630" s="6" t="s">
        <v>57</v>
      </c>
      <c r="U630" s="6" t="s">
        <v>57</v>
      </c>
      <c r="V630" s="6" t="s">
        <v>57</v>
      </c>
      <c r="W630" s="6" t="s">
        <v>57</v>
      </c>
      <c r="X630" s="6" t="s">
        <v>57</v>
      </c>
      <c r="Y630" s="6" t="s">
        <v>57</v>
      </c>
      <c r="Z630" s="6" t="s">
        <v>57</v>
      </c>
      <c r="AA630" s="6" t="s">
        <v>57</v>
      </c>
      <c r="AB630" s="6" t="s">
        <v>57</v>
      </c>
      <c r="AC630" s="6" t="s">
        <v>57</v>
      </c>
      <c r="AD630" s="6" t="s">
        <v>57</v>
      </c>
      <c r="AE630" s="6" t="s">
        <v>57</v>
      </c>
      <c r="AF630" s="6" t="s">
        <v>57</v>
      </c>
      <c r="AG630" s="6" t="s">
        <v>57</v>
      </c>
      <c r="AH630" s="6" t="s">
        <v>57</v>
      </c>
      <c r="AI630" s="6" t="s">
        <v>57</v>
      </c>
      <c r="AJ630" s="6" t="s">
        <v>57</v>
      </c>
      <c r="AK630" s="6" t="s">
        <v>57</v>
      </c>
      <c r="AL630" s="6" t="s">
        <v>57</v>
      </c>
      <c r="AM630" s="6" t="s">
        <v>57</v>
      </c>
      <c r="AN630" s="6" t="s">
        <v>57</v>
      </c>
      <c r="AO630" s="6" t="s">
        <v>57</v>
      </c>
      <c r="AP630" s="6" t="s">
        <v>57</v>
      </c>
      <c r="AQ630" s="6" t="s">
        <v>57</v>
      </c>
    </row>
    <row r="631" spans="1:43" ht="15">
      <c r="A631" s="2" t="s">
        <v>2226</v>
      </c>
      <c r="B631" s="5">
        <v>13881839</v>
      </c>
      <c r="C631" s="2" t="s">
        <v>23</v>
      </c>
      <c r="D631" s="2" t="s">
        <v>2227</v>
      </c>
      <c r="E631" s="2" t="s">
        <v>2228</v>
      </c>
      <c r="F631" s="2" t="s">
        <v>26</v>
      </c>
      <c r="G631" s="2"/>
      <c r="H631" s="2"/>
      <c r="I631" s="2" t="s">
        <v>28</v>
      </c>
      <c r="J631" s="6"/>
      <c r="K631" s="2" t="s">
        <v>55</v>
      </c>
      <c r="L631" s="2" t="s">
        <v>56</v>
      </c>
      <c r="M631" s="2" t="s">
        <v>55</v>
      </c>
      <c r="N631" s="2"/>
      <c r="O631" s="2"/>
      <c r="P631" s="6" t="s">
        <v>57</v>
      </c>
      <c r="Q631" s="6" t="s">
        <v>57</v>
      </c>
      <c r="R631" s="9">
        <v>0</v>
      </c>
      <c r="S631" s="2"/>
      <c r="T631" s="9">
        <v>0</v>
      </c>
      <c r="U631" s="9">
        <v>0</v>
      </c>
      <c r="V631" s="9">
        <v>0</v>
      </c>
      <c r="W631" s="9">
        <v>31</v>
      </c>
      <c r="X631" s="9">
        <v>31</v>
      </c>
      <c r="Y631" s="9">
        <v>40</v>
      </c>
      <c r="Z631" s="9">
        <v>43</v>
      </c>
      <c r="AA631" s="9">
        <v>102</v>
      </c>
      <c r="AB631" s="9">
        <v>0</v>
      </c>
      <c r="AC631" s="9">
        <v>0</v>
      </c>
      <c r="AD631" s="9">
        <v>0</v>
      </c>
      <c r="AE631" s="6" t="s">
        <v>57</v>
      </c>
      <c r="AF631" s="6" t="s">
        <v>57</v>
      </c>
      <c r="AG631" s="6" t="s">
        <v>57</v>
      </c>
      <c r="AH631" s="6" t="s">
        <v>57</v>
      </c>
      <c r="AI631" s="6" t="s">
        <v>57</v>
      </c>
      <c r="AJ631" s="6" t="s">
        <v>57</v>
      </c>
      <c r="AK631" s="6" t="s">
        <v>57</v>
      </c>
      <c r="AL631" s="6" t="s">
        <v>57</v>
      </c>
      <c r="AM631" s="6" t="s">
        <v>57</v>
      </c>
      <c r="AN631" s="6" t="s">
        <v>57</v>
      </c>
      <c r="AO631" s="6" t="s">
        <v>57</v>
      </c>
      <c r="AP631" s="6" t="s">
        <v>57</v>
      </c>
      <c r="AQ631" s="9">
        <v>0</v>
      </c>
    </row>
    <row r="632" spans="1:43" ht="15">
      <c r="A632" s="2" t="s">
        <v>2229</v>
      </c>
      <c r="B632" s="5">
        <v>105878716</v>
      </c>
      <c r="C632" s="2" t="s">
        <v>23</v>
      </c>
      <c r="D632" s="2" t="s">
        <v>2230</v>
      </c>
      <c r="E632" s="2" t="s">
        <v>2231</v>
      </c>
      <c r="F632" s="2" t="s">
        <v>26</v>
      </c>
      <c r="G632" s="2" t="s">
        <v>26</v>
      </c>
      <c r="H632" s="2" t="s">
        <v>27</v>
      </c>
      <c r="I632" s="2" t="s">
        <v>28</v>
      </c>
      <c r="J632" s="6"/>
      <c r="K632" s="2" t="s">
        <v>55</v>
      </c>
      <c r="L632" s="2" t="s">
        <v>56</v>
      </c>
      <c r="M632" s="2" t="s">
        <v>55</v>
      </c>
      <c r="N632" s="2"/>
      <c r="O632" s="2"/>
      <c r="P632" s="6" t="s">
        <v>57</v>
      </c>
      <c r="Q632" s="6" t="s">
        <v>57</v>
      </c>
      <c r="R632" s="9">
        <v>0</v>
      </c>
      <c r="S632" s="2"/>
      <c r="T632" s="9">
        <v>0</v>
      </c>
      <c r="U632" s="9">
        <v>0</v>
      </c>
      <c r="V632" s="9">
        <v>0</v>
      </c>
      <c r="W632" s="9">
        <v>0</v>
      </c>
      <c r="X632" s="9">
        <v>0</v>
      </c>
      <c r="Y632" s="9">
        <v>0</v>
      </c>
      <c r="Z632" s="9">
        <v>0</v>
      </c>
      <c r="AA632" s="9">
        <v>0</v>
      </c>
      <c r="AB632" s="9">
        <v>0</v>
      </c>
      <c r="AC632" s="9">
        <v>0</v>
      </c>
      <c r="AD632" s="9">
        <v>0</v>
      </c>
      <c r="AE632" s="6" t="s">
        <v>57</v>
      </c>
      <c r="AF632" s="6" t="s">
        <v>57</v>
      </c>
      <c r="AG632" s="6" t="s">
        <v>57</v>
      </c>
      <c r="AH632" s="6" t="s">
        <v>57</v>
      </c>
      <c r="AI632" s="6" t="s">
        <v>57</v>
      </c>
      <c r="AJ632" s="6" t="s">
        <v>57</v>
      </c>
      <c r="AK632" s="6" t="s">
        <v>57</v>
      </c>
      <c r="AL632" s="6" t="s">
        <v>57</v>
      </c>
      <c r="AM632" s="6" t="s">
        <v>57</v>
      </c>
      <c r="AN632" s="6" t="s">
        <v>57</v>
      </c>
      <c r="AO632" s="6" t="s">
        <v>57</v>
      </c>
      <c r="AP632" s="6" t="s">
        <v>57</v>
      </c>
      <c r="AQ632" s="9">
        <v>0</v>
      </c>
    </row>
    <row r="633" spans="1:43" ht="15">
      <c r="A633" s="2" t="s">
        <v>2232</v>
      </c>
      <c r="B633" s="5">
        <v>26094870</v>
      </c>
      <c r="C633" s="2" t="s">
        <v>23</v>
      </c>
      <c r="D633" s="2" t="s">
        <v>2233</v>
      </c>
      <c r="E633" s="2" t="s">
        <v>2234</v>
      </c>
      <c r="F633" s="2" t="s">
        <v>26</v>
      </c>
      <c r="G633" s="2" t="s">
        <v>26</v>
      </c>
      <c r="H633" s="2" t="s">
        <v>27</v>
      </c>
      <c r="I633" s="2" t="s">
        <v>28</v>
      </c>
      <c r="J633" s="6"/>
      <c r="K633" s="2" t="s">
        <v>55</v>
      </c>
      <c r="L633" s="2" t="s">
        <v>56</v>
      </c>
      <c r="M633" s="2" t="s">
        <v>55</v>
      </c>
      <c r="N633" s="2"/>
      <c r="O633" s="2"/>
      <c r="P633" s="6" t="s">
        <v>57</v>
      </c>
      <c r="Q633" s="6" t="s">
        <v>57</v>
      </c>
      <c r="R633" s="9">
        <v>0</v>
      </c>
      <c r="S633" s="2"/>
      <c r="T633" s="9">
        <v>0</v>
      </c>
      <c r="U633" s="9">
        <v>0</v>
      </c>
      <c r="V633" s="9">
        <v>0</v>
      </c>
      <c r="W633" s="9">
        <v>0</v>
      </c>
      <c r="X633" s="9">
        <v>0</v>
      </c>
      <c r="Y633" s="9">
        <v>0</v>
      </c>
      <c r="Z633" s="9">
        <v>0</v>
      </c>
      <c r="AA633" s="9">
        <v>1664</v>
      </c>
      <c r="AB633" s="9">
        <v>0</v>
      </c>
      <c r="AC633" s="9">
        <v>0</v>
      </c>
      <c r="AD633" s="9">
        <v>0</v>
      </c>
      <c r="AE633" s="6" t="s">
        <v>57</v>
      </c>
      <c r="AF633" s="6" t="s">
        <v>57</v>
      </c>
      <c r="AG633" s="6" t="s">
        <v>57</v>
      </c>
      <c r="AH633" s="6" t="s">
        <v>57</v>
      </c>
      <c r="AI633" s="6" t="s">
        <v>57</v>
      </c>
      <c r="AJ633" s="6" t="s">
        <v>57</v>
      </c>
      <c r="AK633" s="6" t="s">
        <v>57</v>
      </c>
      <c r="AL633" s="6" t="s">
        <v>57</v>
      </c>
      <c r="AM633" s="6" t="s">
        <v>57</v>
      </c>
      <c r="AN633" s="6" t="s">
        <v>57</v>
      </c>
      <c r="AO633" s="6" t="s">
        <v>57</v>
      </c>
      <c r="AP633" s="6" t="s">
        <v>57</v>
      </c>
      <c r="AQ633" s="9">
        <v>0</v>
      </c>
    </row>
    <row r="634" spans="1:43" ht="15">
      <c r="A634" s="2" t="s">
        <v>2235</v>
      </c>
      <c r="B634" s="5">
        <v>4912579</v>
      </c>
      <c r="C634" s="2" t="s">
        <v>23</v>
      </c>
      <c r="D634" s="2" t="s">
        <v>2236</v>
      </c>
      <c r="E634" s="2" t="s">
        <v>2237</v>
      </c>
      <c r="F634" s="2" t="s">
        <v>26</v>
      </c>
      <c r="G634" s="2" t="s">
        <v>26</v>
      </c>
      <c r="H634" s="2" t="s">
        <v>27</v>
      </c>
      <c r="I634" s="2" t="s">
        <v>28</v>
      </c>
      <c r="J634" s="6"/>
      <c r="K634" s="2" t="s">
        <v>188</v>
      </c>
      <c r="L634" s="2" t="s">
        <v>30</v>
      </c>
      <c r="M634" s="2" t="s">
        <v>189</v>
      </c>
      <c r="N634" s="2" t="s">
        <v>188</v>
      </c>
      <c r="O634" s="2"/>
      <c r="P634" s="7">
        <v>21.202437145120001</v>
      </c>
      <c r="Q634" s="8">
        <v>78.046057196991995</v>
      </c>
      <c r="R634" s="9">
        <v>0</v>
      </c>
      <c r="S634" s="2" t="s">
        <v>2238</v>
      </c>
      <c r="T634" s="9">
        <v>0</v>
      </c>
      <c r="U634" s="9">
        <v>0</v>
      </c>
      <c r="V634" s="9">
        <v>67269</v>
      </c>
      <c r="W634" s="9">
        <v>52465</v>
      </c>
      <c r="X634" s="9">
        <v>52255</v>
      </c>
      <c r="Y634" s="9">
        <v>52811</v>
      </c>
      <c r="Z634" s="9">
        <v>37020</v>
      </c>
      <c r="AA634" s="9">
        <v>61421</v>
      </c>
      <c r="AB634" s="9">
        <v>0</v>
      </c>
      <c r="AC634" s="9">
        <v>70377</v>
      </c>
      <c r="AD634" s="9">
        <v>46942</v>
      </c>
      <c r="AE634" s="7">
        <v>0</v>
      </c>
      <c r="AF634" s="7">
        <v>2.0875606436367001E-07</v>
      </c>
      <c r="AG634" s="7">
        <v>5.2189016090917403E-08</v>
      </c>
      <c r="AH634" s="7">
        <v>0.042128386153836503</v>
      </c>
      <c r="AI634" s="7">
        <v>0.032856879055589601</v>
      </c>
      <c r="AJ634" s="7">
        <v>0.032725451539367199</v>
      </c>
      <c r="AK634" s="7">
        <v>0.033073868446783797</v>
      </c>
      <c r="AL634" s="7">
        <v>0.023184631519577802</v>
      </c>
      <c r="AM634" s="7">
        <v>0.038466103196322002</v>
      </c>
      <c r="AN634" s="7">
        <v>5.9644589818191403E-08</v>
      </c>
      <c r="AO634" s="7">
        <v>0.044074691824715503</v>
      </c>
      <c r="AP634" s="7">
        <v>0.029398513845375601</v>
      </c>
      <c r="AQ634" s="9">
        <v>0</v>
      </c>
    </row>
    <row r="635" spans="1:43" ht="15">
      <c r="A635" s="2" t="s">
        <v>2239</v>
      </c>
      <c r="B635" s="5">
        <v>4992202</v>
      </c>
      <c r="C635" s="2" t="s">
        <v>46</v>
      </c>
      <c r="D635" s="2" t="s">
        <v>2240</v>
      </c>
      <c r="E635" s="2" t="s">
        <v>2241</v>
      </c>
      <c r="F635" s="2" t="s">
        <v>49</v>
      </c>
      <c r="G635" s="2" t="s">
        <v>49</v>
      </c>
      <c r="H635" s="2" t="s">
        <v>50</v>
      </c>
      <c r="I635" s="2" t="s">
        <v>40</v>
      </c>
      <c r="J635" s="6"/>
      <c r="K635" s="2" t="s">
        <v>2242</v>
      </c>
      <c r="L635" s="2" t="s">
        <v>99</v>
      </c>
      <c r="M635" s="2" t="s">
        <v>100</v>
      </c>
      <c r="N635" s="2" t="s">
        <v>2242</v>
      </c>
      <c r="O635" s="2"/>
      <c r="P635" s="7">
        <v>21.328041917396298</v>
      </c>
      <c r="Q635" s="8">
        <v>19.357900497887201</v>
      </c>
      <c r="R635" s="9">
        <v>0</v>
      </c>
      <c r="S635" s="2" t="s">
        <v>2243</v>
      </c>
      <c r="T635" s="9">
        <v>0</v>
      </c>
      <c r="U635" s="9">
        <v>0</v>
      </c>
      <c r="V635" s="9">
        <v>51</v>
      </c>
      <c r="W635" s="9">
        <v>84</v>
      </c>
      <c r="X635" s="9">
        <v>84</v>
      </c>
      <c r="Y635" s="9">
        <v>145</v>
      </c>
      <c r="Z635" s="9">
        <v>149</v>
      </c>
      <c r="AA635" s="9">
        <v>167</v>
      </c>
      <c r="AB635" s="9">
        <v>0</v>
      </c>
      <c r="AC635" s="9">
        <v>54</v>
      </c>
      <c r="AD635" s="9">
        <v>27</v>
      </c>
      <c r="AE635" s="7">
        <v>0</v>
      </c>
      <c r="AF635" s="7">
        <v>0</v>
      </c>
      <c r="AG635" s="7">
        <v>0</v>
      </c>
      <c r="AH635" s="7">
        <v>0.00085007580431374402</v>
      </c>
      <c r="AI635" s="7">
        <v>0.0013884001265553501</v>
      </c>
      <c r="AJ635" s="7">
        <v>0.0013828465260491299</v>
      </c>
      <c r="AK635" s="7">
        <v>0.0023923085037496701</v>
      </c>
      <c r="AL635" s="7">
        <v>0.00246006368871028</v>
      </c>
      <c r="AM635" s="7">
        <v>0.00276620609638739</v>
      </c>
      <c r="AN635" s="7">
        <v>0</v>
      </c>
      <c r="AO635" s="7">
        <v>0.00089188281108327203</v>
      </c>
      <c r="AP635" s="7">
        <v>0.00043874880222644801</v>
      </c>
      <c r="AQ635" s="9">
        <v>0</v>
      </c>
    </row>
    <row r="636" spans="1:43" ht="15">
      <c r="A636" s="2" t="s">
        <v>2244</v>
      </c>
      <c r="B636" s="5">
        <v>107052596</v>
      </c>
      <c r="C636" s="2" t="s">
        <v>23</v>
      </c>
      <c r="D636" s="2" t="s">
        <v>2245</v>
      </c>
      <c r="E636" s="2" t="s">
        <v>2246</v>
      </c>
      <c r="F636" s="2" t="s">
        <v>26</v>
      </c>
      <c r="G636" s="2"/>
      <c r="H636" s="2"/>
      <c r="I636" s="2" t="s">
        <v>28</v>
      </c>
      <c r="J636" s="6"/>
      <c r="K636" s="2" t="s">
        <v>55</v>
      </c>
      <c r="L636" s="2" t="s">
        <v>56</v>
      </c>
      <c r="M636" s="2" t="s">
        <v>55</v>
      </c>
      <c r="N636" s="2"/>
      <c r="O636" s="2"/>
      <c r="P636" s="6" t="s">
        <v>57</v>
      </c>
      <c r="Q636" s="6" t="s">
        <v>57</v>
      </c>
      <c r="R636" s="9">
        <v>0</v>
      </c>
      <c r="S636" s="2"/>
      <c r="T636" s="9">
        <v>0</v>
      </c>
      <c r="U636" s="9">
        <v>0</v>
      </c>
      <c r="V636" s="9">
        <v>0</v>
      </c>
      <c r="W636" s="9">
        <v>0</v>
      </c>
      <c r="X636" s="9">
        <v>0</v>
      </c>
      <c r="Y636" s="9">
        <v>0</v>
      </c>
      <c r="Z636" s="9">
        <v>0</v>
      </c>
      <c r="AA636" s="9">
        <v>689</v>
      </c>
      <c r="AB636" s="9">
        <v>0</v>
      </c>
      <c r="AC636" s="9">
        <v>0</v>
      </c>
      <c r="AD636" s="9">
        <v>0</v>
      </c>
      <c r="AE636" s="6" t="s">
        <v>57</v>
      </c>
      <c r="AF636" s="6" t="s">
        <v>57</v>
      </c>
      <c r="AG636" s="6" t="s">
        <v>57</v>
      </c>
      <c r="AH636" s="6" t="s">
        <v>57</v>
      </c>
      <c r="AI636" s="6" t="s">
        <v>57</v>
      </c>
      <c r="AJ636" s="6" t="s">
        <v>57</v>
      </c>
      <c r="AK636" s="6" t="s">
        <v>57</v>
      </c>
      <c r="AL636" s="6" t="s">
        <v>57</v>
      </c>
      <c r="AM636" s="6" t="s">
        <v>57</v>
      </c>
      <c r="AN636" s="6" t="s">
        <v>57</v>
      </c>
      <c r="AO636" s="6" t="s">
        <v>57</v>
      </c>
      <c r="AP636" s="6" t="s">
        <v>57</v>
      </c>
      <c r="AQ636" s="9">
        <v>0</v>
      </c>
    </row>
    <row r="637" spans="1:43" ht="15">
      <c r="A637" s="2" t="s">
        <v>2247</v>
      </c>
      <c r="B637" s="5">
        <v>115815742</v>
      </c>
      <c r="C637" s="2" t="s">
        <v>23</v>
      </c>
      <c r="D637" s="2" t="s">
        <v>2248</v>
      </c>
      <c r="E637" s="2" t="s">
        <v>2249</v>
      </c>
      <c r="F637" s="2" t="s">
        <v>26</v>
      </c>
      <c r="G637" s="2"/>
      <c r="H637" s="2"/>
      <c r="I637" s="2" t="s">
        <v>28</v>
      </c>
      <c r="J637" s="6"/>
      <c r="K637" s="2" t="s">
        <v>55</v>
      </c>
      <c r="L637" s="2" t="s">
        <v>56</v>
      </c>
      <c r="M637" s="2" t="s">
        <v>55</v>
      </c>
      <c r="N637" s="2"/>
      <c r="O637" s="2"/>
      <c r="P637" s="6" t="s">
        <v>57</v>
      </c>
      <c r="Q637" s="6" t="s">
        <v>57</v>
      </c>
      <c r="R637" s="6" t="s">
        <v>57</v>
      </c>
      <c r="S637" s="2"/>
      <c r="T637" s="6" t="s">
        <v>57</v>
      </c>
      <c r="U637" s="6" t="s">
        <v>57</v>
      </c>
      <c r="V637" s="6" t="s">
        <v>57</v>
      </c>
      <c r="W637" s="6" t="s">
        <v>57</v>
      </c>
      <c r="X637" s="6" t="s">
        <v>57</v>
      </c>
      <c r="Y637" s="6" t="s">
        <v>57</v>
      </c>
      <c r="Z637" s="6" t="s">
        <v>57</v>
      </c>
      <c r="AA637" s="6" t="s">
        <v>57</v>
      </c>
      <c r="AB637" s="6" t="s">
        <v>57</v>
      </c>
      <c r="AC637" s="6" t="s">
        <v>57</v>
      </c>
      <c r="AD637" s="6" t="s">
        <v>57</v>
      </c>
      <c r="AE637" s="6" t="s">
        <v>57</v>
      </c>
      <c r="AF637" s="6" t="s">
        <v>57</v>
      </c>
      <c r="AG637" s="6" t="s">
        <v>57</v>
      </c>
      <c r="AH637" s="6" t="s">
        <v>57</v>
      </c>
      <c r="AI637" s="6" t="s">
        <v>57</v>
      </c>
      <c r="AJ637" s="6" t="s">
        <v>57</v>
      </c>
      <c r="AK637" s="6" t="s">
        <v>57</v>
      </c>
      <c r="AL637" s="6" t="s">
        <v>57</v>
      </c>
      <c r="AM637" s="6" t="s">
        <v>57</v>
      </c>
      <c r="AN637" s="6" t="s">
        <v>57</v>
      </c>
      <c r="AO637" s="6" t="s">
        <v>57</v>
      </c>
      <c r="AP637" s="6" t="s">
        <v>57</v>
      </c>
      <c r="AQ637" s="6" t="s">
        <v>57</v>
      </c>
    </row>
    <row r="638" spans="1:43" ht="15">
      <c r="A638" s="2" t="s">
        <v>2250</v>
      </c>
      <c r="B638" s="5">
        <v>124154615</v>
      </c>
      <c r="C638" s="2" t="s">
        <v>23</v>
      </c>
      <c r="D638" s="2" t="s">
        <v>2251</v>
      </c>
      <c r="E638" s="2" t="s">
        <v>2252</v>
      </c>
      <c r="F638" s="2" t="s">
        <v>26</v>
      </c>
      <c r="G638" s="2"/>
      <c r="H638" s="2"/>
      <c r="I638" s="2" t="s">
        <v>28</v>
      </c>
      <c r="J638" s="6"/>
      <c r="K638" s="2" t="s">
        <v>55</v>
      </c>
      <c r="L638" s="2" t="s">
        <v>56</v>
      </c>
      <c r="M638" s="2" t="s">
        <v>55</v>
      </c>
      <c r="N638" s="2"/>
      <c r="O638" s="2"/>
      <c r="P638" s="6" t="s">
        <v>57</v>
      </c>
      <c r="Q638" s="6" t="s">
        <v>57</v>
      </c>
      <c r="R638" s="6" t="s">
        <v>57</v>
      </c>
      <c r="S638" s="2"/>
      <c r="T638" s="6" t="s">
        <v>57</v>
      </c>
      <c r="U638" s="6" t="s">
        <v>57</v>
      </c>
      <c r="V638" s="6" t="s">
        <v>57</v>
      </c>
      <c r="W638" s="6" t="s">
        <v>57</v>
      </c>
      <c r="X638" s="6" t="s">
        <v>57</v>
      </c>
      <c r="Y638" s="6" t="s">
        <v>57</v>
      </c>
      <c r="Z638" s="6" t="s">
        <v>57</v>
      </c>
      <c r="AA638" s="6" t="s">
        <v>57</v>
      </c>
      <c r="AB638" s="6" t="s">
        <v>57</v>
      </c>
      <c r="AC638" s="6" t="s">
        <v>57</v>
      </c>
      <c r="AD638" s="6" t="s">
        <v>57</v>
      </c>
      <c r="AE638" s="6" t="s">
        <v>57</v>
      </c>
      <c r="AF638" s="6" t="s">
        <v>57</v>
      </c>
      <c r="AG638" s="6" t="s">
        <v>57</v>
      </c>
      <c r="AH638" s="6" t="s">
        <v>57</v>
      </c>
      <c r="AI638" s="6" t="s">
        <v>57</v>
      </c>
      <c r="AJ638" s="6" t="s">
        <v>57</v>
      </c>
      <c r="AK638" s="6" t="s">
        <v>57</v>
      </c>
      <c r="AL638" s="6" t="s">
        <v>57</v>
      </c>
      <c r="AM638" s="6" t="s">
        <v>57</v>
      </c>
      <c r="AN638" s="6" t="s">
        <v>57</v>
      </c>
      <c r="AO638" s="6" t="s">
        <v>57</v>
      </c>
      <c r="AP638" s="6" t="s">
        <v>57</v>
      </c>
      <c r="AQ638" s="6" t="s">
        <v>57</v>
      </c>
    </row>
    <row r="639" spans="1:43" ht="15">
      <c r="A639" s="2" t="s">
        <v>2253</v>
      </c>
      <c r="B639" s="5">
        <v>109796588</v>
      </c>
      <c r="C639" s="2" t="s">
        <v>23</v>
      </c>
      <c r="D639" s="2" t="s">
        <v>2254</v>
      </c>
      <c r="E639" s="2" t="s">
        <v>2255</v>
      </c>
      <c r="F639" s="2" t="s">
        <v>26</v>
      </c>
      <c r="G639" s="2" t="s">
        <v>26</v>
      </c>
      <c r="H639" s="2" t="s">
        <v>27</v>
      </c>
      <c r="I639" s="2" t="s">
        <v>28</v>
      </c>
      <c r="J639" s="6"/>
      <c r="K639" s="2" t="s">
        <v>55</v>
      </c>
      <c r="L639" s="2" t="s">
        <v>56</v>
      </c>
      <c r="M639" s="2" t="s">
        <v>55</v>
      </c>
      <c r="N639" s="2"/>
      <c r="O639" s="2"/>
      <c r="P639" s="6" t="s">
        <v>57</v>
      </c>
      <c r="Q639" s="6" t="s">
        <v>57</v>
      </c>
      <c r="R639" s="9">
        <v>637</v>
      </c>
      <c r="S639" s="2"/>
      <c r="T639" s="9">
        <v>1427</v>
      </c>
      <c r="U639" s="9">
        <v>357</v>
      </c>
      <c r="V639" s="9">
        <v>3865</v>
      </c>
      <c r="W639" s="9">
        <v>1007</v>
      </c>
      <c r="X639" s="9">
        <v>1003</v>
      </c>
      <c r="Y639" s="9">
        <v>536</v>
      </c>
      <c r="Z639" s="9">
        <v>614</v>
      </c>
      <c r="AA639" s="9">
        <v>724</v>
      </c>
      <c r="AB639" s="9">
        <v>408</v>
      </c>
      <c r="AC639" s="9">
        <v>4055</v>
      </c>
      <c r="AD639" s="9">
        <v>1996</v>
      </c>
      <c r="AE639" s="6" t="s">
        <v>57</v>
      </c>
      <c r="AF639" s="6" t="s">
        <v>57</v>
      </c>
      <c r="AG639" s="6" t="s">
        <v>57</v>
      </c>
      <c r="AH639" s="6" t="s">
        <v>57</v>
      </c>
      <c r="AI639" s="6" t="s">
        <v>57</v>
      </c>
      <c r="AJ639" s="6" t="s">
        <v>57</v>
      </c>
      <c r="AK639" s="6" t="s">
        <v>57</v>
      </c>
      <c r="AL639" s="6" t="s">
        <v>57</v>
      </c>
      <c r="AM639" s="6" t="s">
        <v>57</v>
      </c>
      <c r="AN639" s="6" t="s">
        <v>57</v>
      </c>
      <c r="AO639" s="6" t="s">
        <v>57</v>
      </c>
      <c r="AP639" s="6" t="s">
        <v>57</v>
      </c>
      <c r="AQ639" s="9">
        <v>0</v>
      </c>
    </row>
    <row r="640" spans="1:43" ht="15">
      <c r="A640" s="2" t="s">
        <v>2256</v>
      </c>
      <c r="B640" s="5">
        <v>117278118</v>
      </c>
      <c r="C640" s="2" t="s">
        <v>23</v>
      </c>
      <c r="D640" s="2" t="s">
        <v>2257</v>
      </c>
      <c r="E640" s="2" t="s">
        <v>2258</v>
      </c>
      <c r="F640" s="2" t="s">
        <v>26</v>
      </c>
      <c r="G640" s="2" t="s">
        <v>26</v>
      </c>
      <c r="H640" s="2" t="s">
        <v>27</v>
      </c>
      <c r="I640" s="2" t="s">
        <v>28</v>
      </c>
      <c r="J640" s="6"/>
      <c r="K640" s="2" t="s">
        <v>55</v>
      </c>
      <c r="L640" s="2" t="s">
        <v>56</v>
      </c>
      <c r="M640" s="2" t="s">
        <v>55</v>
      </c>
      <c r="N640" s="2"/>
      <c r="O640" s="2"/>
      <c r="P640" s="6" t="s">
        <v>57</v>
      </c>
      <c r="Q640" s="6" t="s">
        <v>57</v>
      </c>
      <c r="R640" s="6" t="s">
        <v>57</v>
      </c>
      <c r="S640" s="2"/>
      <c r="T640" s="6" t="s">
        <v>57</v>
      </c>
      <c r="U640" s="6" t="s">
        <v>57</v>
      </c>
      <c r="V640" s="6" t="s">
        <v>57</v>
      </c>
      <c r="W640" s="6" t="s">
        <v>57</v>
      </c>
      <c r="X640" s="6" t="s">
        <v>57</v>
      </c>
      <c r="Y640" s="6" t="s">
        <v>57</v>
      </c>
      <c r="Z640" s="6" t="s">
        <v>57</v>
      </c>
      <c r="AA640" s="6" t="s">
        <v>57</v>
      </c>
      <c r="AB640" s="6" t="s">
        <v>57</v>
      </c>
      <c r="AC640" s="6" t="s">
        <v>57</v>
      </c>
      <c r="AD640" s="6" t="s">
        <v>57</v>
      </c>
      <c r="AE640" s="6" t="s">
        <v>57</v>
      </c>
      <c r="AF640" s="6" t="s">
        <v>57</v>
      </c>
      <c r="AG640" s="6" t="s">
        <v>57</v>
      </c>
      <c r="AH640" s="6" t="s">
        <v>57</v>
      </c>
      <c r="AI640" s="6" t="s">
        <v>57</v>
      </c>
      <c r="AJ640" s="6" t="s">
        <v>57</v>
      </c>
      <c r="AK640" s="6" t="s">
        <v>57</v>
      </c>
      <c r="AL640" s="6" t="s">
        <v>57</v>
      </c>
      <c r="AM640" s="6" t="s">
        <v>57</v>
      </c>
      <c r="AN640" s="6" t="s">
        <v>57</v>
      </c>
      <c r="AO640" s="6" t="s">
        <v>57</v>
      </c>
      <c r="AP640" s="6" t="s">
        <v>57</v>
      </c>
      <c r="AQ640" s="6" t="s">
        <v>57</v>
      </c>
    </row>
    <row r="641" spans="1:43" ht="15">
      <c r="A641" s="2" t="s">
        <v>2259</v>
      </c>
      <c r="B641" s="5">
        <v>106516577</v>
      </c>
      <c r="C641" s="2" t="s">
        <v>23</v>
      </c>
      <c r="D641" s="2" t="s">
        <v>2260</v>
      </c>
      <c r="E641" s="2" t="s">
        <v>2261</v>
      </c>
      <c r="F641" s="2" t="s">
        <v>26</v>
      </c>
      <c r="G641" s="2" t="s">
        <v>26</v>
      </c>
      <c r="H641" s="2" t="s">
        <v>27</v>
      </c>
      <c r="I641" s="2" t="s">
        <v>28</v>
      </c>
      <c r="J641" s="6"/>
      <c r="K641" s="2" t="s">
        <v>55</v>
      </c>
      <c r="L641" s="2" t="s">
        <v>56</v>
      </c>
      <c r="M641" s="2" t="s">
        <v>55</v>
      </c>
      <c r="N641" s="2"/>
      <c r="O641" s="2"/>
      <c r="P641" s="6" t="s">
        <v>57</v>
      </c>
      <c r="Q641" s="6" t="s">
        <v>57</v>
      </c>
      <c r="R641" s="9">
        <v>0</v>
      </c>
      <c r="S641" s="2"/>
      <c r="T641" s="9">
        <v>0</v>
      </c>
      <c r="U641" s="9">
        <v>0</v>
      </c>
      <c r="V641" s="9">
        <v>0</v>
      </c>
      <c r="W641" s="9">
        <v>4066</v>
      </c>
      <c r="X641" s="9">
        <v>4049</v>
      </c>
      <c r="Y641" s="9">
        <v>2173</v>
      </c>
      <c r="Z641" s="9">
        <v>2019</v>
      </c>
      <c r="AA641" s="9">
        <v>1777</v>
      </c>
      <c r="AB641" s="9">
        <v>0</v>
      </c>
      <c r="AC641" s="9">
        <v>0</v>
      </c>
      <c r="AD641" s="9">
        <v>2258</v>
      </c>
      <c r="AE641" s="6" t="s">
        <v>57</v>
      </c>
      <c r="AF641" s="6" t="s">
        <v>57</v>
      </c>
      <c r="AG641" s="6" t="s">
        <v>57</v>
      </c>
      <c r="AH641" s="6" t="s">
        <v>57</v>
      </c>
      <c r="AI641" s="6" t="s">
        <v>57</v>
      </c>
      <c r="AJ641" s="6" t="s">
        <v>57</v>
      </c>
      <c r="AK641" s="6" t="s">
        <v>57</v>
      </c>
      <c r="AL641" s="6" t="s">
        <v>57</v>
      </c>
      <c r="AM641" s="6" t="s">
        <v>57</v>
      </c>
      <c r="AN641" s="6" t="s">
        <v>57</v>
      </c>
      <c r="AO641" s="6" t="s">
        <v>57</v>
      </c>
      <c r="AP641" s="6" t="s">
        <v>57</v>
      </c>
      <c r="AQ641" s="9">
        <v>0</v>
      </c>
    </row>
    <row r="642" spans="1:43" ht="15">
      <c r="A642" s="2" t="s">
        <v>2262</v>
      </c>
      <c r="B642" s="5">
        <v>5738084</v>
      </c>
      <c r="C642" s="2" t="s">
        <v>23</v>
      </c>
      <c r="D642" s="2" t="s">
        <v>2263</v>
      </c>
      <c r="E642" s="2" t="s">
        <v>2264</v>
      </c>
      <c r="F642" s="2" t="s">
        <v>26</v>
      </c>
      <c r="G642" s="2" t="s">
        <v>26</v>
      </c>
      <c r="H642" s="2" t="s">
        <v>27</v>
      </c>
      <c r="I642" s="2" t="s">
        <v>28</v>
      </c>
      <c r="J642" s="6"/>
      <c r="K642" s="2" t="s">
        <v>55</v>
      </c>
      <c r="L642" s="2" t="s">
        <v>56</v>
      </c>
      <c r="M642" s="2" t="s">
        <v>55</v>
      </c>
      <c r="N642" s="2"/>
      <c r="O642" s="2"/>
      <c r="P642" s="6" t="s">
        <v>57</v>
      </c>
      <c r="Q642" s="6" t="s">
        <v>57</v>
      </c>
      <c r="R642" s="9">
        <v>0</v>
      </c>
      <c r="S642" s="2"/>
      <c r="T642" s="9">
        <v>0</v>
      </c>
      <c r="U642" s="9">
        <v>0</v>
      </c>
      <c r="V642" s="9">
        <v>0</v>
      </c>
      <c r="W642" s="9">
        <v>0</v>
      </c>
      <c r="X642" s="9">
        <v>0</v>
      </c>
      <c r="Y642" s="9">
        <v>85</v>
      </c>
      <c r="Z642" s="9">
        <v>1524</v>
      </c>
      <c r="AA642" s="9">
        <v>1774</v>
      </c>
      <c r="AB642" s="9">
        <v>0</v>
      </c>
      <c r="AC642" s="9">
        <v>0</v>
      </c>
      <c r="AD642" s="9">
        <v>0</v>
      </c>
      <c r="AE642" s="6" t="s">
        <v>57</v>
      </c>
      <c r="AF642" s="6" t="s">
        <v>57</v>
      </c>
      <c r="AG642" s="6" t="s">
        <v>57</v>
      </c>
      <c r="AH642" s="6" t="s">
        <v>57</v>
      </c>
      <c r="AI642" s="6" t="s">
        <v>57</v>
      </c>
      <c r="AJ642" s="6" t="s">
        <v>57</v>
      </c>
      <c r="AK642" s="6" t="s">
        <v>57</v>
      </c>
      <c r="AL642" s="6" t="s">
        <v>57</v>
      </c>
      <c r="AM642" s="6" t="s">
        <v>57</v>
      </c>
      <c r="AN642" s="6" t="s">
        <v>57</v>
      </c>
      <c r="AO642" s="6" t="s">
        <v>57</v>
      </c>
      <c r="AP642" s="6" t="s">
        <v>57</v>
      </c>
      <c r="AQ642" s="9">
        <v>0</v>
      </c>
    </row>
    <row r="643" spans="1:43" ht="15">
      <c r="A643" s="2" t="s">
        <v>2265</v>
      </c>
      <c r="B643" s="5">
        <v>105820582</v>
      </c>
      <c r="C643" s="2" t="s">
        <v>23</v>
      </c>
      <c r="D643" s="2" t="s">
        <v>2266</v>
      </c>
      <c r="E643" s="2" t="s">
        <v>2267</v>
      </c>
      <c r="F643" s="2" t="s">
        <v>26</v>
      </c>
      <c r="G643" s="2" t="s">
        <v>26</v>
      </c>
      <c r="H643" s="2" t="s">
        <v>27</v>
      </c>
      <c r="I643" s="2" t="s">
        <v>28</v>
      </c>
      <c r="J643" s="6"/>
      <c r="K643" s="2" t="s">
        <v>55</v>
      </c>
      <c r="L643" s="2" t="s">
        <v>56</v>
      </c>
      <c r="M643" s="2" t="s">
        <v>55</v>
      </c>
      <c r="N643" s="2"/>
      <c r="O643" s="2"/>
      <c r="P643" s="6" t="s">
        <v>57</v>
      </c>
      <c r="Q643" s="6" t="s">
        <v>57</v>
      </c>
      <c r="R643" s="9">
        <v>0</v>
      </c>
      <c r="S643" s="2"/>
      <c r="T643" s="9">
        <v>0</v>
      </c>
      <c r="U643" s="9">
        <v>0</v>
      </c>
      <c r="V643" s="9">
        <v>3285</v>
      </c>
      <c r="W643" s="9">
        <v>844</v>
      </c>
      <c r="X643" s="9">
        <v>841</v>
      </c>
      <c r="Y643" s="9">
        <v>1265</v>
      </c>
      <c r="Z643" s="9">
        <v>1406</v>
      </c>
      <c r="AA643" s="9">
        <v>1406</v>
      </c>
      <c r="AB643" s="9">
        <v>0</v>
      </c>
      <c r="AC643" s="9">
        <v>3446</v>
      </c>
      <c r="AD643" s="9">
        <v>1695</v>
      </c>
      <c r="AE643" s="6" t="s">
        <v>57</v>
      </c>
      <c r="AF643" s="6" t="s">
        <v>57</v>
      </c>
      <c r="AG643" s="6" t="s">
        <v>57</v>
      </c>
      <c r="AH643" s="6" t="s">
        <v>57</v>
      </c>
      <c r="AI643" s="6" t="s">
        <v>57</v>
      </c>
      <c r="AJ643" s="6" t="s">
        <v>57</v>
      </c>
      <c r="AK643" s="6" t="s">
        <v>57</v>
      </c>
      <c r="AL643" s="6" t="s">
        <v>57</v>
      </c>
      <c r="AM643" s="6" t="s">
        <v>57</v>
      </c>
      <c r="AN643" s="6" t="s">
        <v>57</v>
      </c>
      <c r="AO643" s="6" t="s">
        <v>57</v>
      </c>
      <c r="AP643" s="6" t="s">
        <v>57</v>
      </c>
      <c r="AQ643" s="9">
        <v>0</v>
      </c>
    </row>
    <row r="644" spans="1:43" ht="15">
      <c r="A644" s="2" t="s">
        <v>2268</v>
      </c>
      <c r="B644" s="5">
        <v>142945920</v>
      </c>
      <c r="C644" s="2" t="s">
        <v>23</v>
      </c>
      <c r="D644" s="2" t="s">
        <v>2269</v>
      </c>
      <c r="E644" s="2" t="s">
        <v>2270</v>
      </c>
      <c r="F644" s="2" t="s">
        <v>26</v>
      </c>
      <c r="G644" s="2"/>
      <c r="H644" s="2"/>
      <c r="I644" s="2" t="s">
        <v>28</v>
      </c>
      <c r="J644" s="6"/>
      <c r="K644" s="2" t="s">
        <v>55</v>
      </c>
      <c r="L644" s="2" t="s">
        <v>56</v>
      </c>
      <c r="M644" s="2" t="s">
        <v>55</v>
      </c>
      <c r="N644" s="2"/>
      <c r="O644" s="2"/>
      <c r="P644" s="6" t="s">
        <v>57</v>
      </c>
      <c r="Q644" s="6" t="s">
        <v>57</v>
      </c>
      <c r="R644" s="6" t="s">
        <v>57</v>
      </c>
      <c r="S644" s="2"/>
      <c r="T644" s="6" t="s">
        <v>57</v>
      </c>
      <c r="U644" s="6" t="s">
        <v>57</v>
      </c>
      <c r="V644" s="6" t="s">
        <v>57</v>
      </c>
      <c r="W644" s="6" t="s">
        <v>57</v>
      </c>
      <c r="X644" s="6" t="s">
        <v>57</v>
      </c>
      <c r="Y644" s="6" t="s">
        <v>57</v>
      </c>
      <c r="Z644" s="6" t="s">
        <v>57</v>
      </c>
      <c r="AA644" s="6" t="s">
        <v>57</v>
      </c>
      <c r="AB644" s="6" t="s">
        <v>57</v>
      </c>
      <c r="AC644" s="6" t="s">
        <v>57</v>
      </c>
      <c r="AD644" s="6" t="s">
        <v>57</v>
      </c>
      <c r="AE644" s="6" t="s">
        <v>57</v>
      </c>
      <c r="AF644" s="6" t="s">
        <v>57</v>
      </c>
      <c r="AG644" s="6" t="s">
        <v>57</v>
      </c>
      <c r="AH644" s="6" t="s">
        <v>57</v>
      </c>
      <c r="AI644" s="6" t="s">
        <v>57</v>
      </c>
      <c r="AJ644" s="6" t="s">
        <v>57</v>
      </c>
      <c r="AK644" s="6" t="s">
        <v>57</v>
      </c>
      <c r="AL644" s="6" t="s">
        <v>57</v>
      </c>
      <c r="AM644" s="6" t="s">
        <v>57</v>
      </c>
      <c r="AN644" s="6" t="s">
        <v>57</v>
      </c>
      <c r="AO644" s="6" t="s">
        <v>57</v>
      </c>
      <c r="AP644" s="6" t="s">
        <v>57</v>
      </c>
      <c r="AQ644" s="6" t="s">
        <v>57</v>
      </c>
    </row>
    <row r="645" spans="1:43" ht="15">
      <c r="A645" s="2" t="s">
        <v>2271</v>
      </c>
      <c r="B645" s="5">
        <v>19739126</v>
      </c>
      <c r="C645" s="2" t="s">
        <v>23</v>
      </c>
      <c r="D645" s="2" t="s">
        <v>2272</v>
      </c>
      <c r="E645" s="2" t="s">
        <v>2273</v>
      </c>
      <c r="F645" s="2" t="s">
        <v>26</v>
      </c>
      <c r="G645" s="2" t="s">
        <v>26</v>
      </c>
      <c r="H645" s="2" t="s">
        <v>27</v>
      </c>
      <c r="I645" s="2" t="s">
        <v>28</v>
      </c>
      <c r="J645" s="6"/>
      <c r="K645" s="2" t="s">
        <v>55</v>
      </c>
      <c r="L645" s="2" t="s">
        <v>56</v>
      </c>
      <c r="M645" s="2" t="s">
        <v>55</v>
      </c>
      <c r="N645" s="2"/>
      <c r="O645" s="2"/>
      <c r="P645" s="6" t="s">
        <v>57</v>
      </c>
      <c r="Q645" s="6" t="s">
        <v>57</v>
      </c>
      <c r="R645" s="9">
        <v>0</v>
      </c>
      <c r="S645" s="2"/>
      <c r="T645" s="9">
        <v>0</v>
      </c>
      <c r="U645" s="9">
        <v>0</v>
      </c>
      <c r="V645" s="9">
        <v>749</v>
      </c>
      <c r="W645" s="9">
        <v>1132</v>
      </c>
      <c r="X645" s="9">
        <v>1127</v>
      </c>
      <c r="Y645" s="9">
        <v>650</v>
      </c>
      <c r="Z645" s="9">
        <v>717</v>
      </c>
      <c r="AA645" s="9">
        <v>441</v>
      </c>
      <c r="AB645" s="9">
        <v>0</v>
      </c>
      <c r="AC645" s="9">
        <v>783</v>
      </c>
      <c r="AD645" s="9">
        <v>1080</v>
      </c>
      <c r="AE645" s="6" t="s">
        <v>57</v>
      </c>
      <c r="AF645" s="6" t="s">
        <v>57</v>
      </c>
      <c r="AG645" s="6" t="s">
        <v>57</v>
      </c>
      <c r="AH645" s="6" t="s">
        <v>57</v>
      </c>
      <c r="AI645" s="6" t="s">
        <v>57</v>
      </c>
      <c r="AJ645" s="6" t="s">
        <v>57</v>
      </c>
      <c r="AK645" s="6" t="s">
        <v>57</v>
      </c>
      <c r="AL645" s="6" t="s">
        <v>57</v>
      </c>
      <c r="AM645" s="6" t="s">
        <v>57</v>
      </c>
      <c r="AN645" s="6" t="s">
        <v>57</v>
      </c>
      <c r="AO645" s="6" t="s">
        <v>57</v>
      </c>
      <c r="AP645" s="6" t="s">
        <v>57</v>
      </c>
      <c r="AQ645" s="9">
        <v>0</v>
      </c>
    </row>
    <row r="646" spans="1:43" ht="15">
      <c r="A646" s="2" t="s">
        <v>2274</v>
      </c>
      <c r="B646" s="5">
        <v>119934908</v>
      </c>
      <c r="C646" s="2" t="s">
        <v>23</v>
      </c>
      <c r="D646" s="2" t="s">
        <v>2275</v>
      </c>
      <c r="E646" s="2" t="s">
        <v>2276</v>
      </c>
      <c r="F646" s="2" t="s">
        <v>26</v>
      </c>
      <c r="G646" s="2" t="s">
        <v>26</v>
      </c>
      <c r="H646" s="2" t="s">
        <v>27</v>
      </c>
      <c r="I646" s="2" t="s">
        <v>28</v>
      </c>
      <c r="J646" s="6"/>
      <c r="K646" s="2" t="s">
        <v>55</v>
      </c>
      <c r="L646" s="2" t="s">
        <v>56</v>
      </c>
      <c r="M646" s="2" t="s">
        <v>55</v>
      </c>
      <c r="N646" s="2"/>
      <c r="O646" s="2"/>
      <c r="P646" s="6" t="s">
        <v>57</v>
      </c>
      <c r="Q646" s="6" t="s">
        <v>57</v>
      </c>
      <c r="R646" s="9">
        <v>208667</v>
      </c>
      <c r="S646" s="2"/>
      <c r="T646" s="9">
        <v>71050</v>
      </c>
      <c r="U646" s="9">
        <v>24723</v>
      </c>
      <c r="V646" s="9">
        <v>22819</v>
      </c>
      <c r="W646" s="9">
        <v>42345</v>
      </c>
      <c r="X646" s="9">
        <v>42175</v>
      </c>
      <c r="Y646" s="9">
        <v>29281</v>
      </c>
      <c r="Z646" s="9">
        <v>29281</v>
      </c>
      <c r="AA646" s="9">
        <v>29281</v>
      </c>
      <c r="AB646" s="9">
        <v>28227</v>
      </c>
      <c r="AC646" s="9">
        <v>23941</v>
      </c>
      <c r="AD646" s="9">
        <v>58633</v>
      </c>
      <c r="AE646" s="6" t="s">
        <v>57</v>
      </c>
      <c r="AF646" s="6" t="s">
        <v>57</v>
      </c>
      <c r="AG646" s="6" t="s">
        <v>57</v>
      </c>
      <c r="AH646" s="6" t="s">
        <v>57</v>
      </c>
      <c r="AI646" s="6" t="s">
        <v>57</v>
      </c>
      <c r="AJ646" s="6" t="s">
        <v>57</v>
      </c>
      <c r="AK646" s="6" t="s">
        <v>57</v>
      </c>
      <c r="AL646" s="6" t="s">
        <v>57</v>
      </c>
      <c r="AM646" s="6" t="s">
        <v>57</v>
      </c>
      <c r="AN646" s="6" t="s">
        <v>57</v>
      </c>
      <c r="AO646" s="6" t="s">
        <v>57</v>
      </c>
      <c r="AP646" s="6" t="s">
        <v>57</v>
      </c>
      <c r="AQ646" s="9">
        <v>368540</v>
      </c>
    </row>
    <row r="647" spans="1:43" ht="15">
      <c r="A647" s="2" t="s">
        <v>2277</v>
      </c>
      <c r="B647" s="5">
        <v>117333321</v>
      </c>
      <c r="C647" s="2" t="s">
        <v>23</v>
      </c>
      <c r="D647" s="2" t="s">
        <v>2278</v>
      </c>
      <c r="E647" s="2" t="s">
        <v>2279</v>
      </c>
      <c r="F647" s="2" t="s">
        <v>26</v>
      </c>
      <c r="G647" s="2"/>
      <c r="H647" s="2"/>
      <c r="I647" s="2" t="s">
        <v>28</v>
      </c>
      <c r="J647" s="6"/>
      <c r="K647" s="2" t="s">
        <v>55</v>
      </c>
      <c r="L647" s="2" t="s">
        <v>56</v>
      </c>
      <c r="M647" s="2" t="s">
        <v>55</v>
      </c>
      <c r="N647" s="2"/>
      <c r="O647" s="2"/>
      <c r="P647" s="6" t="s">
        <v>57</v>
      </c>
      <c r="Q647" s="6" t="s">
        <v>57</v>
      </c>
      <c r="R647" s="9">
        <v>60</v>
      </c>
      <c r="S647" s="2"/>
      <c r="T647" s="9">
        <v>122</v>
      </c>
      <c r="U647" s="9">
        <v>267</v>
      </c>
      <c r="V647" s="9">
        <v>428</v>
      </c>
      <c r="W647" s="9">
        <v>871</v>
      </c>
      <c r="X647" s="9">
        <v>872</v>
      </c>
      <c r="Y647" s="9">
        <v>602</v>
      </c>
      <c r="Z647" s="9">
        <v>811</v>
      </c>
      <c r="AA647" s="9">
        <v>811</v>
      </c>
      <c r="AB647" s="9">
        <v>301</v>
      </c>
      <c r="AC647" s="9">
        <v>402</v>
      </c>
      <c r="AD647" s="9">
        <v>982</v>
      </c>
      <c r="AE647" s="6" t="s">
        <v>57</v>
      </c>
      <c r="AF647" s="6" t="s">
        <v>57</v>
      </c>
      <c r="AG647" s="6" t="s">
        <v>57</v>
      </c>
      <c r="AH647" s="6" t="s">
        <v>57</v>
      </c>
      <c r="AI647" s="6" t="s">
        <v>57</v>
      </c>
      <c r="AJ647" s="6" t="s">
        <v>57</v>
      </c>
      <c r="AK647" s="6" t="s">
        <v>57</v>
      </c>
      <c r="AL647" s="6" t="s">
        <v>57</v>
      </c>
      <c r="AM647" s="6" t="s">
        <v>57</v>
      </c>
      <c r="AN647" s="6" t="s">
        <v>57</v>
      </c>
      <c r="AO647" s="6" t="s">
        <v>57</v>
      </c>
      <c r="AP647" s="6" t="s">
        <v>57</v>
      </c>
      <c r="AQ647" s="9">
        <v>102</v>
      </c>
    </row>
    <row r="648" spans="1:43" ht="15">
      <c r="A648" s="2" t="s">
        <v>2280</v>
      </c>
      <c r="B648" s="5">
        <v>113523824</v>
      </c>
      <c r="C648" s="2" t="s">
        <v>23</v>
      </c>
      <c r="D648" s="2" t="s">
        <v>2281</v>
      </c>
      <c r="E648" s="2" t="s">
        <v>2282</v>
      </c>
      <c r="F648" s="2" t="s">
        <v>26</v>
      </c>
      <c r="G648" s="2" t="s">
        <v>26</v>
      </c>
      <c r="H648" s="2" t="s">
        <v>27</v>
      </c>
      <c r="I648" s="2" t="s">
        <v>28</v>
      </c>
      <c r="J648" s="6"/>
      <c r="K648" s="2" t="s">
        <v>55</v>
      </c>
      <c r="L648" s="2" t="s">
        <v>56</v>
      </c>
      <c r="M648" s="2" t="s">
        <v>55</v>
      </c>
      <c r="N648" s="2"/>
      <c r="O648" s="2"/>
      <c r="P648" s="6" t="s">
        <v>57</v>
      </c>
      <c r="Q648" s="6" t="s">
        <v>57</v>
      </c>
      <c r="R648" s="9">
        <v>0</v>
      </c>
      <c r="S648" s="2"/>
      <c r="T648" s="9">
        <v>0</v>
      </c>
      <c r="U648" s="9">
        <v>0</v>
      </c>
      <c r="V648" s="9">
        <v>0</v>
      </c>
      <c r="W648" s="9">
        <v>0</v>
      </c>
      <c r="X648" s="9">
        <v>0</v>
      </c>
      <c r="Y648" s="9">
        <v>0</v>
      </c>
      <c r="Z648" s="9">
        <v>0</v>
      </c>
      <c r="AA648" s="9">
        <v>0</v>
      </c>
      <c r="AB648" s="9">
        <v>0</v>
      </c>
      <c r="AC648" s="9">
        <v>0</v>
      </c>
      <c r="AD648" s="9">
        <v>0</v>
      </c>
      <c r="AE648" s="6" t="s">
        <v>57</v>
      </c>
      <c r="AF648" s="6" t="s">
        <v>57</v>
      </c>
      <c r="AG648" s="6" t="s">
        <v>57</v>
      </c>
      <c r="AH648" s="6" t="s">
        <v>57</v>
      </c>
      <c r="AI648" s="6" t="s">
        <v>57</v>
      </c>
      <c r="AJ648" s="6" t="s">
        <v>57</v>
      </c>
      <c r="AK648" s="6" t="s">
        <v>57</v>
      </c>
      <c r="AL648" s="6" t="s">
        <v>57</v>
      </c>
      <c r="AM648" s="6" t="s">
        <v>57</v>
      </c>
      <c r="AN648" s="6" t="s">
        <v>57</v>
      </c>
      <c r="AO648" s="6" t="s">
        <v>57</v>
      </c>
      <c r="AP648" s="6" t="s">
        <v>57</v>
      </c>
      <c r="AQ648" s="9">
        <v>0</v>
      </c>
    </row>
    <row r="649" spans="1:43" ht="15">
      <c r="A649" s="2" t="s">
        <v>2283</v>
      </c>
      <c r="B649" s="5">
        <v>9722996</v>
      </c>
      <c r="C649" s="2" t="s">
        <v>23</v>
      </c>
      <c r="D649" s="2" t="s">
        <v>2284</v>
      </c>
      <c r="E649" s="2" t="s">
        <v>2285</v>
      </c>
      <c r="F649" s="2" t="s">
        <v>26</v>
      </c>
      <c r="G649" s="2" t="s">
        <v>26</v>
      </c>
      <c r="H649" s="2" t="s">
        <v>27</v>
      </c>
      <c r="I649" s="2" t="s">
        <v>28</v>
      </c>
      <c r="J649" s="6"/>
      <c r="K649" s="2" t="s">
        <v>55</v>
      </c>
      <c r="L649" s="2" t="s">
        <v>56</v>
      </c>
      <c r="M649" s="2" t="s">
        <v>55</v>
      </c>
      <c r="N649" s="2"/>
      <c r="O649" s="2"/>
      <c r="P649" s="7">
        <v>5.58918333219962</v>
      </c>
      <c r="Q649" s="6" t="s">
        <v>57</v>
      </c>
      <c r="R649" s="9">
        <v>143088</v>
      </c>
      <c r="S649" s="2"/>
      <c r="T649" s="9">
        <v>52550</v>
      </c>
      <c r="U649" s="9">
        <v>68180</v>
      </c>
      <c r="V649" s="9">
        <v>95849</v>
      </c>
      <c r="W649" s="9">
        <v>68702</v>
      </c>
      <c r="X649" s="9">
        <v>68427</v>
      </c>
      <c r="Y649" s="9">
        <v>93687</v>
      </c>
      <c r="Z649" s="9">
        <v>66602</v>
      </c>
      <c r="AA649" s="9">
        <v>40966</v>
      </c>
      <c r="AB649" s="9">
        <v>71578</v>
      </c>
      <c r="AC649" s="9">
        <v>100485</v>
      </c>
      <c r="AD649" s="9">
        <v>104295</v>
      </c>
      <c r="AE649" s="6" t="s">
        <v>57</v>
      </c>
      <c r="AF649" s="6" t="s">
        <v>57</v>
      </c>
      <c r="AG649" s="6" t="s">
        <v>57</v>
      </c>
      <c r="AH649" s="6" t="s">
        <v>57</v>
      </c>
      <c r="AI649" s="6" t="s">
        <v>57</v>
      </c>
      <c r="AJ649" s="6" t="s">
        <v>57</v>
      </c>
      <c r="AK649" s="6" t="s">
        <v>57</v>
      </c>
      <c r="AL649" s="6" t="s">
        <v>57</v>
      </c>
      <c r="AM649" s="6" t="s">
        <v>57</v>
      </c>
      <c r="AN649" s="6" t="s">
        <v>57</v>
      </c>
      <c r="AO649" s="6" t="s">
        <v>57</v>
      </c>
      <c r="AP649" s="6" t="s">
        <v>57</v>
      </c>
      <c r="AQ649" s="9">
        <v>201240</v>
      </c>
    </row>
    <row r="650" spans="1:43" ht="15">
      <c r="A650" s="2" t="s">
        <v>2286</v>
      </c>
      <c r="B650" s="5">
        <v>5738245</v>
      </c>
      <c r="C650" s="2" t="s">
        <v>23</v>
      </c>
      <c r="D650" s="2" t="s">
        <v>2287</v>
      </c>
      <c r="E650" s="2" t="s">
        <v>2288</v>
      </c>
      <c r="F650" s="2" t="s">
        <v>26</v>
      </c>
      <c r="G650" s="2" t="s">
        <v>26</v>
      </c>
      <c r="H650" s="2" t="s">
        <v>27</v>
      </c>
      <c r="I650" s="2" t="s">
        <v>28</v>
      </c>
      <c r="J650" s="6"/>
      <c r="K650" s="2" t="s">
        <v>55</v>
      </c>
      <c r="L650" s="2" t="s">
        <v>56</v>
      </c>
      <c r="M650" s="2" t="s">
        <v>55</v>
      </c>
      <c r="N650" s="2"/>
      <c r="O650" s="2"/>
      <c r="P650" s="7">
        <v>3.1829651046956302</v>
      </c>
      <c r="Q650" s="6" t="s">
        <v>57</v>
      </c>
      <c r="R650" s="9">
        <v>0</v>
      </c>
      <c r="S650" s="2"/>
      <c r="T650" s="9">
        <v>0</v>
      </c>
      <c r="U650" s="9">
        <v>0</v>
      </c>
      <c r="V650" s="9">
        <v>0</v>
      </c>
      <c r="W650" s="9">
        <v>293</v>
      </c>
      <c r="X650" s="9">
        <v>291</v>
      </c>
      <c r="Y650" s="9">
        <v>147</v>
      </c>
      <c r="Z650" s="9">
        <v>98</v>
      </c>
      <c r="AA650" s="9">
        <v>443</v>
      </c>
      <c r="AB650" s="9">
        <v>0</v>
      </c>
      <c r="AC650" s="9">
        <v>0</v>
      </c>
      <c r="AD650" s="9">
        <v>0</v>
      </c>
      <c r="AE650" s="6" t="s">
        <v>57</v>
      </c>
      <c r="AF650" s="6" t="s">
        <v>57</v>
      </c>
      <c r="AG650" s="6" t="s">
        <v>57</v>
      </c>
      <c r="AH650" s="6" t="s">
        <v>57</v>
      </c>
      <c r="AI650" s="6" t="s">
        <v>57</v>
      </c>
      <c r="AJ650" s="6" t="s">
        <v>57</v>
      </c>
      <c r="AK650" s="6" t="s">
        <v>57</v>
      </c>
      <c r="AL650" s="6" t="s">
        <v>57</v>
      </c>
      <c r="AM650" s="6" t="s">
        <v>57</v>
      </c>
      <c r="AN650" s="6" t="s">
        <v>57</v>
      </c>
      <c r="AO650" s="6" t="s">
        <v>57</v>
      </c>
      <c r="AP650" s="6" t="s">
        <v>57</v>
      </c>
      <c r="AQ650" s="9">
        <v>0</v>
      </c>
    </row>
    <row r="651" spans="1:43" ht="15">
      <c r="A651" s="2" t="s">
        <v>2289</v>
      </c>
      <c r="B651" s="5">
        <v>136541474</v>
      </c>
      <c r="C651" s="2" t="s">
        <v>23</v>
      </c>
      <c r="D651" s="2" t="s">
        <v>2290</v>
      </c>
      <c r="E651" s="2" t="s">
        <v>2291</v>
      </c>
      <c r="F651" s="2" t="s">
        <v>26</v>
      </c>
      <c r="G651" s="2" t="s">
        <v>26</v>
      </c>
      <c r="H651" s="2" t="s">
        <v>27</v>
      </c>
      <c r="I651" s="2" t="s">
        <v>28</v>
      </c>
      <c r="J651" s="6"/>
      <c r="K651" s="2" t="s">
        <v>55</v>
      </c>
      <c r="L651" s="2" t="s">
        <v>56</v>
      </c>
      <c r="M651" s="2" t="s">
        <v>55</v>
      </c>
      <c r="N651" s="2"/>
      <c r="O651" s="2"/>
      <c r="P651" s="6" t="s">
        <v>57</v>
      </c>
      <c r="Q651" s="6" t="s">
        <v>57</v>
      </c>
      <c r="R651" s="9">
        <v>6842</v>
      </c>
      <c r="S651" s="2"/>
      <c r="T651" s="9">
        <v>74749</v>
      </c>
      <c r="U651" s="9">
        <v>62177</v>
      </c>
      <c r="V651" s="9">
        <v>59264</v>
      </c>
      <c r="W651" s="9">
        <v>60287</v>
      </c>
      <c r="X651" s="9">
        <v>60287</v>
      </c>
      <c r="Y651" s="9">
        <v>60287</v>
      </c>
      <c r="Z651" s="9">
        <v>60287</v>
      </c>
      <c r="AA651" s="9">
        <v>60287</v>
      </c>
      <c r="AB651" s="9">
        <v>49191</v>
      </c>
      <c r="AC651" s="9">
        <v>58640</v>
      </c>
      <c r="AD651" s="9">
        <v>70519</v>
      </c>
      <c r="AE651" s="6" t="s">
        <v>57</v>
      </c>
      <c r="AF651" s="6" t="s">
        <v>57</v>
      </c>
      <c r="AG651" s="6" t="s">
        <v>57</v>
      </c>
      <c r="AH651" s="6" t="s">
        <v>57</v>
      </c>
      <c r="AI651" s="6" t="s">
        <v>57</v>
      </c>
      <c r="AJ651" s="6" t="s">
        <v>57</v>
      </c>
      <c r="AK651" s="6" t="s">
        <v>57</v>
      </c>
      <c r="AL651" s="6" t="s">
        <v>57</v>
      </c>
      <c r="AM651" s="6" t="s">
        <v>57</v>
      </c>
      <c r="AN651" s="6" t="s">
        <v>57</v>
      </c>
      <c r="AO651" s="6" t="s">
        <v>57</v>
      </c>
      <c r="AP651" s="6" t="s">
        <v>57</v>
      </c>
      <c r="AQ651" s="9">
        <v>11785</v>
      </c>
    </row>
    <row r="652" spans="1:43" ht="15">
      <c r="A652" s="2" t="s">
        <v>2292</v>
      </c>
      <c r="B652" s="5">
        <v>115815743</v>
      </c>
      <c r="C652" s="2" t="s">
        <v>23</v>
      </c>
      <c r="D652" s="2" t="s">
        <v>2293</v>
      </c>
      <c r="E652" s="2" t="s">
        <v>2294</v>
      </c>
      <c r="F652" s="2" t="s">
        <v>26</v>
      </c>
      <c r="G652" s="2"/>
      <c r="H652" s="2"/>
      <c r="I652" s="2" t="s">
        <v>28</v>
      </c>
      <c r="J652" s="6"/>
      <c r="K652" s="2" t="s">
        <v>55</v>
      </c>
      <c r="L652" s="2" t="s">
        <v>56</v>
      </c>
      <c r="M652" s="2" t="s">
        <v>55</v>
      </c>
      <c r="N652" s="2"/>
      <c r="O652" s="2"/>
      <c r="P652" s="6" t="s">
        <v>57</v>
      </c>
      <c r="Q652" s="6" t="s">
        <v>57</v>
      </c>
      <c r="R652" s="9">
        <v>0</v>
      </c>
      <c r="S652" s="2"/>
      <c r="T652" s="9">
        <v>0</v>
      </c>
      <c r="U652" s="9">
        <v>0</v>
      </c>
      <c r="V652" s="9">
        <v>0</v>
      </c>
      <c r="W652" s="9">
        <v>0</v>
      </c>
      <c r="X652" s="9">
        <v>0</v>
      </c>
      <c r="Y652" s="9">
        <v>164</v>
      </c>
      <c r="Z652" s="9">
        <v>276</v>
      </c>
      <c r="AA652" s="9">
        <v>276</v>
      </c>
      <c r="AB652" s="9">
        <v>0</v>
      </c>
      <c r="AC652" s="9">
        <v>0</v>
      </c>
      <c r="AD652" s="9">
        <v>0</v>
      </c>
      <c r="AE652" s="6" t="s">
        <v>57</v>
      </c>
      <c r="AF652" s="6" t="s">
        <v>57</v>
      </c>
      <c r="AG652" s="6" t="s">
        <v>57</v>
      </c>
      <c r="AH652" s="6" t="s">
        <v>57</v>
      </c>
      <c r="AI652" s="6" t="s">
        <v>57</v>
      </c>
      <c r="AJ652" s="6" t="s">
        <v>57</v>
      </c>
      <c r="AK652" s="6" t="s">
        <v>57</v>
      </c>
      <c r="AL652" s="6" t="s">
        <v>57</v>
      </c>
      <c r="AM652" s="6" t="s">
        <v>57</v>
      </c>
      <c r="AN652" s="6" t="s">
        <v>57</v>
      </c>
      <c r="AO652" s="6" t="s">
        <v>57</v>
      </c>
      <c r="AP652" s="6" t="s">
        <v>57</v>
      </c>
      <c r="AQ652" s="9">
        <v>0</v>
      </c>
    </row>
    <row r="653" spans="1:43" ht="15">
      <c r="A653" s="2" t="s">
        <v>2295</v>
      </c>
      <c r="B653" s="5">
        <v>6360430</v>
      </c>
      <c r="C653" s="2" t="s">
        <v>35</v>
      </c>
      <c r="D653" s="2" t="s">
        <v>2296</v>
      </c>
      <c r="E653" s="2" t="s">
        <v>2297</v>
      </c>
      <c r="F653" s="2" t="s">
        <v>38</v>
      </c>
      <c r="G653" s="2" t="s">
        <v>38</v>
      </c>
      <c r="H653" s="2" t="s">
        <v>39</v>
      </c>
      <c r="I653" s="2" t="s">
        <v>40</v>
      </c>
      <c r="J653" s="6"/>
      <c r="K653" s="2" t="s">
        <v>1572</v>
      </c>
      <c r="L653" s="2" t="s">
        <v>217</v>
      </c>
      <c r="M653" s="2" t="s">
        <v>218</v>
      </c>
      <c r="N653" s="2" t="s">
        <v>1572</v>
      </c>
      <c r="O653" s="2"/>
      <c r="P653" s="7">
        <v>47.454382480415397</v>
      </c>
      <c r="Q653" s="8">
        <v>128.01905313625801</v>
      </c>
      <c r="R653" s="9">
        <v>0</v>
      </c>
      <c r="S653" s="2" t="s">
        <v>2298</v>
      </c>
      <c r="T653" s="9">
        <v>0</v>
      </c>
      <c r="U653" s="9">
        <v>0</v>
      </c>
      <c r="V653" s="9">
        <v>0</v>
      </c>
      <c r="W653" s="9">
        <v>0</v>
      </c>
      <c r="X653" s="9">
        <v>0</v>
      </c>
      <c r="Y653" s="9">
        <v>0</v>
      </c>
      <c r="Z653" s="9">
        <v>0</v>
      </c>
      <c r="AA653" s="9">
        <v>0</v>
      </c>
      <c r="AB653" s="9">
        <v>0</v>
      </c>
      <c r="AC653" s="9">
        <v>0</v>
      </c>
      <c r="AD653" s="9">
        <v>0</v>
      </c>
      <c r="AE653" s="7">
        <v>0</v>
      </c>
      <c r="AF653" s="7">
        <v>0</v>
      </c>
      <c r="AG653" s="7">
        <v>0</v>
      </c>
      <c r="AH653" s="7">
        <v>0</v>
      </c>
      <c r="AI653" s="7">
        <v>0</v>
      </c>
      <c r="AJ653" s="7">
        <v>0</v>
      </c>
      <c r="AK653" s="7">
        <v>0</v>
      </c>
      <c r="AL653" s="7">
        <v>0</v>
      </c>
      <c r="AM653" s="7">
        <v>0</v>
      </c>
      <c r="AN653" s="7">
        <v>0</v>
      </c>
      <c r="AO653" s="7">
        <v>0</v>
      </c>
      <c r="AP653" s="7">
        <v>0</v>
      </c>
      <c r="AQ653" s="9">
        <v>0</v>
      </c>
    </row>
    <row r="654" spans="1:43" ht="15">
      <c r="A654" s="2" t="s">
        <v>2299</v>
      </c>
      <c r="B654" s="5">
        <v>29468318</v>
      </c>
      <c r="C654" s="2" t="s">
        <v>23</v>
      </c>
      <c r="D654" s="2" t="s">
        <v>2300</v>
      </c>
      <c r="E654" s="2" t="s">
        <v>2301</v>
      </c>
      <c r="F654" s="2" t="s">
        <v>26</v>
      </c>
      <c r="G654" s="2" t="s">
        <v>26</v>
      </c>
      <c r="H654" s="2" t="s">
        <v>27</v>
      </c>
      <c r="I654" s="2" t="s">
        <v>28</v>
      </c>
      <c r="J654" s="6"/>
      <c r="K654" s="2" t="s">
        <v>98</v>
      </c>
      <c r="L654" s="2" t="s">
        <v>99</v>
      </c>
      <c r="M654" s="2" t="s">
        <v>100</v>
      </c>
      <c r="N654" s="2" t="s">
        <v>98</v>
      </c>
      <c r="O654" s="2"/>
      <c r="P654" s="7">
        <v>29.136629760000002</v>
      </c>
      <c r="Q654" s="8">
        <v>29.597857839711999</v>
      </c>
      <c r="R654" s="9">
        <v>0</v>
      </c>
      <c r="S654" s="2" t="s">
        <v>2302</v>
      </c>
      <c r="T654" s="9">
        <v>19754</v>
      </c>
      <c r="U654" s="9">
        <v>9449</v>
      </c>
      <c r="V654" s="9">
        <v>5367</v>
      </c>
      <c r="W654" s="9">
        <v>5371</v>
      </c>
      <c r="X654" s="9">
        <v>5350</v>
      </c>
      <c r="Y654" s="9">
        <v>8375</v>
      </c>
      <c r="Z654" s="9">
        <v>5796</v>
      </c>
      <c r="AA654" s="9">
        <v>4004</v>
      </c>
      <c r="AB654" s="9">
        <v>10763</v>
      </c>
      <c r="AC654" s="9">
        <v>5596</v>
      </c>
      <c r="AD654" s="9">
        <v>3487</v>
      </c>
      <c r="AE654" s="7">
        <v>0</v>
      </c>
      <c r="AF654" s="7">
        <v>0.058790178571428597</v>
      </c>
      <c r="AG654" s="7">
        <v>0.0281223958333333</v>
      </c>
      <c r="AH654" s="7">
        <v>0.015974516369047599</v>
      </c>
      <c r="AI654" s="7">
        <v>0.015986099158538901</v>
      </c>
      <c r="AJ654" s="7">
        <v>0.015922154761904801</v>
      </c>
      <c r="AK654" s="7">
        <v>0.024926900689853398</v>
      </c>
      <c r="AL654" s="7">
        <v>0.017248583716328401</v>
      </c>
      <c r="AM654" s="7">
        <v>0.0119170831384927</v>
      </c>
      <c r="AN654" s="7">
        <v>0.032031887755101997</v>
      </c>
      <c r="AO654" s="7">
        <v>0.016654469164715101</v>
      </c>
      <c r="AP654" s="7">
        <v>0.0103764880952381</v>
      </c>
      <c r="AQ654" s="9">
        <v>0</v>
      </c>
    </row>
    <row r="655" spans="1:43" ht="15">
      <c r="A655" s="2" t="s">
        <v>2303</v>
      </c>
      <c r="B655" s="5">
        <v>4863540</v>
      </c>
      <c r="C655" s="2" t="s">
        <v>46</v>
      </c>
      <c r="D655" s="2" t="s">
        <v>2304</v>
      </c>
      <c r="E655" s="2" t="s">
        <v>2305</v>
      </c>
      <c r="F655" s="2" t="s">
        <v>49</v>
      </c>
      <c r="G655" s="2" t="s">
        <v>49</v>
      </c>
      <c r="H655" s="2" t="s">
        <v>50</v>
      </c>
      <c r="I655" s="2" t="s">
        <v>28</v>
      </c>
      <c r="J655" s="6"/>
      <c r="K655" s="2" t="s">
        <v>98</v>
      </c>
      <c r="L655" s="2" t="s">
        <v>99</v>
      </c>
      <c r="M655" s="2" t="s">
        <v>100</v>
      </c>
      <c r="N655" s="2" t="s">
        <v>98</v>
      </c>
      <c r="O655" s="2"/>
      <c r="P655" s="7">
        <v>87.173540742827797</v>
      </c>
      <c r="Q655" s="8">
        <v>155.531609567228</v>
      </c>
      <c r="R655" s="9">
        <v>9473</v>
      </c>
      <c r="S655" s="2" t="s">
        <v>2306</v>
      </c>
      <c r="T655" s="9">
        <v>3158</v>
      </c>
      <c r="U655" s="9">
        <v>789</v>
      </c>
      <c r="V655" s="9">
        <v>296</v>
      </c>
      <c r="W655" s="9">
        <v>76</v>
      </c>
      <c r="X655" s="9">
        <v>76</v>
      </c>
      <c r="Y655" s="9">
        <v>38</v>
      </c>
      <c r="Z655" s="9">
        <v>40</v>
      </c>
      <c r="AA655" s="9">
        <v>31</v>
      </c>
      <c r="AB655" s="9">
        <v>902</v>
      </c>
      <c r="AC655" s="9">
        <v>311</v>
      </c>
      <c r="AD655" s="9">
        <v>153</v>
      </c>
      <c r="AE655" s="7">
        <v>0.031873143207718099</v>
      </c>
      <c r="AF655" s="7">
        <v>0.010624381069239399</v>
      </c>
      <c r="AG655" s="7">
        <v>0.0026560952673098399</v>
      </c>
      <c r="AH655" s="7">
        <v>0.00099603572524119104</v>
      </c>
      <c r="AI655" s="7">
        <v>0.00025600918239130998</v>
      </c>
      <c r="AJ655" s="7">
        <v>0.00025498514566174498</v>
      </c>
      <c r="AK655" s="7">
        <v>0.00012774806896881</v>
      </c>
      <c r="AL655" s="7">
        <v>0.00013523570878590599</v>
      </c>
      <c r="AM655" s="7">
        <v>0.00010424979244135599</v>
      </c>
      <c r="AN655" s="7">
        <v>0.00303553744835411</v>
      </c>
      <c r="AO655" s="7">
        <v>0.0010450210887776399</v>
      </c>
      <c r="AP655" s="7">
        <v>0.00051408295496319502</v>
      </c>
      <c r="AQ655" s="9">
        <v>18946</v>
      </c>
    </row>
    <row r="656" spans="1:43" ht="15">
      <c r="A656" s="2" t="s">
        <v>2307</v>
      </c>
      <c r="B656" s="5">
        <v>4981238</v>
      </c>
      <c r="C656" s="2" t="s">
        <v>23</v>
      </c>
      <c r="D656" s="2" t="s">
        <v>2308</v>
      </c>
      <c r="E656" s="2" t="s">
        <v>2309</v>
      </c>
      <c r="F656" s="2" t="s">
        <v>26</v>
      </c>
      <c r="G656" s="2" t="s">
        <v>26</v>
      </c>
      <c r="H656" s="2" t="s">
        <v>27</v>
      </c>
      <c r="I656" s="2" t="s">
        <v>28</v>
      </c>
      <c r="J656" s="6"/>
      <c r="K656" s="2" t="s">
        <v>1052</v>
      </c>
      <c r="L656" s="2" t="s">
        <v>30</v>
      </c>
      <c r="M656" s="2" t="s">
        <v>424</v>
      </c>
      <c r="N656" s="2" t="s">
        <v>1052</v>
      </c>
      <c r="O656" s="2"/>
      <c r="P656" s="7">
        <v>2.0269826523360002</v>
      </c>
      <c r="Q656" s="8">
        <v>1.8792519182080001</v>
      </c>
      <c r="R656" s="9">
        <v>0</v>
      </c>
      <c r="S656" s="2" t="s">
        <v>2310</v>
      </c>
      <c r="T656" s="9">
        <v>0</v>
      </c>
      <c r="U656" s="9">
        <v>0</v>
      </c>
      <c r="V656" s="9">
        <v>0</v>
      </c>
      <c r="W656" s="9">
        <v>0</v>
      </c>
      <c r="X656" s="9">
        <v>0</v>
      </c>
      <c r="Y656" s="9">
        <v>0</v>
      </c>
      <c r="Z656" s="9">
        <v>0</v>
      </c>
      <c r="AA656" s="9">
        <v>0</v>
      </c>
      <c r="AB656" s="9">
        <v>0</v>
      </c>
      <c r="AC656" s="9">
        <v>0</v>
      </c>
      <c r="AD656" s="9">
        <v>0</v>
      </c>
      <c r="AE656" s="7">
        <v>0</v>
      </c>
      <c r="AF656" s="7">
        <v>0</v>
      </c>
      <c r="AG656" s="7">
        <v>0</v>
      </c>
      <c r="AH656" s="7">
        <v>0</v>
      </c>
      <c r="AI656" s="7">
        <v>0.0026093777208198899</v>
      </c>
      <c r="AJ656" s="7">
        <v>0.0025989402099366099</v>
      </c>
      <c r="AK656" s="7">
        <v>0.0028034622206447898</v>
      </c>
      <c r="AL656" s="7">
        <v>0.0025451343283189199</v>
      </c>
      <c r="AM656" s="7">
        <v>0.0026093777208198899</v>
      </c>
      <c r="AN656" s="7">
        <v>0</v>
      </c>
      <c r="AO656" s="7">
        <v>0</v>
      </c>
      <c r="AP656" s="7">
        <v>0</v>
      </c>
      <c r="AQ656" s="9">
        <v>0</v>
      </c>
    </row>
    <row r="657" spans="1:43" ht="15">
      <c r="A657" s="2" t="s">
        <v>2311</v>
      </c>
      <c r="B657" s="5">
        <v>4250348</v>
      </c>
      <c r="C657" s="2" t="s">
        <v>35</v>
      </c>
      <c r="D657" s="2" t="s">
        <v>2312</v>
      </c>
      <c r="E657" s="2" t="s">
        <v>2313</v>
      </c>
      <c r="F657" s="2" t="s">
        <v>38</v>
      </c>
      <c r="G657" s="2" t="s">
        <v>38</v>
      </c>
      <c r="H657" s="2" t="s">
        <v>39</v>
      </c>
      <c r="I657" s="2" t="s">
        <v>28</v>
      </c>
      <c r="J657" s="6"/>
      <c r="K657" s="2" t="s">
        <v>987</v>
      </c>
      <c r="L657" s="2" t="s">
        <v>42</v>
      </c>
      <c r="M657" s="2" t="s">
        <v>987</v>
      </c>
      <c r="N657" s="2"/>
      <c r="O657" s="2"/>
      <c r="P657" s="7">
        <v>3046.5441385199101</v>
      </c>
      <c r="Q657" s="8">
        <v>5537.0503911769201</v>
      </c>
      <c r="R657" s="9">
        <v>80753</v>
      </c>
      <c r="S657" s="2" t="s">
        <v>2314</v>
      </c>
      <c r="T657" s="9">
        <v>148718</v>
      </c>
      <c r="U657" s="9">
        <v>237605</v>
      </c>
      <c r="V657" s="9">
        <v>187278</v>
      </c>
      <c r="W657" s="9">
        <v>250658</v>
      </c>
      <c r="X657" s="9">
        <v>250223</v>
      </c>
      <c r="Y657" s="9">
        <v>224275</v>
      </c>
      <c r="Z657" s="9">
        <v>249430</v>
      </c>
      <c r="AA657" s="9">
        <v>246571</v>
      </c>
      <c r="AB657" s="9">
        <v>243714</v>
      </c>
      <c r="AC657" s="9">
        <v>189969</v>
      </c>
      <c r="AD657" s="9">
        <v>204712</v>
      </c>
      <c r="AE657" s="7">
        <v>0.101703097990999</v>
      </c>
      <c r="AF657" s="7">
        <v>0.18729992044229099</v>
      </c>
      <c r="AG657" s="7">
        <v>0.29924742876681298</v>
      </c>
      <c r="AH657" s="7">
        <v>0.235864729032635</v>
      </c>
      <c r="AI657" s="7">
        <v>0.31568779575771999</v>
      </c>
      <c r="AJ657" s="7">
        <v>0.31513899515881399</v>
      </c>
      <c r="AK657" s="7">
        <v>0.28245970737145198</v>
      </c>
      <c r="AL657" s="7">
        <v>0.31414068873232498</v>
      </c>
      <c r="AM657" s="7">
        <v>0.31053945935580901</v>
      </c>
      <c r="AN657" s="7">
        <v>0.30694223488094102</v>
      </c>
      <c r="AO657" s="7">
        <v>0.23925358302181299</v>
      </c>
      <c r="AP657" s="7">
        <v>0.25782125082716401</v>
      </c>
      <c r="AQ657" s="9">
        <v>67452</v>
      </c>
    </row>
    <row r="658" spans="1:43" ht="15">
      <c r="A658" s="2" t="s">
        <v>2315</v>
      </c>
      <c r="B658" s="5">
        <v>4262538</v>
      </c>
      <c r="C658" s="2" t="s">
        <v>35</v>
      </c>
      <c r="D658" s="2" t="s">
        <v>2316</v>
      </c>
      <c r="E658" s="2" t="s">
        <v>2317</v>
      </c>
      <c r="F658" s="2" t="s">
        <v>38</v>
      </c>
      <c r="G658" s="2" t="s">
        <v>38</v>
      </c>
      <c r="H658" s="2" t="s">
        <v>39</v>
      </c>
      <c r="I658" s="2" t="s">
        <v>28</v>
      </c>
      <c r="J658" s="10">
        <v>41904</v>
      </c>
      <c r="K658" s="2" t="s">
        <v>226</v>
      </c>
      <c r="L658" s="2" t="s">
        <v>56</v>
      </c>
      <c r="M658" s="2" t="s">
        <v>227</v>
      </c>
      <c r="N658" s="2" t="s">
        <v>226</v>
      </c>
      <c r="O658" s="2"/>
      <c r="P658" s="7">
        <v>6045.7866615770099</v>
      </c>
      <c r="Q658" s="6" t="s">
        <v>57</v>
      </c>
      <c r="R658" s="9">
        <v>13776</v>
      </c>
      <c r="S658" s="2" t="s">
        <v>2318</v>
      </c>
      <c r="T658" s="9">
        <v>133449</v>
      </c>
      <c r="U658" s="9">
        <v>178239</v>
      </c>
      <c r="V658" s="9">
        <v>113173</v>
      </c>
      <c r="W658" s="9">
        <v>97219</v>
      </c>
      <c r="X658" s="9">
        <v>97072</v>
      </c>
      <c r="Y658" s="9">
        <v>93698</v>
      </c>
      <c r="Z658" s="9">
        <v>76968</v>
      </c>
      <c r="AA658" s="9">
        <v>72932</v>
      </c>
      <c r="AB658" s="9">
        <v>188128</v>
      </c>
      <c r="AC658" s="9">
        <v>117397</v>
      </c>
      <c r="AD658" s="9">
        <v>123486</v>
      </c>
      <c r="AE658" s="7">
        <v>0.00042575811124270302</v>
      </c>
      <c r="AF658" s="7">
        <v>0.0041245062688539703</v>
      </c>
      <c r="AG658" s="7">
        <v>0.0055088009227057099</v>
      </c>
      <c r="AH658" s="7">
        <v>0.0034978290198246099</v>
      </c>
      <c r="AI658" s="7">
        <v>0.0030047346194325098</v>
      </c>
      <c r="AJ658" s="7">
        <v>0.0030001910673007701</v>
      </c>
      <c r="AK658" s="7">
        <v>0.0028959257054857</v>
      </c>
      <c r="AL658" s="7">
        <v>0.0023788493132675002</v>
      </c>
      <c r="AM658" s="7">
        <v>0.00225411113815279</v>
      </c>
      <c r="AN658" s="7">
        <v>0.0058144661761909697</v>
      </c>
      <c r="AO658" s="7">
        <v>0.0036283734833324199</v>
      </c>
      <c r="AP658" s="7">
        <v>0.0038165574559873498</v>
      </c>
      <c r="AQ658" s="9">
        <v>16487</v>
      </c>
    </row>
    <row r="659" spans="1:43" ht="15">
      <c r="A659" s="2" t="s">
        <v>2319</v>
      </c>
      <c r="B659" s="5">
        <v>4396794</v>
      </c>
      <c r="C659" s="2" t="s">
        <v>35</v>
      </c>
      <c r="D659" s="2" t="s">
        <v>2320</v>
      </c>
      <c r="E659" s="2" t="s">
        <v>2321</v>
      </c>
      <c r="F659" s="2" t="s">
        <v>38</v>
      </c>
      <c r="G659" s="2" t="s">
        <v>38</v>
      </c>
      <c r="H659" s="2" t="s">
        <v>39</v>
      </c>
      <c r="I659" s="2" t="s">
        <v>28</v>
      </c>
      <c r="J659" s="6"/>
      <c r="K659" s="2" t="s">
        <v>226</v>
      </c>
      <c r="L659" s="2" t="s">
        <v>56</v>
      </c>
      <c r="M659" s="2" t="s">
        <v>227</v>
      </c>
      <c r="N659" s="2" t="s">
        <v>226</v>
      </c>
      <c r="O659" s="2"/>
      <c r="P659" s="7">
        <v>1891.5148169332599</v>
      </c>
      <c r="Q659" s="6" t="s">
        <v>57</v>
      </c>
      <c r="R659" s="9">
        <v>1511</v>
      </c>
      <c r="S659" s="2" t="s">
        <v>2322</v>
      </c>
      <c r="T659" s="9">
        <v>11894</v>
      </c>
      <c r="U659" s="9">
        <v>16076</v>
      </c>
      <c r="V659" s="9">
        <v>8815</v>
      </c>
      <c r="W659" s="9">
        <v>6031</v>
      </c>
      <c r="X659" s="9">
        <v>6021</v>
      </c>
      <c r="Y659" s="9">
        <v>6203</v>
      </c>
      <c r="Z659" s="9">
        <v>6038</v>
      </c>
      <c r="AA659" s="9">
        <v>6137</v>
      </c>
      <c r="AB659" s="9">
        <v>18107</v>
      </c>
      <c r="AC659" s="9">
        <v>9087</v>
      </c>
      <c r="AD659" s="9">
        <v>6913</v>
      </c>
      <c r="AE659" s="7">
        <v>0.0092477256502914405</v>
      </c>
      <c r="AF659" s="7">
        <v>0.072818569271477201</v>
      </c>
      <c r="AG659" s="7">
        <v>0.0984206129084777</v>
      </c>
      <c r="AH659" s="7">
        <v>0.053969731110451002</v>
      </c>
      <c r="AI659" s="7">
        <v>0.036926102020395597</v>
      </c>
      <c r="AJ659" s="7">
        <v>0.036864316637594603</v>
      </c>
      <c r="AK659" s="7">
        <v>0.037979083481054499</v>
      </c>
      <c r="AL659" s="7">
        <v>0.036966522152945699</v>
      </c>
      <c r="AM659" s="7">
        <v>0.037573372276939403</v>
      </c>
      <c r="AN659" s="7">
        <v>0.11085767311449</v>
      </c>
      <c r="AO659" s="7">
        <v>0.055633288966698599</v>
      </c>
      <c r="AP659" s="7">
        <v>0.042323112312865403</v>
      </c>
      <c r="AQ659" s="9">
        <v>1042</v>
      </c>
    </row>
    <row r="660" spans="1:43" ht="15">
      <c r="A660" s="2" t="s">
        <v>2323</v>
      </c>
      <c r="B660" s="5">
        <v>4772594</v>
      </c>
      <c r="C660" s="2" t="s">
        <v>46</v>
      </c>
      <c r="D660" s="2" t="s">
        <v>2324</v>
      </c>
      <c r="E660" s="2" t="s">
        <v>2325</v>
      </c>
      <c r="F660" s="2" t="s">
        <v>49</v>
      </c>
      <c r="G660" s="2" t="s">
        <v>49</v>
      </c>
      <c r="H660" s="2" t="s">
        <v>50</v>
      </c>
      <c r="I660" s="2" t="s">
        <v>40</v>
      </c>
      <c r="J660" s="6"/>
      <c r="K660" s="2" t="s">
        <v>756</v>
      </c>
      <c r="L660" s="2" t="s">
        <v>56</v>
      </c>
      <c r="M660" s="2" t="s">
        <v>756</v>
      </c>
      <c r="N660" s="2"/>
      <c r="O660" s="2"/>
      <c r="P660" s="7">
        <v>123.863814389053</v>
      </c>
      <c r="Q660" s="8">
        <v>117.077283024268</v>
      </c>
      <c r="R660" s="9">
        <v>0</v>
      </c>
      <c r="S660" s="2" t="s">
        <v>2326</v>
      </c>
      <c r="T660" s="9">
        <v>0</v>
      </c>
      <c r="U660" s="9">
        <v>0</v>
      </c>
      <c r="V660" s="9">
        <v>0</v>
      </c>
      <c r="W660" s="9">
        <v>68</v>
      </c>
      <c r="X660" s="9">
        <v>68</v>
      </c>
      <c r="Y660" s="9">
        <v>181</v>
      </c>
      <c r="Z660" s="9">
        <v>248</v>
      </c>
      <c r="AA660" s="9">
        <v>7453</v>
      </c>
      <c r="AB660" s="9">
        <v>0</v>
      </c>
      <c r="AC660" s="9">
        <v>0</v>
      </c>
      <c r="AD660" s="9">
        <v>137</v>
      </c>
      <c r="AE660" s="7">
        <v>0</v>
      </c>
      <c r="AF660" s="7">
        <v>0</v>
      </c>
      <c r="AG660" s="7">
        <v>0</v>
      </c>
      <c r="AH660" s="7">
        <v>0</v>
      </c>
      <c r="AI660" s="7">
        <v>0.00019580857819249701</v>
      </c>
      <c r="AJ660" s="7">
        <v>0.000195025343879727</v>
      </c>
      <c r="AK660" s="7">
        <v>0.00052101940762934603</v>
      </c>
      <c r="AL660" s="7">
        <v>0.00071366868436819404</v>
      </c>
      <c r="AM660" s="7">
        <v>0.021458629194830301</v>
      </c>
      <c r="AN660" s="7">
        <v>0</v>
      </c>
      <c r="AO660" s="7">
        <v>0</v>
      </c>
      <c r="AP660" s="7">
        <v>0.00039319625782203098</v>
      </c>
      <c r="AQ660" s="9">
        <v>0</v>
      </c>
    </row>
    <row r="661" spans="1:43" ht="15">
      <c r="A661" s="2" t="s">
        <v>2327</v>
      </c>
      <c r="B661" s="5">
        <v>4135293</v>
      </c>
      <c r="C661" s="2" t="s">
        <v>35</v>
      </c>
      <c r="D661" s="2" t="s">
        <v>2328</v>
      </c>
      <c r="E661" s="2" t="s">
        <v>2329</v>
      </c>
      <c r="F661" s="2" t="s">
        <v>38</v>
      </c>
      <c r="G661" s="2" t="s">
        <v>38</v>
      </c>
      <c r="H661" s="2" t="s">
        <v>39</v>
      </c>
      <c r="I661" s="2" t="s">
        <v>28</v>
      </c>
      <c r="J661" s="6"/>
      <c r="K661" s="2" t="s">
        <v>226</v>
      </c>
      <c r="L661" s="2" t="s">
        <v>56</v>
      </c>
      <c r="M661" s="2" t="s">
        <v>227</v>
      </c>
      <c r="N661" s="2" t="s">
        <v>226</v>
      </c>
      <c r="O661" s="2"/>
      <c r="P661" s="7">
        <v>20432.907844085101</v>
      </c>
      <c r="Q661" s="6" t="s">
        <v>57</v>
      </c>
      <c r="R661" s="9">
        <v>110333</v>
      </c>
      <c r="S661" s="2" t="s">
        <v>2330</v>
      </c>
      <c r="T661" s="9">
        <v>187318</v>
      </c>
      <c r="U661" s="9">
        <v>366718</v>
      </c>
      <c r="V661" s="9">
        <v>259060</v>
      </c>
      <c r="W661" s="9">
        <v>255103</v>
      </c>
      <c r="X661" s="9">
        <v>254740</v>
      </c>
      <c r="Y661" s="9">
        <v>210580</v>
      </c>
      <c r="Z661" s="9">
        <v>224790</v>
      </c>
      <c r="AA661" s="9">
        <v>218931</v>
      </c>
      <c r="AB661" s="9">
        <v>380139</v>
      </c>
      <c r="AC661" s="9">
        <v>256750</v>
      </c>
      <c r="AD661" s="9">
        <v>367907</v>
      </c>
      <c r="AE661" s="7">
        <v>0.108359675147314</v>
      </c>
      <c r="AF661" s="7">
        <v>0.183968782445702</v>
      </c>
      <c r="AG661" s="7">
        <v>0.36016104029068102</v>
      </c>
      <c r="AH661" s="7">
        <v>0.25442775553994201</v>
      </c>
      <c r="AI661" s="7">
        <v>0.25054175987706501</v>
      </c>
      <c r="AJ661" s="7">
        <v>0.25018549937240497</v>
      </c>
      <c r="AK661" s="7">
        <v>0.20681487822685199</v>
      </c>
      <c r="AL661" s="7">
        <v>0.22077045948530799</v>
      </c>
      <c r="AM661" s="7">
        <v>0.21501642860457301</v>
      </c>
      <c r="AN661" s="7">
        <v>0.373342253424431</v>
      </c>
      <c r="AO661" s="7">
        <v>0.25215897201314602</v>
      </c>
      <c r="AP661" s="7">
        <v>0.36132810298162299</v>
      </c>
      <c r="AQ661" s="9">
        <v>98662</v>
      </c>
    </row>
    <row r="662" spans="1:43" ht="15">
      <c r="A662" s="2" t="s">
        <v>2331</v>
      </c>
      <c r="B662" s="5">
        <v>4250352</v>
      </c>
      <c r="C662" s="2" t="s">
        <v>35</v>
      </c>
      <c r="D662" s="2" t="s">
        <v>2332</v>
      </c>
      <c r="E662" s="2" t="s">
        <v>2333</v>
      </c>
      <c r="F662" s="2" t="s">
        <v>38</v>
      </c>
      <c r="G662" s="2" t="s">
        <v>38</v>
      </c>
      <c r="H662" s="2" t="s">
        <v>39</v>
      </c>
      <c r="I662" s="2" t="s">
        <v>28</v>
      </c>
      <c r="J662" s="6"/>
      <c r="K662" s="2" t="s">
        <v>1391</v>
      </c>
      <c r="L662" s="2" t="s">
        <v>56</v>
      </c>
      <c r="M662" s="2" t="s">
        <v>1391</v>
      </c>
      <c r="N662" s="2"/>
      <c r="O662" s="2"/>
      <c r="P662" s="7">
        <v>4728.5830615177201</v>
      </c>
      <c r="Q662" s="8">
        <v>8076.9242257675496</v>
      </c>
      <c r="R662" s="9">
        <v>45932</v>
      </c>
      <c r="S662" s="2" t="s">
        <v>2334</v>
      </c>
      <c r="T662" s="9">
        <v>78753</v>
      </c>
      <c r="U662" s="9">
        <v>132037</v>
      </c>
      <c r="V662" s="9">
        <v>106658</v>
      </c>
      <c r="W662" s="9">
        <v>148955</v>
      </c>
      <c r="X662" s="9">
        <v>148412</v>
      </c>
      <c r="Y662" s="9">
        <v>106029</v>
      </c>
      <c r="Z662" s="9">
        <v>79133</v>
      </c>
      <c r="AA662" s="9">
        <v>130943</v>
      </c>
      <c r="AB662" s="9">
        <v>139256</v>
      </c>
      <c r="AC662" s="9">
        <v>107872</v>
      </c>
      <c r="AD662" s="9">
        <v>136473</v>
      </c>
      <c r="AE662" s="7">
        <v>0.13848635623186301</v>
      </c>
      <c r="AF662" s="7">
        <v>0.237445239374457</v>
      </c>
      <c r="AG662" s="7">
        <v>0.39809861128587398</v>
      </c>
      <c r="AH662" s="7">
        <v>0.32158111004272699</v>
      </c>
      <c r="AI662" s="7">
        <v>0.44910834188180698</v>
      </c>
      <c r="AJ662" s="7">
        <v>0.44747173257692202</v>
      </c>
      <c r="AK662" s="7">
        <v>0.31968523252009901</v>
      </c>
      <c r="AL662" s="7">
        <v>0.23859018887173</v>
      </c>
      <c r="AM662" s="7">
        <v>0.39480189650910402</v>
      </c>
      <c r="AN662" s="7">
        <v>0.41986415476576999</v>
      </c>
      <c r="AO662" s="7">
        <v>0.32524189223864802</v>
      </c>
      <c r="AP662" s="7">
        <v>0.41147364976095502</v>
      </c>
      <c r="AQ662" s="9">
        <v>53082</v>
      </c>
    </row>
    <row r="663" spans="1:43" ht="15">
      <c r="A663" s="2" t="s">
        <v>2335</v>
      </c>
      <c r="B663" s="5">
        <v>4995016</v>
      </c>
      <c r="C663" s="2" t="s">
        <v>23</v>
      </c>
      <c r="D663" s="2" t="s">
        <v>2336</v>
      </c>
      <c r="E663" s="2" t="s">
        <v>2337</v>
      </c>
      <c r="F663" s="2" t="s">
        <v>26</v>
      </c>
      <c r="G663" s="2" t="s">
        <v>26</v>
      </c>
      <c r="H663" s="2" t="s">
        <v>27</v>
      </c>
      <c r="I663" s="2" t="s">
        <v>28</v>
      </c>
      <c r="J663" s="6"/>
      <c r="K663" s="2" t="s">
        <v>1148</v>
      </c>
      <c r="L663" s="2" t="s">
        <v>182</v>
      </c>
      <c r="M663" s="2" t="s">
        <v>430</v>
      </c>
      <c r="N663" s="2" t="s">
        <v>1148</v>
      </c>
      <c r="O663" s="2"/>
      <c r="P663" s="7">
        <v>314.57680556117401</v>
      </c>
      <c r="Q663" s="8">
        <v>455.69967628699197</v>
      </c>
      <c r="R663" s="9">
        <v>6635</v>
      </c>
      <c r="S663" s="2" t="s">
        <v>2338</v>
      </c>
      <c r="T663" s="9">
        <v>2212</v>
      </c>
      <c r="U663" s="9">
        <v>13179</v>
      </c>
      <c r="V663" s="9">
        <v>11984</v>
      </c>
      <c r="W663" s="9">
        <v>29208</v>
      </c>
      <c r="X663" s="9">
        <v>29094</v>
      </c>
      <c r="Y663" s="9">
        <v>23721</v>
      </c>
      <c r="Z663" s="9">
        <v>67992</v>
      </c>
      <c r="AA663" s="9">
        <v>933924</v>
      </c>
      <c r="AB663" s="9">
        <v>15061</v>
      </c>
      <c r="AC663" s="9">
        <v>12574</v>
      </c>
      <c r="AD663" s="9">
        <v>9879</v>
      </c>
      <c r="AE663" s="7">
        <v>0.00048007694068414702</v>
      </c>
      <c r="AF663" s="7">
        <v>0.00016002564689471599</v>
      </c>
      <c r="AG663" s="7">
        <v>0.000953620314844426</v>
      </c>
      <c r="AH663" s="7">
        <v>0.00086718623468077399</v>
      </c>
      <c r="AI663" s="7">
        <v>0.0021135293807781198</v>
      </c>
      <c r="AJ663" s="7">
        <v>0.0021052471922339902</v>
      </c>
      <c r="AK663" s="7">
        <v>0.00171649261999346</v>
      </c>
      <c r="AL663" s="7">
        <v>0.0049199231025350097</v>
      </c>
      <c r="AM663" s="7">
        <v>0.067579385957421398</v>
      </c>
      <c r="AN663" s="7">
        <v>0.0010898517883936301</v>
      </c>
      <c r="AO663" s="7">
        <v>0.00090983473802573004</v>
      </c>
      <c r="AP663" s="7">
        <v>0.00071486400964048205</v>
      </c>
      <c r="AQ663" s="9">
        <v>13269</v>
      </c>
    </row>
    <row r="664" spans="1:43" ht="15">
      <c r="A664" s="2" t="s">
        <v>2339</v>
      </c>
      <c r="B664" s="5">
        <v>4303005</v>
      </c>
      <c r="C664" s="2" t="s">
        <v>35</v>
      </c>
      <c r="D664" s="2" t="s">
        <v>2340</v>
      </c>
      <c r="E664" s="2" t="s">
        <v>2341</v>
      </c>
      <c r="F664" s="2" t="s">
        <v>38</v>
      </c>
      <c r="G664" s="2" t="s">
        <v>38</v>
      </c>
      <c r="H664" s="2" t="s">
        <v>39</v>
      </c>
      <c r="I664" s="2" t="s">
        <v>28</v>
      </c>
      <c r="J664" s="6"/>
      <c r="K664" s="2" t="s">
        <v>1572</v>
      </c>
      <c r="L664" s="2" t="s">
        <v>217</v>
      </c>
      <c r="M664" s="2" t="s">
        <v>218</v>
      </c>
      <c r="N664" s="2" t="s">
        <v>1572</v>
      </c>
      <c r="O664" s="2"/>
      <c r="P664" s="7">
        <v>7851.9489777977396</v>
      </c>
      <c r="Q664" s="8">
        <v>13102.9655533636</v>
      </c>
      <c r="R664" s="9">
        <v>1169396</v>
      </c>
      <c r="S664" s="2" t="s">
        <v>2342</v>
      </c>
      <c r="T664" s="9">
        <v>1544692</v>
      </c>
      <c r="U664" s="9">
        <v>2034259</v>
      </c>
      <c r="V664" s="9">
        <v>1321803</v>
      </c>
      <c r="W664" s="9">
        <v>1323741</v>
      </c>
      <c r="X664" s="9">
        <v>1321098</v>
      </c>
      <c r="Y664" s="9">
        <v>1055746</v>
      </c>
      <c r="Z664" s="9">
        <v>1018175</v>
      </c>
      <c r="AA664" s="9">
        <v>976942</v>
      </c>
      <c r="AB664" s="9">
        <v>2059903</v>
      </c>
      <c r="AC664" s="9">
        <v>1360100</v>
      </c>
      <c r="AD664" s="9">
        <v>1561384</v>
      </c>
      <c r="AE664" s="7">
        <v>0.063684427270857005</v>
      </c>
      <c r="AF664" s="7">
        <v>0.084122765367655297</v>
      </c>
      <c r="AG664" s="7">
        <v>0.11078419396241</v>
      </c>
      <c r="AH664" s="7">
        <v>0.071984422050434302</v>
      </c>
      <c r="AI664" s="7">
        <v>0.072089914420184906</v>
      </c>
      <c r="AJ664" s="7">
        <v>0.071946008862448105</v>
      </c>
      <c r="AK664" s="7">
        <v>0.0574951527314208</v>
      </c>
      <c r="AL664" s="7">
        <v>0.055449072122459399</v>
      </c>
      <c r="AM664" s="7">
        <v>0.0532035236875378</v>
      </c>
      <c r="AN664" s="7">
        <v>0.112180757742691</v>
      </c>
      <c r="AO664" s="7">
        <v>0.074070015331868994</v>
      </c>
      <c r="AP664" s="7">
        <v>0.085031780379089997</v>
      </c>
      <c r="AQ664" s="9">
        <v>1084782</v>
      </c>
    </row>
    <row r="665" spans="1:43" ht="15">
      <c r="A665" s="2" t="s">
        <v>2343</v>
      </c>
      <c r="B665" s="5">
        <v>101541904</v>
      </c>
      <c r="C665" s="2" t="s">
        <v>35</v>
      </c>
      <c r="D665" s="2" t="s">
        <v>2344</v>
      </c>
      <c r="E665" s="2" t="s">
        <v>2345</v>
      </c>
      <c r="F665" s="2" t="s">
        <v>38</v>
      </c>
      <c r="G665" s="2" t="s">
        <v>38</v>
      </c>
      <c r="H665" s="2" t="s">
        <v>39</v>
      </c>
      <c r="I665" s="2" t="s">
        <v>28</v>
      </c>
      <c r="J665" s="6"/>
      <c r="K665" s="2" t="s">
        <v>1595</v>
      </c>
      <c r="L665" s="2" t="s">
        <v>42</v>
      </c>
      <c r="M665" s="2" t="s">
        <v>1596</v>
      </c>
      <c r="N665" s="2" t="s">
        <v>1595</v>
      </c>
      <c r="O665" s="2"/>
      <c r="P665" s="7">
        <v>44.995857163776002</v>
      </c>
      <c r="Q665" s="8">
        <v>7.0979009981130003</v>
      </c>
      <c r="R665" s="9">
        <v>0</v>
      </c>
      <c r="S665" s="2" t="s">
        <v>2346</v>
      </c>
      <c r="T665" s="9">
        <v>0</v>
      </c>
      <c r="U665" s="9">
        <v>0</v>
      </c>
      <c r="V665" s="9">
        <v>0</v>
      </c>
      <c r="W665" s="9">
        <v>0</v>
      </c>
      <c r="X665" s="9">
        <v>0</v>
      </c>
      <c r="Y665" s="9">
        <v>0</v>
      </c>
      <c r="Z665" s="9">
        <v>0</v>
      </c>
      <c r="AA665" s="9">
        <v>0</v>
      </c>
      <c r="AB665" s="9">
        <v>0</v>
      </c>
      <c r="AC665" s="9">
        <v>0</v>
      </c>
      <c r="AD665" s="9">
        <v>0</v>
      </c>
      <c r="AE665" s="7">
        <v>0</v>
      </c>
      <c r="AF665" s="7">
        <v>0</v>
      </c>
      <c r="AG665" s="7">
        <v>0</v>
      </c>
      <c r="AH665" s="7">
        <v>0</v>
      </c>
      <c r="AI665" s="7">
        <v>0</v>
      </c>
      <c r="AJ665" s="7">
        <v>0</v>
      </c>
      <c r="AK665" s="7">
        <v>0</v>
      </c>
      <c r="AL665" s="7">
        <v>2.26839834381515E-06</v>
      </c>
      <c r="AM665" s="7">
        <v>2.0224940166536998E-06</v>
      </c>
      <c r="AN665" s="7">
        <v>0</v>
      </c>
      <c r="AO665" s="7">
        <v>0</v>
      </c>
      <c r="AP665" s="7">
        <v>0</v>
      </c>
      <c r="AQ665" s="9">
        <v>0</v>
      </c>
    </row>
    <row r="666" spans="1:43" ht="15">
      <c r="A666" s="2" t="s">
        <v>2347</v>
      </c>
      <c r="B666" s="5">
        <v>4912891</v>
      </c>
      <c r="C666" s="2" t="s">
        <v>35</v>
      </c>
      <c r="D666" s="2" t="s">
        <v>2348</v>
      </c>
      <c r="E666" s="2" t="s">
        <v>2349</v>
      </c>
      <c r="F666" s="2" t="s">
        <v>38</v>
      </c>
      <c r="G666" s="2" t="s">
        <v>38</v>
      </c>
      <c r="H666" s="2" t="s">
        <v>39</v>
      </c>
      <c r="I666" s="2" t="s">
        <v>28</v>
      </c>
      <c r="J666" s="6"/>
      <c r="K666" s="2" t="s">
        <v>211</v>
      </c>
      <c r="L666" s="2" t="s">
        <v>30</v>
      </c>
      <c r="M666" s="2" t="s">
        <v>189</v>
      </c>
      <c r="N666" s="2" t="s">
        <v>211</v>
      </c>
      <c r="O666" s="2"/>
      <c r="P666" s="7">
        <v>41058.782911789996</v>
      </c>
      <c r="Q666" s="8">
        <v>44942.954298659002</v>
      </c>
      <c r="R666" s="9">
        <v>432</v>
      </c>
      <c r="S666" s="2" t="s">
        <v>2350</v>
      </c>
      <c r="T666" s="9">
        <v>535</v>
      </c>
      <c r="U666" s="9">
        <v>506</v>
      </c>
      <c r="V666" s="9">
        <v>736</v>
      </c>
      <c r="W666" s="9">
        <v>697</v>
      </c>
      <c r="X666" s="9">
        <v>705</v>
      </c>
      <c r="Y666" s="9">
        <v>1799</v>
      </c>
      <c r="Z666" s="9">
        <v>5299</v>
      </c>
      <c r="AA666" s="9">
        <v>34678</v>
      </c>
      <c r="AB666" s="9">
        <v>407</v>
      </c>
      <c r="AC666" s="9">
        <v>769</v>
      </c>
      <c r="AD666" s="9">
        <v>578</v>
      </c>
      <c r="AE666" s="7">
        <v>0.00047724158108855102</v>
      </c>
      <c r="AF666" s="7">
        <v>0.00059171320019090303</v>
      </c>
      <c r="AG666" s="7">
        <v>0.00055963902672261101</v>
      </c>
      <c r="AH666" s="7">
        <v>0.00081420171496162698</v>
      </c>
      <c r="AI666" s="7">
        <v>0.00077102271316902503</v>
      </c>
      <c r="AJ666" s="7">
        <v>0.00077958916710918502</v>
      </c>
      <c r="AK666" s="7">
        <v>0.0019894650132978599</v>
      </c>
      <c r="AL666" s="7">
        <v>0.0058604431516001499</v>
      </c>
      <c r="AM666" s="7">
        <v>0.038354165034963097</v>
      </c>
      <c r="AN666" s="7">
        <v>0.00045055191042573398</v>
      </c>
      <c r="AO666" s="7">
        <v>0.00085072835965571204</v>
      </c>
      <c r="AP666" s="7">
        <v>0.00063974545996607905</v>
      </c>
      <c r="AQ666" s="9">
        <v>210</v>
      </c>
    </row>
    <row r="667" spans="1:43" ht="15">
      <c r="A667" s="2" t="s">
        <v>2351</v>
      </c>
      <c r="B667" s="5">
        <v>4623477</v>
      </c>
      <c r="C667" s="2" t="s">
        <v>46</v>
      </c>
      <c r="D667" s="2" t="s">
        <v>2352</v>
      </c>
      <c r="E667" s="2" t="s">
        <v>2353</v>
      </c>
      <c r="F667" s="2" t="s">
        <v>49</v>
      </c>
      <c r="G667" s="2" t="s">
        <v>49</v>
      </c>
      <c r="H667" s="2" t="s">
        <v>50</v>
      </c>
      <c r="I667" s="2" t="s">
        <v>40</v>
      </c>
      <c r="J667" s="6"/>
      <c r="K667" s="2" t="s">
        <v>2354</v>
      </c>
      <c r="L667" s="2" t="s">
        <v>182</v>
      </c>
      <c r="M667" s="2" t="s">
        <v>2355</v>
      </c>
      <c r="N667" s="2" t="s">
        <v>2354</v>
      </c>
      <c r="O667" s="2"/>
      <c r="P667" s="7">
        <v>221.36226301225</v>
      </c>
      <c r="Q667" s="8">
        <v>303.65093545295002</v>
      </c>
      <c r="R667" s="9">
        <v>0</v>
      </c>
      <c r="S667" s="2" t="s">
        <v>2356</v>
      </c>
      <c r="T667" s="9">
        <v>0</v>
      </c>
      <c r="U667" s="9">
        <v>0</v>
      </c>
      <c r="V667" s="9">
        <v>95</v>
      </c>
      <c r="W667" s="9">
        <v>198</v>
      </c>
      <c r="X667" s="9">
        <v>205</v>
      </c>
      <c r="Y667" s="9">
        <v>212</v>
      </c>
      <c r="Z667" s="9">
        <v>147</v>
      </c>
      <c r="AA667" s="9">
        <v>143</v>
      </c>
      <c r="AB667" s="9">
        <v>0</v>
      </c>
      <c r="AC667" s="9">
        <v>100</v>
      </c>
      <c r="AD667" s="9">
        <v>110</v>
      </c>
      <c r="AE667" s="7">
        <v>0</v>
      </c>
      <c r="AF667" s="7">
        <v>0</v>
      </c>
      <c r="AG667" s="7">
        <v>0</v>
      </c>
      <c r="AH667" s="7">
        <v>0.000545308022922636</v>
      </c>
      <c r="AI667" s="7">
        <v>0.0011353839426473801</v>
      </c>
      <c r="AJ667" s="7">
        <v>0.0011766876790830899</v>
      </c>
      <c r="AK667" s="7">
        <v>0.0012141991719829301</v>
      </c>
      <c r="AL667" s="7">
        <v>0.00084221585482330502</v>
      </c>
      <c r="AM667" s="7">
        <v>0.00081863745800415597</v>
      </c>
      <c r="AN667" s="7">
        <v>0</v>
      </c>
      <c r="AO667" s="7">
        <v>0.00057212645027948704</v>
      </c>
      <c r="AP667" s="7">
        <v>0.00063078842776596704</v>
      </c>
      <c r="AQ667" s="9">
        <v>0</v>
      </c>
    </row>
    <row r="668" spans="1:43" ht="15">
      <c r="A668" s="2" t="s">
        <v>2357</v>
      </c>
      <c r="B668" s="5">
        <v>4992765</v>
      </c>
      <c r="C668" s="2" t="s">
        <v>46</v>
      </c>
      <c r="D668" s="2" t="s">
        <v>2358</v>
      </c>
      <c r="E668" s="2" t="s">
        <v>2359</v>
      </c>
      <c r="F668" s="2" t="s">
        <v>49</v>
      </c>
      <c r="G668" s="2" t="s">
        <v>49</v>
      </c>
      <c r="H668" s="2" t="s">
        <v>50</v>
      </c>
      <c r="I668" s="2" t="s">
        <v>40</v>
      </c>
      <c r="J668" s="6"/>
      <c r="K668" s="2" t="s">
        <v>2360</v>
      </c>
      <c r="L668" s="2" t="s">
        <v>182</v>
      </c>
      <c r="M668" s="2" t="s">
        <v>183</v>
      </c>
      <c r="N668" s="2" t="s">
        <v>2360</v>
      </c>
      <c r="O668" s="2"/>
      <c r="P668" s="7">
        <v>35.022728387136198</v>
      </c>
      <c r="Q668" s="8">
        <v>23.113509693567998</v>
      </c>
      <c r="R668" s="9">
        <v>0</v>
      </c>
      <c r="S668" s="2" t="s">
        <v>2361</v>
      </c>
      <c r="T668" s="9">
        <v>0</v>
      </c>
      <c r="U668" s="9">
        <v>0</v>
      </c>
      <c r="V668" s="9">
        <v>0</v>
      </c>
      <c r="W668" s="9">
        <v>33397</v>
      </c>
      <c r="X668" s="9">
        <v>33263</v>
      </c>
      <c r="Y668" s="9">
        <v>18411</v>
      </c>
      <c r="Z668" s="9">
        <v>12549</v>
      </c>
      <c r="AA668" s="9">
        <v>7615</v>
      </c>
      <c r="AB668" s="9">
        <v>0</v>
      </c>
      <c r="AC668" s="9">
        <v>0</v>
      </c>
      <c r="AD668" s="9">
        <v>0</v>
      </c>
      <c r="AE668" s="7">
        <v>0</v>
      </c>
      <c r="AF668" s="7">
        <v>0</v>
      </c>
      <c r="AG668" s="7">
        <v>0</v>
      </c>
      <c r="AH668" s="7">
        <v>0</v>
      </c>
      <c r="AI668" s="7">
        <v>0.77298442775274201</v>
      </c>
      <c r="AJ668" s="7">
        <v>0.76989249004173099</v>
      </c>
      <c r="AK668" s="7">
        <v>0.42612340567380202</v>
      </c>
      <c r="AL668" s="7">
        <v>0.29044587893923501</v>
      </c>
      <c r="AM668" s="7">
        <v>0.176247217303516</v>
      </c>
      <c r="AN668" s="7">
        <v>0</v>
      </c>
      <c r="AO668" s="7">
        <v>0</v>
      </c>
      <c r="AP668" s="7">
        <v>0</v>
      </c>
      <c r="AQ668" s="9">
        <v>0</v>
      </c>
    </row>
    <row r="669" spans="1:43" ht="15">
      <c r="A669" s="2" t="s">
        <v>2362</v>
      </c>
      <c r="B669" s="5">
        <v>4912595</v>
      </c>
      <c r="C669" s="2" t="s">
        <v>23</v>
      </c>
      <c r="D669" s="2" t="s">
        <v>2363</v>
      </c>
      <c r="E669" s="2" t="s">
        <v>2364</v>
      </c>
      <c r="F669" s="2" t="s">
        <v>26</v>
      </c>
      <c r="G669" s="2" t="s">
        <v>26</v>
      </c>
      <c r="H669" s="2" t="s">
        <v>27</v>
      </c>
      <c r="I669" s="2" t="s">
        <v>28</v>
      </c>
      <c r="J669" s="10">
        <v>35558</v>
      </c>
      <c r="K669" s="2" t="s">
        <v>2365</v>
      </c>
      <c r="L669" s="2" t="s">
        <v>30</v>
      </c>
      <c r="M669" s="2" t="s">
        <v>31</v>
      </c>
      <c r="N669" s="2" t="s">
        <v>241</v>
      </c>
      <c r="O669" s="2" t="s">
        <v>2365</v>
      </c>
      <c r="P669" s="7">
        <v>22.007651289057101</v>
      </c>
      <c r="Q669" s="8">
        <v>63.284845470927998</v>
      </c>
      <c r="R669" s="9">
        <v>47276</v>
      </c>
      <c r="S669" s="2" t="s">
        <v>2366</v>
      </c>
      <c r="T669" s="9">
        <v>16880</v>
      </c>
      <c r="U669" s="9">
        <v>21779</v>
      </c>
      <c r="V669" s="9">
        <v>165241</v>
      </c>
      <c r="W669" s="9">
        <v>183694</v>
      </c>
      <c r="X669" s="9">
        <v>182959</v>
      </c>
      <c r="Y669" s="9">
        <v>285783</v>
      </c>
      <c r="Z669" s="9">
        <v>222625</v>
      </c>
      <c r="AA669" s="9">
        <v>143846</v>
      </c>
      <c r="AB669" s="9">
        <v>23454</v>
      </c>
      <c r="AC669" s="9">
        <v>169502</v>
      </c>
      <c r="AD669" s="9">
        <v>192033</v>
      </c>
      <c r="AE669" s="7">
        <v>0.018732818589534302</v>
      </c>
      <c r="AF669" s="7">
        <v>0.0066886602066116201</v>
      </c>
      <c r="AG669" s="7">
        <v>0.0086296105885921206</v>
      </c>
      <c r="AH669" s="7">
        <v>0.065475741180613695</v>
      </c>
      <c r="AI669" s="7">
        <v>0.072787560768200504</v>
      </c>
      <c r="AJ669" s="7">
        <v>0.072496410525127702</v>
      </c>
      <c r="AK669" s="7">
        <v>0.113239631859735</v>
      </c>
      <c r="AL669" s="7">
        <v>0.088213944750358195</v>
      </c>
      <c r="AM669" s="7">
        <v>0.056997945762805098</v>
      </c>
      <c r="AN669" s="7">
        <v>0.0092935193171570906</v>
      </c>
      <c r="AO669" s="7">
        <v>0.067163981338330195</v>
      </c>
      <c r="AP669" s="7">
        <v>0.076091817920192997</v>
      </c>
      <c r="AQ669" s="9">
        <v>80349</v>
      </c>
    </row>
    <row r="670" spans="1:43" ht="15">
      <c r="A670" s="2" t="s">
        <v>2367</v>
      </c>
      <c r="B670" s="5">
        <v>101365084</v>
      </c>
      <c r="C670" s="2" t="s">
        <v>23</v>
      </c>
      <c r="D670" s="2" t="s">
        <v>2368</v>
      </c>
      <c r="E670" s="2" t="s">
        <v>2369</v>
      </c>
      <c r="F670" s="2" t="s">
        <v>26</v>
      </c>
      <c r="G670" s="2"/>
      <c r="H670" s="2"/>
      <c r="I670" s="2" t="s">
        <v>28</v>
      </c>
      <c r="J670" s="6"/>
      <c r="K670" s="2" t="s">
        <v>55</v>
      </c>
      <c r="L670" s="2" t="s">
        <v>56</v>
      </c>
      <c r="M670" s="2" t="s">
        <v>55</v>
      </c>
      <c r="N670" s="2"/>
      <c r="O670" s="2"/>
      <c r="P670" s="6" t="s">
        <v>57</v>
      </c>
      <c r="Q670" s="6" t="s">
        <v>57</v>
      </c>
      <c r="R670" s="9">
        <v>0</v>
      </c>
      <c r="S670" s="2" t="s">
        <v>2370</v>
      </c>
      <c r="T670" s="9">
        <v>0</v>
      </c>
      <c r="U670" s="9">
        <v>0</v>
      </c>
      <c r="V670" s="9">
        <v>0</v>
      </c>
      <c r="W670" s="9">
        <v>80</v>
      </c>
      <c r="X670" s="9">
        <v>80</v>
      </c>
      <c r="Y670" s="9">
        <v>80</v>
      </c>
      <c r="Z670" s="9">
        <v>80</v>
      </c>
      <c r="AA670" s="9">
        <v>80</v>
      </c>
      <c r="AB670" s="9">
        <v>0</v>
      </c>
      <c r="AC670" s="9">
        <v>0</v>
      </c>
      <c r="AD670" s="9">
        <v>90</v>
      </c>
      <c r="AE670" s="6" t="s">
        <v>57</v>
      </c>
      <c r="AF670" s="6" t="s">
        <v>57</v>
      </c>
      <c r="AG670" s="6" t="s">
        <v>57</v>
      </c>
      <c r="AH670" s="6" t="s">
        <v>57</v>
      </c>
      <c r="AI670" s="6" t="s">
        <v>57</v>
      </c>
      <c r="AJ670" s="6" t="s">
        <v>57</v>
      </c>
      <c r="AK670" s="6" t="s">
        <v>57</v>
      </c>
      <c r="AL670" s="6" t="s">
        <v>57</v>
      </c>
      <c r="AM670" s="6" t="s">
        <v>57</v>
      </c>
      <c r="AN670" s="6" t="s">
        <v>57</v>
      </c>
      <c r="AO670" s="6" t="s">
        <v>57</v>
      </c>
      <c r="AP670" s="6" t="s">
        <v>57</v>
      </c>
      <c r="AQ670" s="9">
        <v>0</v>
      </c>
    </row>
    <row r="671" spans="1:43" ht="15">
      <c r="A671" s="2" t="s">
        <v>2371</v>
      </c>
      <c r="B671" s="5">
        <v>133688380</v>
      </c>
      <c r="C671" s="2" t="s">
        <v>23</v>
      </c>
      <c r="D671" s="2" t="s">
        <v>2372</v>
      </c>
      <c r="E671" s="2" t="s">
        <v>2373</v>
      </c>
      <c r="F671" s="2" t="s">
        <v>26</v>
      </c>
      <c r="G671" s="2" t="s">
        <v>26</v>
      </c>
      <c r="H671" s="2" t="s">
        <v>27</v>
      </c>
      <c r="I671" s="2" t="s">
        <v>28</v>
      </c>
      <c r="J671" s="6"/>
      <c r="K671" s="2" t="s">
        <v>55</v>
      </c>
      <c r="L671" s="2" t="s">
        <v>56</v>
      </c>
      <c r="M671" s="2" t="s">
        <v>55</v>
      </c>
      <c r="N671" s="2"/>
      <c r="O671" s="2"/>
      <c r="P671" s="6" t="s">
        <v>57</v>
      </c>
      <c r="Q671" s="6" t="s">
        <v>57</v>
      </c>
      <c r="R671" s="9">
        <v>22707</v>
      </c>
      <c r="S671" s="2"/>
      <c r="T671" s="9">
        <v>8675</v>
      </c>
      <c r="U671" s="9">
        <v>12938</v>
      </c>
      <c r="V671" s="9">
        <v>12937</v>
      </c>
      <c r="W671" s="9">
        <v>10465</v>
      </c>
      <c r="X671" s="9">
        <v>10465</v>
      </c>
      <c r="Y671" s="9">
        <v>10465</v>
      </c>
      <c r="Z671" s="9">
        <v>10465</v>
      </c>
      <c r="AA671" s="9">
        <v>10465</v>
      </c>
      <c r="AB671" s="9">
        <v>10673</v>
      </c>
      <c r="AC671" s="9">
        <v>12161</v>
      </c>
      <c r="AD671" s="9">
        <v>12205</v>
      </c>
      <c r="AE671" s="6" t="s">
        <v>57</v>
      </c>
      <c r="AF671" s="6" t="s">
        <v>57</v>
      </c>
      <c r="AG671" s="6" t="s">
        <v>57</v>
      </c>
      <c r="AH671" s="6" t="s">
        <v>57</v>
      </c>
      <c r="AI671" s="6" t="s">
        <v>57</v>
      </c>
      <c r="AJ671" s="6" t="s">
        <v>57</v>
      </c>
      <c r="AK671" s="6" t="s">
        <v>57</v>
      </c>
      <c r="AL671" s="6" t="s">
        <v>57</v>
      </c>
      <c r="AM671" s="6" t="s">
        <v>57</v>
      </c>
      <c r="AN671" s="6" t="s">
        <v>57</v>
      </c>
      <c r="AO671" s="6" t="s">
        <v>57</v>
      </c>
      <c r="AP671" s="6" t="s">
        <v>57</v>
      </c>
      <c r="AQ671" s="9">
        <v>0</v>
      </c>
    </row>
    <row r="672" spans="1:43" ht="15">
      <c r="A672" s="2" t="s">
        <v>2374</v>
      </c>
      <c r="B672" s="5">
        <v>114728878</v>
      </c>
      <c r="C672" s="2" t="s">
        <v>23</v>
      </c>
      <c r="D672" s="2" t="s">
        <v>2375</v>
      </c>
      <c r="E672" s="2" t="s">
        <v>2376</v>
      </c>
      <c r="F672" s="2" t="s">
        <v>26</v>
      </c>
      <c r="G672" s="2"/>
      <c r="H672" s="2"/>
      <c r="I672" s="2" t="s">
        <v>28</v>
      </c>
      <c r="J672" s="6"/>
      <c r="K672" s="2" t="s">
        <v>55</v>
      </c>
      <c r="L672" s="2" t="s">
        <v>56</v>
      </c>
      <c r="M672" s="2" t="s">
        <v>55</v>
      </c>
      <c r="N672" s="2"/>
      <c r="O672" s="2"/>
      <c r="P672" s="6" t="s">
        <v>57</v>
      </c>
      <c r="Q672" s="6" t="s">
        <v>57</v>
      </c>
      <c r="R672" s="6" t="s">
        <v>57</v>
      </c>
      <c r="S672" s="2"/>
      <c r="T672" s="6" t="s">
        <v>57</v>
      </c>
      <c r="U672" s="6" t="s">
        <v>57</v>
      </c>
      <c r="V672" s="6" t="s">
        <v>57</v>
      </c>
      <c r="W672" s="6" t="s">
        <v>57</v>
      </c>
      <c r="X672" s="6" t="s">
        <v>57</v>
      </c>
      <c r="Y672" s="6" t="s">
        <v>57</v>
      </c>
      <c r="Z672" s="6" t="s">
        <v>57</v>
      </c>
      <c r="AA672" s="6" t="s">
        <v>57</v>
      </c>
      <c r="AB672" s="6" t="s">
        <v>57</v>
      </c>
      <c r="AC672" s="6" t="s">
        <v>57</v>
      </c>
      <c r="AD672" s="6" t="s">
        <v>57</v>
      </c>
      <c r="AE672" s="6" t="s">
        <v>57</v>
      </c>
      <c r="AF672" s="6" t="s">
        <v>57</v>
      </c>
      <c r="AG672" s="6" t="s">
        <v>57</v>
      </c>
      <c r="AH672" s="6" t="s">
        <v>57</v>
      </c>
      <c r="AI672" s="6" t="s">
        <v>57</v>
      </c>
      <c r="AJ672" s="6" t="s">
        <v>57</v>
      </c>
      <c r="AK672" s="6" t="s">
        <v>57</v>
      </c>
      <c r="AL672" s="6" t="s">
        <v>57</v>
      </c>
      <c r="AM672" s="6" t="s">
        <v>57</v>
      </c>
      <c r="AN672" s="6" t="s">
        <v>57</v>
      </c>
      <c r="AO672" s="6" t="s">
        <v>57</v>
      </c>
      <c r="AP672" s="6" t="s">
        <v>57</v>
      </c>
      <c r="AQ672" s="6" t="s">
        <v>57</v>
      </c>
    </row>
    <row r="673" spans="1:43" ht="15">
      <c r="A673" s="2" t="s">
        <v>2377</v>
      </c>
      <c r="B673" s="5">
        <v>106345811</v>
      </c>
      <c r="C673" s="2" t="s">
        <v>23</v>
      </c>
      <c r="D673" s="2" t="s">
        <v>2378</v>
      </c>
      <c r="E673" s="2" t="s">
        <v>2379</v>
      </c>
      <c r="F673" s="2" t="s">
        <v>26</v>
      </c>
      <c r="G673" s="2" t="s">
        <v>26</v>
      </c>
      <c r="H673" s="2" t="s">
        <v>27</v>
      </c>
      <c r="I673" s="2" t="s">
        <v>28</v>
      </c>
      <c r="J673" s="6"/>
      <c r="K673" s="2" t="s">
        <v>55</v>
      </c>
      <c r="L673" s="2" t="s">
        <v>56</v>
      </c>
      <c r="M673" s="2" t="s">
        <v>55</v>
      </c>
      <c r="N673" s="2"/>
      <c r="O673" s="2"/>
      <c r="P673" s="6" t="s">
        <v>57</v>
      </c>
      <c r="Q673" s="6" t="s">
        <v>57</v>
      </c>
      <c r="R673" s="6" t="s">
        <v>57</v>
      </c>
      <c r="S673" s="2"/>
      <c r="T673" s="6" t="s">
        <v>57</v>
      </c>
      <c r="U673" s="6" t="s">
        <v>57</v>
      </c>
      <c r="V673" s="6" t="s">
        <v>57</v>
      </c>
      <c r="W673" s="6" t="s">
        <v>57</v>
      </c>
      <c r="X673" s="6" t="s">
        <v>57</v>
      </c>
      <c r="Y673" s="6" t="s">
        <v>57</v>
      </c>
      <c r="Z673" s="6" t="s">
        <v>57</v>
      </c>
      <c r="AA673" s="6" t="s">
        <v>57</v>
      </c>
      <c r="AB673" s="6" t="s">
        <v>57</v>
      </c>
      <c r="AC673" s="6" t="s">
        <v>57</v>
      </c>
      <c r="AD673" s="6" t="s">
        <v>57</v>
      </c>
      <c r="AE673" s="6" t="s">
        <v>57</v>
      </c>
      <c r="AF673" s="6" t="s">
        <v>57</v>
      </c>
      <c r="AG673" s="6" t="s">
        <v>57</v>
      </c>
      <c r="AH673" s="6" t="s">
        <v>57</v>
      </c>
      <c r="AI673" s="6" t="s">
        <v>57</v>
      </c>
      <c r="AJ673" s="6" t="s">
        <v>57</v>
      </c>
      <c r="AK673" s="6" t="s">
        <v>57</v>
      </c>
      <c r="AL673" s="6" t="s">
        <v>57</v>
      </c>
      <c r="AM673" s="6" t="s">
        <v>57</v>
      </c>
      <c r="AN673" s="6" t="s">
        <v>57</v>
      </c>
      <c r="AO673" s="6" t="s">
        <v>57</v>
      </c>
      <c r="AP673" s="6" t="s">
        <v>57</v>
      </c>
      <c r="AQ673" s="6" t="s">
        <v>57</v>
      </c>
    </row>
    <row r="674" spans="1:43" ht="15">
      <c r="A674" s="2" t="s">
        <v>2380</v>
      </c>
      <c r="B674" s="5">
        <v>133709689</v>
      </c>
      <c r="C674" s="2" t="s">
        <v>23</v>
      </c>
      <c r="D674" s="2" t="s">
        <v>2381</v>
      </c>
      <c r="E674" s="2" t="s">
        <v>2382</v>
      </c>
      <c r="F674" s="2" t="s">
        <v>26</v>
      </c>
      <c r="G674" s="2" t="s">
        <v>26</v>
      </c>
      <c r="H674" s="2" t="s">
        <v>27</v>
      </c>
      <c r="I674" s="2" t="s">
        <v>28</v>
      </c>
      <c r="J674" s="6"/>
      <c r="K674" s="2" t="s">
        <v>55</v>
      </c>
      <c r="L674" s="2" t="s">
        <v>56</v>
      </c>
      <c r="M674" s="2" t="s">
        <v>55</v>
      </c>
      <c r="N674" s="2"/>
      <c r="O674" s="2"/>
      <c r="P674" s="6" t="s">
        <v>57</v>
      </c>
      <c r="Q674" s="6" t="s">
        <v>57</v>
      </c>
      <c r="R674" s="9">
        <v>0</v>
      </c>
      <c r="S674" s="2"/>
      <c r="T674" s="9">
        <v>0</v>
      </c>
      <c r="U674" s="9">
        <v>0</v>
      </c>
      <c r="V674" s="9">
        <v>0</v>
      </c>
      <c r="W674" s="9">
        <v>0</v>
      </c>
      <c r="X674" s="9">
        <v>0</v>
      </c>
      <c r="Y674" s="9">
        <v>0</v>
      </c>
      <c r="Z674" s="9">
        <v>0</v>
      </c>
      <c r="AA674" s="9">
        <v>0</v>
      </c>
      <c r="AB674" s="9">
        <v>0</v>
      </c>
      <c r="AC674" s="9">
        <v>0</v>
      </c>
      <c r="AD674" s="9">
        <v>0</v>
      </c>
      <c r="AE674" s="6" t="s">
        <v>57</v>
      </c>
      <c r="AF674" s="6" t="s">
        <v>57</v>
      </c>
      <c r="AG674" s="6" t="s">
        <v>57</v>
      </c>
      <c r="AH674" s="6" t="s">
        <v>57</v>
      </c>
      <c r="AI674" s="6" t="s">
        <v>57</v>
      </c>
      <c r="AJ674" s="6" t="s">
        <v>57</v>
      </c>
      <c r="AK674" s="6" t="s">
        <v>57</v>
      </c>
      <c r="AL674" s="6" t="s">
        <v>57</v>
      </c>
      <c r="AM674" s="6" t="s">
        <v>57</v>
      </c>
      <c r="AN674" s="6" t="s">
        <v>57</v>
      </c>
      <c r="AO674" s="6" t="s">
        <v>57</v>
      </c>
      <c r="AP674" s="6" t="s">
        <v>57</v>
      </c>
      <c r="AQ674" s="9">
        <v>0</v>
      </c>
    </row>
    <row r="675" spans="1:43" ht="15">
      <c r="A675" s="2" t="s">
        <v>2383</v>
      </c>
      <c r="B675" s="5">
        <v>132870195</v>
      </c>
      <c r="C675" s="2" t="s">
        <v>23</v>
      </c>
      <c r="D675" s="2" t="s">
        <v>2384</v>
      </c>
      <c r="E675" s="2" t="s">
        <v>2382</v>
      </c>
      <c r="F675" s="2" t="s">
        <v>26</v>
      </c>
      <c r="G675" s="2"/>
      <c r="H675" s="2"/>
      <c r="I675" s="2" t="s">
        <v>28</v>
      </c>
      <c r="J675" s="6"/>
      <c r="K675" s="2" t="s">
        <v>55</v>
      </c>
      <c r="L675" s="2" t="s">
        <v>56</v>
      </c>
      <c r="M675" s="2" t="s">
        <v>55</v>
      </c>
      <c r="N675" s="2"/>
      <c r="O675" s="2"/>
      <c r="P675" s="6" t="s">
        <v>57</v>
      </c>
      <c r="Q675" s="6" t="s">
        <v>57</v>
      </c>
      <c r="R675" s="9">
        <v>0</v>
      </c>
      <c r="S675" s="2"/>
      <c r="T675" s="9">
        <v>0</v>
      </c>
      <c r="U675" s="9">
        <v>0</v>
      </c>
      <c r="V675" s="9">
        <v>0</v>
      </c>
      <c r="W675" s="9">
        <v>545</v>
      </c>
      <c r="X675" s="9">
        <v>543</v>
      </c>
      <c r="Y675" s="9">
        <v>433</v>
      </c>
      <c r="Z675" s="9">
        <v>433</v>
      </c>
      <c r="AA675" s="9">
        <v>433</v>
      </c>
      <c r="AB675" s="9">
        <v>0</v>
      </c>
      <c r="AC675" s="9">
        <v>0</v>
      </c>
      <c r="AD675" s="9">
        <v>0</v>
      </c>
      <c r="AE675" s="6" t="s">
        <v>57</v>
      </c>
      <c r="AF675" s="6" t="s">
        <v>57</v>
      </c>
      <c r="AG675" s="6" t="s">
        <v>57</v>
      </c>
      <c r="AH675" s="6" t="s">
        <v>57</v>
      </c>
      <c r="AI675" s="6" t="s">
        <v>57</v>
      </c>
      <c r="AJ675" s="6" t="s">
        <v>57</v>
      </c>
      <c r="AK675" s="6" t="s">
        <v>57</v>
      </c>
      <c r="AL675" s="6" t="s">
        <v>57</v>
      </c>
      <c r="AM675" s="6" t="s">
        <v>57</v>
      </c>
      <c r="AN675" s="6" t="s">
        <v>57</v>
      </c>
      <c r="AO675" s="6" t="s">
        <v>57</v>
      </c>
      <c r="AP675" s="6" t="s">
        <v>57</v>
      </c>
      <c r="AQ675" s="9">
        <v>0</v>
      </c>
    </row>
    <row r="676" spans="1:43" ht="15">
      <c r="A676" s="2" t="s">
        <v>2385</v>
      </c>
      <c r="B676" s="5">
        <v>101359136</v>
      </c>
      <c r="C676" s="2" t="s">
        <v>23</v>
      </c>
      <c r="D676" s="2" t="s">
        <v>2386</v>
      </c>
      <c r="E676" s="2" t="s">
        <v>2387</v>
      </c>
      <c r="F676" s="2" t="s">
        <v>26</v>
      </c>
      <c r="G676" s="2"/>
      <c r="H676" s="2"/>
      <c r="I676" s="2" t="s">
        <v>28</v>
      </c>
      <c r="J676" s="6"/>
      <c r="K676" s="2" t="s">
        <v>55</v>
      </c>
      <c r="L676" s="2" t="s">
        <v>56</v>
      </c>
      <c r="M676" s="2" t="s">
        <v>55</v>
      </c>
      <c r="N676" s="2"/>
      <c r="O676" s="2"/>
      <c r="P676" s="6" t="s">
        <v>57</v>
      </c>
      <c r="Q676" s="6" t="s">
        <v>57</v>
      </c>
      <c r="R676" s="9">
        <v>0</v>
      </c>
      <c r="S676" s="2"/>
      <c r="T676" s="9">
        <v>0</v>
      </c>
      <c r="U676" s="9">
        <v>0</v>
      </c>
      <c r="V676" s="9">
        <v>0</v>
      </c>
      <c r="W676" s="9">
        <v>0</v>
      </c>
      <c r="X676" s="9">
        <v>0</v>
      </c>
      <c r="Y676" s="9">
        <v>0</v>
      </c>
      <c r="Z676" s="9">
        <v>0</v>
      </c>
      <c r="AA676" s="9">
        <v>0</v>
      </c>
      <c r="AB676" s="9">
        <v>0</v>
      </c>
      <c r="AC676" s="9">
        <v>0</v>
      </c>
      <c r="AD676" s="9">
        <v>0</v>
      </c>
      <c r="AE676" s="6" t="s">
        <v>57</v>
      </c>
      <c r="AF676" s="6" t="s">
        <v>57</v>
      </c>
      <c r="AG676" s="6" t="s">
        <v>57</v>
      </c>
      <c r="AH676" s="6" t="s">
        <v>57</v>
      </c>
      <c r="AI676" s="6" t="s">
        <v>57</v>
      </c>
      <c r="AJ676" s="6" t="s">
        <v>57</v>
      </c>
      <c r="AK676" s="6" t="s">
        <v>57</v>
      </c>
      <c r="AL676" s="6" t="s">
        <v>57</v>
      </c>
      <c r="AM676" s="6" t="s">
        <v>57</v>
      </c>
      <c r="AN676" s="6" t="s">
        <v>57</v>
      </c>
      <c r="AO676" s="6" t="s">
        <v>57</v>
      </c>
      <c r="AP676" s="6" t="s">
        <v>57</v>
      </c>
      <c r="AQ676" s="9">
        <v>0</v>
      </c>
    </row>
    <row r="677" spans="1:43" ht="15">
      <c r="A677" s="2" t="s">
        <v>2388</v>
      </c>
      <c r="B677" s="5">
        <v>116662366</v>
      </c>
      <c r="C677" s="2" t="s">
        <v>23</v>
      </c>
      <c r="D677" s="2" t="s">
        <v>2389</v>
      </c>
      <c r="E677" s="2" t="s">
        <v>2390</v>
      </c>
      <c r="F677" s="2" t="s">
        <v>26</v>
      </c>
      <c r="G677" s="2" t="s">
        <v>26</v>
      </c>
      <c r="H677" s="2" t="s">
        <v>27</v>
      </c>
      <c r="I677" s="2" t="s">
        <v>28</v>
      </c>
      <c r="J677" s="6"/>
      <c r="K677" s="2" t="s">
        <v>55</v>
      </c>
      <c r="L677" s="2" t="s">
        <v>56</v>
      </c>
      <c r="M677" s="2" t="s">
        <v>55</v>
      </c>
      <c r="N677" s="2"/>
      <c r="O677" s="2"/>
      <c r="P677" s="6" t="s">
        <v>57</v>
      </c>
      <c r="Q677" s="6" t="s">
        <v>57</v>
      </c>
      <c r="R677" s="6" t="s">
        <v>57</v>
      </c>
      <c r="S677" s="2"/>
      <c r="T677" s="6" t="s">
        <v>57</v>
      </c>
      <c r="U677" s="6" t="s">
        <v>57</v>
      </c>
      <c r="V677" s="6" t="s">
        <v>57</v>
      </c>
      <c r="W677" s="6" t="s">
        <v>57</v>
      </c>
      <c r="X677" s="6" t="s">
        <v>57</v>
      </c>
      <c r="Y677" s="6" t="s">
        <v>57</v>
      </c>
      <c r="Z677" s="6" t="s">
        <v>57</v>
      </c>
      <c r="AA677" s="6" t="s">
        <v>57</v>
      </c>
      <c r="AB677" s="6" t="s">
        <v>57</v>
      </c>
      <c r="AC677" s="6" t="s">
        <v>57</v>
      </c>
      <c r="AD677" s="6" t="s">
        <v>57</v>
      </c>
      <c r="AE677" s="6" t="s">
        <v>57</v>
      </c>
      <c r="AF677" s="6" t="s">
        <v>57</v>
      </c>
      <c r="AG677" s="6" t="s">
        <v>57</v>
      </c>
      <c r="AH677" s="6" t="s">
        <v>57</v>
      </c>
      <c r="AI677" s="6" t="s">
        <v>57</v>
      </c>
      <c r="AJ677" s="6" t="s">
        <v>57</v>
      </c>
      <c r="AK677" s="6" t="s">
        <v>57</v>
      </c>
      <c r="AL677" s="6" t="s">
        <v>57</v>
      </c>
      <c r="AM677" s="6" t="s">
        <v>57</v>
      </c>
      <c r="AN677" s="6" t="s">
        <v>57</v>
      </c>
      <c r="AO677" s="6" t="s">
        <v>57</v>
      </c>
      <c r="AP677" s="6" t="s">
        <v>57</v>
      </c>
      <c r="AQ677" s="6" t="s">
        <v>57</v>
      </c>
    </row>
    <row r="678" spans="1:43" ht="15">
      <c r="A678" s="2" t="s">
        <v>2391</v>
      </c>
      <c r="B678" s="5">
        <v>19937353</v>
      </c>
      <c r="C678" s="2" t="s">
        <v>23</v>
      </c>
      <c r="D678" s="2" t="s">
        <v>2392</v>
      </c>
      <c r="E678" s="2" t="s">
        <v>2393</v>
      </c>
      <c r="F678" s="2" t="s">
        <v>26</v>
      </c>
      <c r="G678" s="2" t="s">
        <v>26</v>
      </c>
      <c r="H678" s="2" t="s">
        <v>27</v>
      </c>
      <c r="I678" s="2" t="s">
        <v>28</v>
      </c>
      <c r="J678" s="6"/>
      <c r="K678" s="2" t="s">
        <v>55</v>
      </c>
      <c r="L678" s="2" t="s">
        <v>56</v>
      </c>
      <c r="M678" s="2" t="s">
        <v>55</v>
      </c>
      <c r="N678" s="2"/>
      <c r="O678" s="2"/>
      <c r="P678" s="6" t="s">
        <v>57</v>
      </c>
      <c r="Q678" s="6" t="s">
        <v>57</v>
      </c>
      <c r="R678" s="9">
        <v>0</v>
      </c>
      <c r="S678" s="2"/>
      <c r="T678" s="9">
        <v>0</v>
      </c>
      <c r="U678" s="9">
        <v>0</v>
      </c>
      <c r="V678" s="9">
        <v>13</v>
      </c>
      <c r="W678" s="9">
        <v>173</v>
      </c>
      <c r="X678" s="9">
        <v>173</v>
      </c>
      <c r="Y678" s="9">
        <v>276</v>
      </c>
      <c r="Z678" s="9">
        <v>318</v>
      </c>
      <c r="AA678" s="9">
        <v>2328</v>
      </c>
      <c r="AB678" s="9">
        <v>0</v>
      </c>
      <c r="AC678" s="9">
        <v>14</v>
      </c>
      <c r="AD678" s="9">
        <v>14</v>
      </c>
      <c r="AE678" s="6" t="s">
        <v>57</v>
      </c>
      <c r="AF678" s="6" t="s">
        <v>57</v>
      </c>
      <c r="AG678" s="6" t="s">
        <v>57</v>
      </c>
      <c r="AH678" s="6" t="s">
        <v>57</v>
      </c>
      <c r="AI678" s="6" t="s">
        <v>57</v>
      </c>
      <c r="AJ678" s="6" t="s">
        <v>57</v>
      </c>
      <c r="AK678" s="6" t="s">
        <v>57</v>
      </c>
      <c r="AL678" s="6" t="s">
        <v>57</v>
      </c>
      <c r="AM678" s="6" t="s">
        <v>57</v>
      </c>
      <c r="AN678" s="6" t="s">
        <v>57</v>
      </c>
      <c r="AO678" s="6" t="s">
        <v>57</v>
      </c>
      <c r="AP678" s="6" t="s">
        <v>57</v>
      </c>
      <c r="AQ678" s="9">
        <v>0</v>
      </c>
    </row>
    <row r="679" spans="1:43" ht="15">
      <c r="A679" s="2" t="s">
        <v>2394</v>
      </c>
      <c r="B679" s="5">
        <v>119169078</v>
      </c>
      <c r="C679" s="2" t="s">
        <v>23</v>
      </c>
      <c r="D679" s="2" t="s">
        <v>2395</v>
      </c>
      <c r="E679" s="2" t="s">
        <v>2396</v>
      </c>
      <c r="F679" s="2" t="s">
        <v>26</v>
      </c>
      <c r="G679" s="2" t="s">
        <v>26</v>
      </c>
      <c r="H679" s="2" t="s">
        <v>27</v>
      </c>
      <c r="I679" s="2" t="s">
        <v>28</v>
      </c>
      <c r="J679" s="6"/>
      <c r="K679" s="2" t="s">
        <v>55</v>
      </c>
      <c r="L679" s="2" t="s">
        <v>56</v>
      </c>
      <c r="M679" s="2" t="s">
        <v>55</v>
      </c>
      <c r="N679" s="2"/>
      <c r="O679" s="2"/>
      <c r="P679" s="6" t="s">
        <v>57</v>
      </c>
      <c r="Q679" s="6" t="s">
        <v>57</v>
      </c>
      <c r="R679" s="6" t="s">
        <v>57</v>
      </c>
      <c r="S679" s="2"/>
      <c r="T679" s="6" t="s">
        <v>57</v>
      </c>
      <c r="U679" s="6" t="s">
        <v>57</v>
      </c>
      <c r="V679" s="6" t="s">
        <v>57</v>
      </c>
      <c r="W679" s="6" t="s">
        <v>57</v>
      </c>
      <c r="X679" s="6" t="s">
        <v>57</v>
      </c>
      <c r="Y679" s="6" t="s">
        <v>57</v>
      </c>
      <c r="Z679" s="6" t="s">
        <v>57</v>
      </c>
      <c r="AA679" s="6" t="s">
        <v>57</v>
      </c>
      <c r="AB679" s="6" t="s">
        <v>57</v>
      </c>
      <c r="AC679" s="6" t="s">
        <v>57</v>
      </c>
      <c r="AD679" s="6" t="s">
        <v>57</v>
      </c>
      <c r="AE679" s="6" t="s">
        <v>57</v>
      </c>
      <c r="AF679" s="6" t="s">
        <v>57</v>
      </c>
      <c r="AG679" s="6" t="s">
        <v>57</v>
      </c>
      <c r="AH679" s="6" t="s">
        <v>57</v>
      </c>
      <c r="AI679" s="6" t="s">
        <v>57</v>
      </c>
      <c r="AJ679" s="6" t="s">
        <v>57</v>
      </c>
      <c r="AK679" s="6" t="s">
        <v>57</v>
      </c>
      <c r="AL679" s="6" t="s">
        <v>57</v>
      </c>
      <c r="AM679" s="6" t="s">
        <v>57</v>
      </c>
      <c r="AN679" s="6" t="s">
        <v>57</v>
      </c>
      <c r="AO679" s="6" t="s">
        <v>57</v>
      </c>
      <c r="AP679" s="6" t="s">
        <v>57</v>
      </c>
      <c r="AQ679" s="6" t="s">
        <v>57</v>
      </c>
    </row>
    <row r="680" spans="1:43" ht="15">
      <c r="A680" s="2" t="s">
        <v>2397</v>
      </c>
      <c r="B680" s="5">
        <v>24798000</v>
      </c>
      <c r="C680" s="2" t="s">
        <v>23</v>
      </c>
      <c r="D680" s="2" t="s">
        <v>2398</v>
      </c>
      <c r="E680" s="2" t="s">
        <v>2399</v>
      </c>
      <c r="F680" s="2" t="s">
        <v>26</v>
      </c>
      <c r="G680" s="2" t="s">
        <v>26</v>
      </c>
      <c r="H680" s="2" t="s">
        <v>27</v>
      </c>
      <c r="I680" s="2" t="s">
        <v>28</v>
      </c>
      <c r="J680" s="6"/>
      <c r="K680" s="2" t="s">
        <v>55</v>
      </c>
      <c r="L680" s="2" t="s">
        <v>56</v>
      </c>
      <c r="M680" s="2" t="s">
        <v>55</v>
      </c>
      <c r="N680" s="2"/>
      <c r="O680" s="2"/>
      <c r="P680" s="6" t="s">
        <v>57</v>
      </c>
      <c r="Q680" s="6" t="s">
        <v>57</v>
      </c>
      <c r="R680" s="9">
        <v>0</v>
      </c>
      <c r="S680" s="2"/>
      <c r="T680" s="9">
        <v>0</v>
      </c>
      <c r="U680" s="9">
        <v>0</v>
      </c>
      <c r="V680" s="9">
        <v>0</v>
      </c>
      <c r="W680" s="9">
        <v>0</v>
      </c>
      <c r="X680" s="9">
        <v>0</v>
      </c>
      <c r="Y680" s="9">
        <v>0</v>
      </c>
      <c r="Z680" s="9">
        <v>33214</v>
      </c>
      <c r="AA680" s="9">
        <v>33214</v>
      </c>
      <c r="AB680" s="9">
        <v>0</v>
      </c>
      <c r="AC680" s="9">
        <v>0</v>
      </c>
      <c r="AD680" s="9">
        <v>0</v>
      </c>
      <c r="AE680" s="6" t="s">
        <v>57</v>
      </c>
      <c r="AF680" s="6" t="s">
        <v>57</v>
      </c>
      <c r="AG680" s="6" t="s">
        <v>57</v>
      </c>
      <c r="AH680" s="6" t="s">
        <v>57</v>
      </c>
      <c r="AI680" s="6" t="s">
        <v>57</v>
      </c>
      <c r="AJ680" s="6" t="s">
        <v>57</v>
      </c>
      <c r="AK680" s="6" t="s">
        <v>57</v>
      </c>
      <c r="AL680" s="6" t="s">
        <v>57</v>
      </c>
      <c r="AM680" s="6" t="s">
        <v>57</v>
      </c>
      <c r="AN680" s="6" t="s">
        <v>57</v>
      </c>
      <c r="AO680" s="6" t="s">
        <v>57</v>
      </c>
      <c r="AP680" s="6" t="s">
        <v>57</v>
      </c>
      <c r="AQ680" s="9">
        <v>0</v>
      </c>
    </row>
    <row r="681" spans="1:43" ht="15">
      <c r="A681" s="2" t="s">
        <v>2400</v>
      </c>
      <c r="B681" s="5">
        <v>119064297</v>
      </c>
      <c r="C681" s="2" t="s">
        <v>23</v>
      </c>
      <c r="D681" s="2" t="s">
        <v>2401</v>
      </c>
      <c r="E681" s="2" t="s">
        <v>2376</v>
      </c>
      <c r="F681" s="2" t="s">
        <v>26</v>
      </c>
      <c r="G681" s="2" t="s">
        <v>26</v>
      </c>
      <c r="H681" s="2" t="s">
        <v>27</v>
      </c>
      <c r="I681" s="2" t="s">
        <v>28</v>
      </c>
      <c r="J681" s="6"/>
      <c r="K681" s="2" t="s">
        <v>55</v>
      </c>
      <c r="L681" s="2" t="s">
        <v>56</v>
      </c>
      <c r="M681" s="2" t="s">
        <v>55</v>
      </c>
      <c r="N681" s="2"/>
      <c r="O681" s="2"/>
      <c r="P681" s="6" t="s">
        <v>57</v>
      </c>
      <c r="Q681" s="6" t="s">
        <v>57</v>
      </c>
      <c r="R681" s="9">
        <v>0</v>
      </c>
      <c r="S681" s="2"/>
      <c r="T681" s="9">
        <v>0</v>
      </c>
      <c r="U681" s="9">
        <v>0</v>
      </c>
      <c r="V681" s="9">
        <v>0</v>
      </c>
      <c r="W681" s="9">
        <v>7</v>
      </c>
      <c r="X681" s="9">
        <v>7</v>
      </c>
      <c r="Y681" s="9">
        <v>7</v>
      </c>
      <c r="Z681" s="9">
        <v>7</v>
      </c>
      <c r="AA681" s="9">
        <v>7</v>
      </c>
      <c r="AB681" s="9">
        <v>0</v>
      </c>
      <c r="AC681" s="9">
        <v>0</v>
      </c>
      <c r="AD681" s="9">
        <v>0</v>
      </c>
      <c r="AE681" s="6" t="s">
        <v>57</v>
      </c>
      <c r="AF681" s="6" t="s">
        <v>57</v>
      </c>
      <c r="AG681" s="6" t="s">
        <v>57</v>
      </c>
      <c r="AH681" s="6" t="s">
        <v>57</v>
      </c>
      <c r="AI681" s="6" t="s">
        <v>57</v>
      </c>
      <c r="AJ681" s="6" t="s">
        <v>57</v>
      </c>
      <c r="AK681" s="6" t="s">
        <v>57</v>
      </c>
      <c r="AL681" s="6" t="s">
        <v>57</v>
      </c>
      <c r="AM681" s="6" t="s">
        <v>57</v>
      </c>
      <c r="AN681" s="6" t="s">
        <v>57</v>
      </c>
      <c r="AO681" s="6" t="s">
        <v>57</v>
      </c>
      <c r="AP681" s="6" t="s">
        <v>57</v>
      </c>
      <c r="AQ681" s="9">
        <v>0</v>
      </c>
    </row>
    <row r="682" spans="1:43" ht="15">
      <c r="A682" s="2" t="s">
        <v>2402</v>
      </c>
      <c r="B682" s="5">
        <v>24400246</v>
      </c>
      <c r="C682" s="2" t="s">
        <v>23</v>
      </c>
      <c r="D682" s="2" t="s">
        <v>2403</v>
      </c>
      <c r="E682" s="2" t="s">
        <v>2404</v>
      </c>
      <c r="F682" s="2" t="s">
        <v>26</v>
      </c>
      <c r="G682" s="2" t="s">
        <v>26</v>
      </c>
      <c r="H682" s="2" t="s">
        <v>27</v>
      </c>
      <c r="I682" s="2" t="s">
        <v>28</v>
      </c>
      <c r="J682" s="6"/>
      <c r="K682" s="2" t="s">
        <v>55</v>
      </c>
      <c r="L682" s="2" t="s">
        <v>56</v>
      </c>
      <c r="M682" s="2" t="s">
        <v>55</v>
      </c>
      <c r="N682" s="2"/>
      <c r="O682" s="2"/>
      <c r="P682" s="6" t="s">
        <v>57</v>
      </c>
      <c r="Q682" s="6" t="s">
        <v>57</v>
      </c>
      <c r="R682" s="9">
        <v>0</v>
      </c>
      <c r="S682" s="2"/>
      <c r="T682" s="9">
        <v>0</v>
      </c>
      <c r="U682" s="9">
        <v>20</v>
      </c>
      <c r="V682" s="9">
        <v>7</v>
      </c>
      <c r="W682" s="9">
        <v>5</v>
      </c>
      <c r="X682" s="9">
        <v>5</v>
      </c>
      <c r="Y682" s="9">
        <v>3</v>
      </c>
      <c r="Z682" s="9">
        <v>86</v>
      </c>
      <c r="AA682" s="9">
        <v>929</v>
      </c>
      <c r="AB682" s="9">
        <v>22</v>
      </c>
      <c r="AC682" s="9">
        <v>8</v>
      </c>
      <c r="AD682" s="9">
        <v>4</v>
      </c>
      <c r="AE682" s="6" t="s">
        <v>57</v>
      </c>
      <c r="AF682" s="6" t="s">
        <v>57</v>
      </c>
      <c r="AG682" s="6" t="s">
        <v>57</v>
      </c>
      <c r="AH682" s="6" t="s">
        <v>57</v>
      </c>
      <c r="AI682" s="6" t="s">
        <v>57</v>
      </c>
      <c r="AJ682" s="6" t="s">
        <v>57</v>
      </c>
      <c r="AK682" s="6" t="s">
        <v>57</v>
      </c>
      <c r="AL682" s="6" t="s">
        <v>57</v>
      </c>
      <c r="AM682" s="6" t="s">
        <v>57</v>
      </c>
      <c r="AN682" s="6" t="s">
        <v>57</v>
      </c>
      <c r="AO682" s="6" t="s">
        <v>57</v>
      </c>
      <c r="AP682" s="6" t="s">
        <v>57</v>
      </c>
      <c r="AQ682" s="9">
        <v>0</v>
      </c>
    </row>
    <row r="683" spans="1:43" ht="15">
      <c r="A683" s="2" t="s">
        <v>2405</v>
      </c>
      <c r="B683" s="5">
        <v>119014432</v>
      </c>
      <c r="C683" s="2" t="s">
        <v>23</v>
      </c>
      <c r="D683" s="2" t="s">
        <v>2406</v>
      </c>
      <c r="E683" s="2" t="s">
        <v>2407</v>
      </c>
      <c r="F683" s="2" t="s">
        <v>26</v>
      </c>
      <c r="G683" s="2" t="s">
        <v>26</v>
      </c>
      <c r="H683" s="2" t="s">
        <v>27</v>
      </c>
      <c r="I683" s="2" t="s">
        <v>28</v>
      </c>
      <c r="J683" s="6"/>
      <c r="K683" s="2" t="s">
        <v>55</v>
      </c>
      <c r="L683" s="2" t="s">
        <v>56</v>
      </c>
      <c r="M683" s="2" t="s">
        <v>55</v>
      </c>
      <c r="N683" s="2"/>
      <c r="O683" s="2"/>
      <c r="P683" s="6" t="s">
        <v>57</v>
      </c>
      <c r="Q683" s="6" t="s">
        <v>57</v>
      </c>
      <c r="R683" s="9">
        <v>0</v>
      </c>
      <c r="S683" s="2"/>
      <c r="T683" s="9">
        <v>0</v>
      </c>
      <c r="U683" s="9">
        <v>10</v>
      </c>
      <c r="V683" s="9">
        <v>4</v>
      </c>
      <c r="W683" s="9">
        <v>24</v>
      </c>
      <c r="X683" s="9">
        <v>24</v>
      </c>
      <c r="Y683" s="9">
        <v>24</v>
      </c>
      <c r="Z683" s="9">
        <v>24</v>
      </c>
      <c r="AA683" s="9">
        <v>24</v>
      </c>
      <c r="AB683" s="9">
        <v>11</v>
      </c>
      <c r="AC683" s="9">
        <v>4</v>
      </c>
      <c r="AD683" s="9">
        <v>24</v>
      </c>
      <c r="AE683" s="6" t="s">
        <v>57</v>
      </c>
      <c r="AF683" s="6" t="s">
        <v>57</v>
      </c>
      <c r="AG683" s="6" t="s">
        <v>57</v>
      </c>
      <c r="AH683" s="6" t="s">
        <v>57</v>
      </c>
      <c r="AI683" s="6" t="s">
        <v>57</v>
      </c>
      <c r="AJ683" s="6" t="s">
        <v>57</v>
      </c>
      <c r="AK683" s="6" t="s">
        <v>57</v>
      </c>
      <c r="AL683" s="6" t="s">
        <v>57</v>
      </c>
      <c r="AM683" s="6" t="s">
        <v>57</v>
      </c>
      <c r="AN683" s="6" t="s">
        <v>57</v>
      </c>
      <c r="AO683" s="6" t="s">
        <v>57</v>
      </c>
      <c r="AP683" s="6" t="s">
        <v>57</v>
      </c>
      <c r="AQ683" s="9">
        <v>0</v>
      </c>
    </row>
    <row r="684" spans="1:43" ht="15">
      <c r="A684" s="2" t="s">
        <v>2408</v>
      </c>
      <c r="B684" s="5">
        <v>19939539</v>
      </c>
      <c r="C684" s="2" t="s">
        <v>23</v>
      </c>
      <c r="D684" s="2" t="s">
        <v>2409</v>
      </c>
      <c r="E684" s="2" t="s">
        <v>2410</v>
      </c>
      <c r="F684" s="2" t="s">
        <v>26</v>
      </c>
      <c r="G684" s="2" t="s">
        <v>26</v>
      </c>
      <c r="H684" s="2" t="s">
        <v>27</v>
      </c>
      <c r="I684" s="2" t="s">
        <v>28</v>
      </c>
      <c r="J684" s="6"/>
      <c r="K684" s="2" t="s">
        <v>55</v>
      </c>
      <c r="L684" s="2" t="s">
        <v>56</v>
      </c>
      <c r="M684" s="2" t="s">
        <v>55</v>
      </c>
      <c r="N684" s="2"/>
      <c r="O684" s="2"/>
      <c r="P684" s="6" t="s">
        <v>57</v>
      </c>
      <c r="Q684" s="6" t="s">
        <v>57</v>
      </c>
      <c r="R684" s="9">
        <v>0</v>
      </c>
      <c r="S684" s="2"/>
      <c r="T684" s="9">
        <v>0</v>
      </c>
      <c r="U684" s="9">
        <v>0</v>
      </c>
      <c r="V684" s="9">
        <v>0</v>
      </c>
      <c r="W684" s="9">
        <v>0</v>
      </c>
      <c r="X684" s="9">
        <v>0</v>
      </c>
      <c r="Y684" s="9">
        <v>0</v>
      </c>
      <c r="Z684" s="9">
        <v>0</v>
      </c>
      <c r="AA684" s="9">
        <v>261</v>
      </c>
      <c r="AB684" s="9">
        <v>0</v>
      </c>
      <c r="AC684" s="9">
        <v>0</v>
      </c>
      <c r="AD684" s="9">
        <v>0</v>
      </c>
      <c r="AE684" s="6" t="s">
        <v>57</v>
      </c>
      <c r="AF684" s="6" t="s">
        <v>57</v>
      </c>
      <c r="AG684" s="6" t="s">
        <v>57</v>
      </c>
      <c r="AH684" s="6" t="s">
        <v>57</v>
      </c>
      <c r="AI684" s="6" t="s">
        <v>57</v>
      </c>
      <c r="AJ684" s="6" t="s">
        <v>57</v>
      </c>
      <c r="AK684" s="6" t="s">
        <v>57</v>
      </c>
      <c r="AL684" s="6" t="s">
        <v>57</v>
      </c>
      <c r="AM684" s="6" t="s">
        <v>57</v>
      </c>
      <c r="AN684" s="6" t="s">
        <v>57</v>
      </c>
      <c r="AO684" s="6" t="s">
        <v>57</v>
      </c>
      <c r="AP684" s="6" t="s">
        <v>57</v>
      </c>
      <c r="AQ684" s="9">
        <v>0</v>
      </c>
    </row>
    <row r="685" spans="1:43" ht="15">
      <c r="A685" s="2" t="s">
        <v>2411</v>
      </c>
      <c r="B685" s="5">
        <v>27806252</v>
      </c>
      <c r="C685" s="2" t="s">
        <v>23</v>
      </c>
      <c r="D685" s="2" t="s">
        <v>2412</v>
      </c>
      <c r="E685" s="2" t="s">
        <v>2413</v>
      </c>
      <c r="F685" s="2" t="s">
        <v>26</v>
      </c>
      <c r="G685" s="2" t="s">
        <v>26</v>
      </c>
      <c r="H685" s="2" t="s">
        <v>27</v>
      </c>
      <c r="I685" s="2" t="s">
        <v>28</v>
      </c>
      <c r="J685" s="6"/>
      <c r="K685" s="2" t="s">
        <v>55</v>
      </c>
      <c r="L685" s="2" t="s">
        <v>56</v>
      </c>
      <c r="M685" s="2" t="s">
        <v>55</v>
      </c>
      <c r="N685" s="2"/>
      <c r="O685" s="2"/>
      <c r="P685" s="6" t="s">
        <v>57</v>
      </c>
      <c r="Q685" s="6" t="s">
        <v>57</v>
      </c>
      <c r="R685" s="9">
        <v>0</v>
      </c>
      <c r="S685" s="2"/>
      <c r="T685" s="9">
        <v>0</v>
      </c>
      <c r="U685" s="9">
        <v>0</v>
      </c>
      <c r="V685" s="9">
        <v>0</v>
      </c>
      <c r="W685" s="9">
        <v>195</v>
      </c>
      <c r="X685" s="9">
        <v>194</v>
      </c>
      <c r="Y685" s="9">
        <v>186</v>
      </c>
      <c r="Z685" s="9">
        <v>836</v>
      </c>
      <c r="AA685" s="9">
        <v>965</v>
      </c>
      <c r="AB685" s="9">
        <v>0</v>
      </c>
      <c r="AC685" s="9">
        <v>0</v>
      </c>
      <c r="AD685" s="9">
        <v>63</v>
      </c>
      <c r="AE685" s="6" t="s">
        <v>57</v>
      </c>
      <c r="AF685" s="6" t="s">
        <v>57</v>
      </c>
      <c r="AG685" s="6" t="s">
        <v>57</v>
      </c>
      <c r="AH685" s="6" t="s">
        <v>57</v>
      </c>
      <c r="AI685" s="6" t="s">
        <v>57</v>
      </c>
      <c r="AJ685" s="6" t="s">
        <v>57</v>
      </c>
      <c r="AK685" s="6" t="s">
        <v>57</v>
      </c>
      <c r="AL685" s="6" t="s">
        <v>57</v>
      </c>
      <c r="AM685" s="6" t="s">
        <v>57</v>
      </c>
      <c r="AN685" s="6" t="s">
        <v>57</v>
      </c>
      <c r="AO685" s="6" t="s">
        <v>57</v>
      </c>
      <c r="AP685" s="6" t="s">
        <v>57</v>
      </c>
      <c r="AQ685" s="9">
        <v>0</v>
      </c>
    </row>
    <row r="686" spans="1:43" ht="15">
      <c r="A686" s="2" t="s">
        <v>2414</v>
      </c>
      <c r="B686" s="5">
        <v>117232210</v>
      </c>
      <c r="C686" s="2" t="s">
        <v>23</v>
      </c>
      <c r="D686" s="2" t="s">
        <v>2415</v>
      </c>
      <c r="E686" s="2" t="s">
        <v>2416</v>
      </c>
      <c r="F686" s="2" t="s">
        <v>26</v>
      </c>
      <c r="G686" s="2" t="s">
        <v>26</v>
      </c>
      <c r="H686" s="2" t="s">
        <v>27</v>
      </c>
      <c r="I686" s="2" t="s">
        <v>28</v>
      </c>
      <c r="J686" s="6"/>
      <c r="K686" s="2" t="s">
        <v>55</v>
      </c>
      <c r="L686" s="2" t="s">
        <v>56</v>
      </c>
      <c r="M686" s="2" t="s">
        <v>55</v>
      </c>
      <c r="N686" s="2"/>
      <c r="O686" s="2"/>
      <c r="P686" s="6" t="s">
        <v>57</v>
      </c>
      <c r="Q686" s="6" t="s">
        <v>57</v>
      </c>
      <c r="R686" s="9">
        <v>0</v>
      </c>
      <c r="S686" s="2"/>
      <c r="T686" s="9">
        <v>0</v>
      </c>
      <c r="U686" s="9">
        <v>0</v>
      </c>
      <c r="V686" s="9">
        <v>0</v>
      </c>
      <c r="W686" s="9">
        <v>1585</v>
      </c>
      <c r="X686" s="9">
        <v>1579</v>
      </c>
      <c r="Y686" s="9">
        <v>9988</v>
      </c>
      <c r="Z686" s="9">
        <v>9959</v>
      </c>
      <c r="AA686" s="9">
        <v>9959</v>
      </c>
      <c r="AB686" s="9">
        <v>0</v>
      </c>
      <c r="AC686" s="9">
        <v>0</v>
      </c>
      <c r="AD686" s="9">
        <v>34</v>
      </c>
      <c r="AE686" s="6" t="s">
        <v>57</v>
      </c>
      <c r="AF686" s="6" t="s">
        <v>57</v>
      </c>
      <c r="AG686" s="6" t="s">
        <v>57</v>
      </c>
      <c r="AH686" s="6" t="s">
        <v>57</v>
      </c>
      <c r="AI686" s="6" t="s">
        <v>57</v>
      </c>
      <c r="AJ686" s="6" t="s">
        <v>57</v>
      </c>
      <c r="AK686" s="6" t="s">
        <v>57</v>
      </c>
      <c r="AL686" s="6" t="s">
        <v>57</v>
      </c>
      <c r="AM686" s="6" t="s">
        <v>57</v>
      </c>
      <c r="AN686" s="6" t="s">
        <v>57</v>
      </c>
      <c r="AO686" s="6" t="s">
        <v>57</v>
      </c>
      <c r="AP686" s="6" t="s">
        <v>57</v>
      </c>
      <c r="AQ686" s="9">
        <v>0</v>
      </c>
    </row>
    <row r="687" spans="1:43" ht="15">
      <c r="A687" s="2" t="s">
        <v>2417</v>
      </c>
      <c r="B687" s="5">
        <v>20146052</v>
      </c>
      <c r="C687" s="2" t="s">
        <v>23</v>
      </c>
      <c r="D687" s="2" t="s">
        <v>2418</v>
      </c>
      <c r="E687" s="2" t="s">
        <v>2419</v>
      </c>
      <c r="F687" s="2" t="s">
        <v>26</v>
      </c>
      <c r="G687" s="2" t="s">
        <v>26</v>
      </c>
      <c r="H687" s="2" t="s">
        <v>27</v>
      </c>
      <c r="I687" s="2" t="s">
        <v>28</v>
      </c>
      <c r="J687" s="6"/>
      <c r="K687" s="2" t="s">
        <v>55</v>
      </c>
      <c r="L687" s="2" t="s">
        <v>56</v>
      </c>
      <c r="M687" s="2" t="s">
        <v>55</v>
      </c>
      <c r="N687" s="2"/>
      <c r="O687" s="2"/>
      <c r="P687" s="6" t="s">
        <v>57</v>
      </c>
      <c r="Q687" s="6" t="s">
        <v>57</v>
      </c>
      <c r="R687" s="9">
        <v>0</v>
      </c>
      <c r="S687" s="2"/>
      <c r="T687" s="9">
        <v>0</v>
      </c>
      <c r="U687" s="9">
        <v>0</v>
      </c>
      <c r="V687" s="9">
        <v>320697</v>
      </c>
      <c r="W687" s="9">
        <v>187982</v>
      </c>
      <c r="X687" s="9">
        <v>187230</v>
      </c>
      <c r="Y687" s="9">
        <v>96282</v>
      </c>
      <c r="Z687" s="9">
        <v>93169</v>
      </c>
      <c r="AA687" s="9">
        <v>96145</v>
      </c>
      <c r="AB687" s="9">
        <v>0</v>
      </c>
      <c r="AC687" s="9">
        <v>336469</v>
      </c>
      <c r="AD687" s="9">
        <v>332191</v>
      </c>
      <c r="AE687" s="6" t="s">
        <v>57</v>
      </c>
      <c r="AF687" s="6" t="s">
        <v>57</v>
      </c>
      <c r="AG687" s="6" t="s">
        <v>57</v>
      </c>
      <c r="AH687" s="6" t="s">
        <v>57</v>
      </c>
      <c r="AI687" s="6" t="s">
        <v>57</v>
      </c>
      <c r="AJ687" s="6" t="s">
        <v>57</v>
      </c>
      <c r="AK687" s="6" t="s">
        <v>57</v>
      </c>
      <c r="AL687" s="6" t="s">
        <v>57</v>
      </c>
      <c r="AM687" s="6" t="s">
        <v>57</v>
      </c>
      <c r="AN687" s="6" t="s">
        <v>57</v>
      </c>
      <c r="AO687" s="6" t="s">
        <v>57</v>
      </c>
      <c r="AP687" s="6" t="s">
        <v>57</v>
      </c>
      <c r="AQ687" s="9">
        <v>0</v>
      </c>
    </row>
    <row r="688" spans="1:43" ht="15">
      <c r="A688" s="2" t="s">
        <v>2420</v>
      </c>
      <c r="B688" s="5">
        <v>133709811</v>
      </c>
      <c r="C688" s="2" t="s">
        <v>23</v>
      </c>
      <c r="D688" s="2" t="s">
        <v>2421</v>
      </c>
      <c r="E688" s="2" t="s">
        <v>2422</v>
      </c>
      <c r="F688" s="2" t="s">
        <v>26</v>
      </c>
      <c r="G688" s="2" t="s">
        <v>26</v>
      </c>
      <c r="H688" s="2" t="s">
        <v>27</v>
      </c>
      <c r="I688" s="2" t="s">
        <v>28</v>
      </c>
      <c r="J688" s="6"/>
      <c r="K688" s="2" t="s">
        <v>55</v>
      </c>
      <c r="L688" s="2" t="s">
        <v>56</v>
      </c>
      <c r="M688" s="2" t="s">
        <v>55</v>
      </c>
      <c r="N688" s="2"/>
      <c r="O688" s="2"/>
      <c r="P688" s="6" t="s">
        <v>57</v>
      </c>
      <c r="Q688" s="6" t="s">
        <v>57</v>
      </c>
      <c r="R688" s="9">
        <v>0</v>
      </c>
      <c r="S688" s="2"/>
      <c r="T688" s="9">
        <v>0</v>
      </c>
      <c r="U688" s="9">
        <v>0</v>
      </c>
      <c r="V688" s="9">
        <v>0</v>
      </c>
      <c r="W688" s="9">
        <v>0</v>
      </c>
      <c r="X688" s="9">
        <v>0</v>
      </c>
      <c r="Y688" s="9">
        <v>0</v>
      </c>
      <c r="Z688" s="9">
        <v>0</v>
      </c>
      <c r="AA688" s="9">
        <v>0</v>
      </c>
      <c r="AB688" s="9">
        <v>0</v>
      </c>
      <c r="AC688" s="9">
        <v>0</v>
      </c>
      <c r="AD688" s="9">
        <v>0</v>
      </c>
      <c r="AE688" s="6" t="s">
        <v>57</v>
      </c>
      <c r="AF688" s="6" t="s">
        <v>57</v>
      </c>
      <c r="AG688" s="6" t="s">
        <v>57</v>
      </c>
      <c r="AH688" s="6" t="s">
        <v>57</v>
      </c>
      <c r="AI688" s="6" t="s">
        <v>57</v>
      </c>
      <c r="AJ688" s="6" t="s">
        <v>57</v>
      </c>
      <c r="AK688" s="6" t="s">
        <v>57</v>
      </c>
      <c r="AL688" s="6" t="s">
        <v>57</v>
      </c>
      <c r="AM688" s="6" t="s">
        <v>57</v>
      </c>
      <c r="AN688" s="6" t="s">
        <v>57</v>
      </c>
      <c r="AO688" s="6" t="s">
        <v>57</v>
      </c>
      <c r="AP688" s="6" t="s">
        <v>57</v>
      </c>
      <c r="AQ688" s="9">
        <v>0</v>
      </c>
    </row>
    <row r="689" spans="1:43" ht="15">
      <c r="A689" s="2" t="s">
        <v>2423</v>
      </c>
      <c r="B689" s="5">
        <v>20312639</v>
      </c>
      <c r="C689" s="2" t="s">
        <v>23</v>
      </c>
      <c r="D689" s="2" t="s">
        <v>2424</v>
      </c>
      <c r="E689" s="2" t="s">
        <v>2425</v>
      </c>
      <c r="F689" s="2" t="s">
        <v>26</v>
      </c>
      <c r="G689" s="2" t="s">
        <v>26</v>
      </c>
      <c r="H689" s="2" t="s">
        <v>27</v>
      </c>
      <c r="I689" s="2" t="s">
        <v>28</v>
      </c>
      <c r="J689" s="6"/>
      <c r="K689" s="2" t="s">
        <v>55</v>
      </c>
      <c r="L689" s="2" t="s">
        <v>56</v>
      </c>
      <c r="M689" s="2" t="s">
        <v>55</v>
      </c>
      <c r="N689" s="2"/>
      <c r="O689" s="2"/>
      <c r="P689" s="6" t="s">
        <v>57</v>
      </c>
      <c r="Q689" s="6" t="s">
        <v>57</v>
      </c>
      <c r="R689" s="9">
        <v>0</v>
      </c>
      <c r="S689" s="2"/>
      <c r="T689" s="9">
        <v>0</v>
      </c>
      <c r="U689" s="9">
        <v>0</v>
      </c>
      <c r="V689" s="9">
        <v>0</v>
      </c>
      <c r="W689" s="9">
        <v>0</v>
      </c>
      <c r="X689" s="9">
        <v>0</v>
      </c>
      <c r="Y689" s="9">
        <v>0</v>
      </c>
      <c r="Z689" s="9">
        <v>856</v>
      </c>
      <c r="AA689" s="9">
        <v>856</v>
      </c>
      <c r="AB689" s="9">
        <v>0</v>
      </c>
      <c r="AC689" s="9">
        <v>0</v>
      </c>
      <c r="AD689" s="9">
        <v>0</v>
      </c>
      <c r="AE689" s="6" t="s">
        <v>57</v>
      </c>
      <c r="AF689" s="6" t="s">
        <v>57</v>
      </c>
      <c r="AG689" s="6" t="s">
        <v>57</v>
      </c>
      <c r="AH689" s="6" t="s">
        <v>57</v>
      </c>
      <c r="AI689" s="6" t="s">
        <v>57</v>
      </c>
      <c r="AJ689" s="6" t="s">
        <v>57</v>
      </c>
      <c r="AK689" s="6" t="s">
        <v>57</v>
      </c>
      <c r="AL689" s="6" t="s">
        <v>57</v>
      </c>
      <c r="AM689" s="6" t="s">
        <v>57</v>
      </c>
      <c r="AN689" s="6" t="s">
        <v>57</v>
      </c>
      <c r="AO689" s="6" t="s">
        <v>57</v>
      </c>
      <c r="AP689" s="6" t="s">
        <v>57</v>
      </c>
      <c r="AQ689" s="9">
        <v>0</v>
      </c>
    </row>
    <row r="690" spans="1:43" ht="15">
      <c r="A690" s="2" t="s">
        <v>2426</v>
      </c>
      <c r="B690" s="5">
        <v>6834846</v>
      </c>
      <c r="C690" s="2" t="s">
        <v>23</v>
      </c>
      <c r="D690" s="2" t="s">
        <v>2427</v>
      </c>
      <c r="E690" s="2" t="s">
        <v>2428</v>
      </c>
      <c r="F690" s="2" t="s">
        <v>26</v>
      </c>
      <c r="G690" s="2" t="s">
        <v>26</v>
      </c>
      <c r="H690" s="2" t="s">
        <v>27</v>
      </c>
      <c r="I690" s="2" t="s">
        <v>28</v>
      </c>
      <c r="J690" s="6"/>
      <c r="K690" s="2" t="s">
        <v>55</v>
      </c>
      <c r="L690" s="2" t="s">
        <v>56</v>
      </c>
      <c r="M690" s="2" t="s">
        <v>55</v>
      </c>
      <c r="N690" s="2"/>
      <c r="O690" s="2"/>
      <c r="P690" s="6" t="s">
        <v>57</v>
      </c>
      <c r="Q690" s="6" t="s">
        <v>57</v>
      </c>
      <c r="R690" s="9">
        <v>0</v>
      </c>
      <c r="S690" s="2"/>
      <c r="T690" s="9">
        <v>0</v>
      </c>
      <c r="U690" s="9">
        <v>0</v>
      </c>
      <c r="V690" s="9">
        <v>0</v>
      </c>
      <c r="W690" s="9">
        <v>0</v>
      </c>
      <c r="X690" s="9">
        <v>0</v>
      </c>
      <c r="Y690" s="9">
        <v>6</v>
      </c>
      <c r="Z690" s="9">
        <v>5</v>
      </c>
      <c r="AA690" s="9">
        <v>3</v>
      </c>
      <c r="AB690" s="9">
        <v>0</v>
      </c>
      <c r="AC690" s="9">
        <v>0</v>
      </c>
      <c r="AD690" s="9">
        <v>0</v>
      </c>
      <c r="AE690" s="6" t="s">
        <v>57</v>
      </c>
      <c r="AF690" s="6" t="s">
        <v>57</v>
      </c>
      <c r="AG690" s="6" t="s">
        <v>57</v>
      </c>
      <c r="AH690" s="6" t="s">
        <v>57</v>
      </c>
      <c r="AI690" s="6" t="s">
        <v>57</v>
      </c>
      <c r="AJ690" s="6" t="s">
        <v>57</v>
      </c>
      <c r="AK690" s="6" t="s">
        <v>57</v>
      </c>
      <c r="AL690" s="6" t="s">
        <v>57</v>
      </c>
      <c r="AM690" s="6" t="s">
        <v>57</v>
      </c>
      <c r="AN690" s="6" t="s">
        <v>57</v>
      </c>
      <c r="AO690" s="6" t="s">
        <v>57</v>
      </c>
      <c r="AP690" s="6" t="s">
        <v>57</v>
      </c>
      <c r="AQ690" s="9">
        <v>0</v>
      </c>
    </row>
    <row r="691" spans="1:43" ht="15">
      <c r="A691" s="2" t="s">
        <v>2429</v>
      </c>
      <c r="B691" s="5">
        <v>113068451</v>
      </c>
      <c r="C691" s="2" t="s">
        <v>23</v>
      </c>
      <c r="D691" s="2" t="s">
        <v>2430</v>
      </c>
      <c r="E691" s="2" t="s">
        <v>2431</v>
      </c>
      <c r="F691" s="2" t="s">
        <v>26</v>
      </c>
      <c r="G691" s="2" t="s">
        <v>26</v>
      </c>
      <c r="H691" s="2" t="s">
        <v>27</v>
      </c>
      <c r="I691" s="2" t="s">
        <v>28</v>
      </c>
      <c r="J691" s="6"/>
      <c r="K691" s="2" t="s">
        <v>55</v>
      </c>
      <c r="L691" s="2" t="s">
        <v>56</v>
      </c>
      <c r="M691" s="2" t="s">
        <v>55</v>
      </c>
      <c r="N691" s="2"/>
      <c r="O691" s="2"/>
      <c r="P691" s="6" t="s">
        <v>57</v>
      </c>
      <c r="Q691" s="6" t="s">
        <v>57</v>
      </c>
      <c r="R691" s="6" t="s">
        <v>57</v>
      </c>
      <c r="S691" s="2"/>
      <c r="T691" s="6" t="s">
        <v>57</v>
      </c>
      <c r="U691" s="6" t="s">
        <v>57</v>
      </c>
      <c r="V691" s="6" t="s">
        <v>57</v>
      </c>
      <c r="W691" s="6" t="s">
        <v>57</v>
      </c>
      <c r="X691" s="6" t="s">
        <v>57</v>
      </c>
      <c r="Y691" s="6" t="s">
        <v>57</v>
      </c>
      <c r="Z691" s="6" t="s">
        <v>57</v>
      </c>
      <c r="AA691" s="6" t="s">
        <v>57</v>
      </c>
      <c r="AB691" s="6" t="s">
        <v>57</v>
      </c>
      <c r="AC691" s="6" t="s">
        <v>57</v>
      </c>
      <c r="AD691" s="6" t="s">
        <v>57</v>
      </c>
      <c r="AE691" s="6" t="s">
        <v>57</v>
      </c>
      <c r="AF691" s="6" t="s">
        <v>57</v>
      </c>
      <c r="AG691" s="6" t="s">
        <v>57</v>
      </c>
      <c r="AH691" s="6" t="s">
        <v>57</v>
      </c>
      <c r="AI691" s="6" t="s">
        <v>57</v>
      </c>
      <c r="AJ691" s="6" t="s">
        <v>57</v>
      </c>
      <c r="AK691" s="6" t="s">
        <v>57</v>
      </c>
      <c r="AL691" s="6" t="s">
        <v>57</v>
      </c>
      <c r="AM691" s="6" t="s">
        <v>57</v>
      </c>
      <c r="AN691" s="6" t="s">
        <v>57</v>
      </c>
      <c r="AO691" s="6" t="s">
        <v>57</v>
      </c>
      <c r="AP691" s="6" t="s">
        <v>57</v>
      </c>
      <c r="AQ691" s="6" t="s">
        <v>57</v>
      </c>
    </row>
    <row r="692" spans="1:43" ht="15">
      <c r="A692" s="2" t="s">
        <v>2432</v>
      </c>
      <c r="B692" s="5">
        <v>113068190</v>
      </c>
      <c r="C692" s="2" t="s">
        <v>23</v>
      </c>
      <c r="D692" s="2" t="s">
        <v>2433</v>
      </c>
      <c r="E692" s="2" t="s">
        <v>2434</v>
      </c>
      <c r="F692" s="2" t="s">
        <v>26</v>
      </c>
      <c r="G692" s="2"/>
      <c r="H692" s="2"/>
      <c r="I692" s="2" t="s">
        <v>28</v>
      </c>
      <c r="J692" s="6"/>
      <c r="K692" s="2" t="s">
        <v>55</v>
      </c>
      <c r="L692" s="2" t="s">
        <v>56</v>
      </c>
      <c r="M692" s="2" t="s">
        <v>55</v>
      </c>
      <c r="N692" s="2"/>
      <c r="O692" s="2"/>
      <c r="P692" s="6" t="s">
        <v>57</v>
      </c>
      <c r="Q692" s="6" t="s">
        <v>57</v>
      </c>
      <c r="R692" s="6" t="s">
        <v>57</v>
      </c>
      <c r="S692" s="2"/>
      <c r="T692" s="6" t="s">
        <v>57</v>
      </c>
      <c r="U692" s="6" t="s">
        <v>57</v>
      </c>
      <c r="V692" s="6" t="s">
        <v>57</v>
      </c>
      <c r="W692" s="6" t="s">
        <v>57</v>
      </c>
      <c r="X692" s="6" t="s">
        <v>57</v>
      </c>
      <c r="Y692" s="6" t="s">
        <v>57</v>
      </c>
      <c r="Z692" s="6" t="s">
        <v>57</v>
      </c>
      <c r="AA692" s="6" t="s">
        <v>57</v>
      </c>
      <c r="AB692" s="6" t="s">
        <v>57</v>
      </c>
      <c r="AC692" s="6" t="s">
        <v>57</v>
      </c>
      <c r="AD692" s="6" t="s">
        <v>57</v>
      </c>
      <c r="AE692" s="6" t="s">
        <v>57</v>
      </c>
      <c r="AF692" s="6" t="s">
        <v>57</v>
      </c>
      <c r="AG692" s="6" t="s">
        <v>57</v>
      </c>
      <c r="AH692" s="6" t="s">
        <v>57</v>
      </c>
      <c r="AI692" s="6" t="s">
        <v>57</v>
      </c>
      <c r="AJ692" s="6" t="s">
        <v>57</v>
      </c>
      <c r="AK692" s="6" t="s">
        <v>57</v>
      </c>
      <c r="AL692" s="6" t="s">
        <v>57</v>
      </c>
      <c r="AM692" s="6" t="s">
        <v>57</v>
      </c>
      <c r="AN692" s="6" t="s">
        <v>57</v>
      </c>
      <c r="AO692" s="6" t="s">
        <v>57</v>
      </c>
      <c r="AP692" s="6" t="s">
        <v>57</v>
      </c>
      <c r="AQ692" s="6" t="s">
        <v>57</v>
      </c>
    </row>
    <row r="693" spans="1:43" ht="15">
      <c r="A693" s="2" t="s">
        <v>2435</v>
      </c>
      <c r="B693" s="5">
        <v>4914244</v>
      </c>
      <c r="C693" s="2" t="s">
        <v>46</v>
      </c>
      <c r="D693" s="2" t="s">
        <v>2436</v>
      </c>
      <c r="E693" s="2" t="s">
        <v>2437</v>
      </c>
      <c r="F693" s="2" t="s">
        <v>49</v>
      </c>
      <c r="G693" s="2" t="s">
        <v>49</v>
      </c>
      <c r="H693" s="2" t="s">
        <v>50</v>
      </c>
      <c r="I693" s="2" t="s">
        <v>40</v>
      </c>
      <c r="J693" s="6"/>
      <c r="K693" s="2" t="s">
        <v>1153</v>
      </c>
      <c r="L693" s="2" t="s">
        <v>30</v>
      </c>
      <c r="M693" s="2" t="s">
        <v>189</v>
      </c>
      <c r="N693" s="2" t="s">
        <v>1154</v>
      </c>
      <c r="O693" s="2" t="s">
        <v>1153</v>
      </c>
      <c r="P693" s="7">
        <v>0.74170671624669104</v>
      </c>
      <c r="Q693" s="6" t="s">
        <v>57</v>
      </c>
      <c r="R693" s="9">
        <v>0</v>
      </c>
      <c r="S693" s="2" t="s">
        <v>2438</v>
      </c>
      <c r="T693" s="9">
        <v>0</v>
      </c>
      <c r="U693" s="9">
        <v>42</v>
      </c>
      <c r="V693" s="9">
        <v>16</v>
      </c>
      <c r="W693" s="9">
        <v>4</v>
      </c>
      <c r="X693" s="9">
        <v>4</v>
      </c>
      <c r="Y693" s="9">
        <v>6</v>
      </c>
      <c r="Z693" s="9">
        <v>4</v>
      </c>
      <c r="AA693" s="9">
        <v>18</v>
      </c>
      <c r="AB693" s="9">
        <v>48</v>
      </c>
      <c r="AC693" s="9">
        <v>16</v>
      </c>
      <c r="AD693" s="9">
        <v>8</v>
      </c>
      <c r="AE693" s="6" t="s">
        <v>57</v>
      </c>
      <c r="AF693" s="6" t="s">
        <v>57</v>
      </c>
      <c r="AG693" s="6" t="s">
        <v>57</v>
      </c>
      <c r="AH693" s="6" t="s">
        <v>57</v>
      </c>
      <c r="AI693" s="6" t="s">
        <v>57</v>
      </c>
      <c r="AJ693" s="6" t="s">
        <v>57</v>
      </c>
      <c r="AK693" s="6" t="s">
        <v>57</v>
      </c>
      <c r="AL693" s="6" t="s">
        <v>57</v>
      </c>
      <c r="AM693" s="6" t="s">
        <v>57</v>
      </c>
      <c r="AN693" s="6" t="s">
        <v>57</v>
      </c>
      <c r="AO693" s="6" t="s">
        <v>57</v>
      </c>
      <c r="AP693" s="6" t="s">
        <v>57</v>
      </c>
      <c r="AQ693" s="9">
        <v>0</v>
      </c>
    </row>
    <row r="694" spans="1:43" ht="15">
      <c r="A694" s="2" t="s">
        <v>2439</v>
      </c>
      <c r="B694" s="5">
        <v>4990983</v>
      </c>
      <c r="C694" s="2" t="s">
        <v>46</v>
      </c>
      <c r="D694" s="2" t="s">
        <v>2440</v>
      </c>
      <c r="E694" s="2" t="s">
        <v>2441</v>
      </c>
      <c r="F694" s="2" t="s">
        <v>49</v>
      </c>
      <c r="G694" s="2" t="s">
        <v>49</v>
      </c>
      <c r="H694" s="2" t="s">
        <v>50</v>
      </c>
      <c r="I694" s="2" t="s">
        <v>40</v>
      </c>
      <c r="J694" s="6"/>
      <c r="K694" s="2" t="s">
        <v>1678</v>
      </c>
      <c r="L694" s="2" t="s">
        <v>182</v>
      </c>
      <c r="M694" s="2" t="s">
        <v>183</v>
      </c>
      <c r="N694" s="2" t="s">
        <v>1678</v>
      </c>
      <c r="O694" s="2"/>
      <c r="P694" s="7">
        <v>279.45127875474299</v>
      </c>
      <c r="Q694" s="8">
        <v>241.54940443176</v>
      </c>
      <c r="R694" s="9">
        <v>0</v>
      </c>
      <c r="S694" s="2" t="s">
        <v>2442</v>
      </c>
      <c r="T694" s="9">
        <v>0</v>
      </c>
      <c r="U694" s="9">
        <v>0</v>
      </c>
      <c r="V694" s="9">
        <v>26</v>
      </c>
      <c r="W694" s="9">
        <v>95</v>
      </c>
      <c r="X694" s="9">
        <v>97</v>
      </c>
      <c r="Y694" s="9">
        <v>248</v>
      </c>
      <c r="Z694" s="9">
        <v>219</v>
      </c>
      <c r="AA694" s="9">
        <v>150</v>
      </c>
      <c r="AB694" s="9">
        <v>0</v>
      </c>
      <c r="AC694" s="9">
        <v>11</v>
      </c>
      <c r="AD694" s="9">
        <v>46</v>
      </c>
      <c r="AE694" s="7">
        <v>0</v>
      </c>
      <c r="AF694" s="7">
        <v>0</v>
      </c>
      <c r="AG694" s="7">
        <v>0</v>
      </c>
      <c r="AH694" s="7">
        <v>0.0027101018579829398</v>
      </c>
      <c r="AI694" s="7">
        <v>0.0097845940568937403</v>
      </c>
      <c r="AJ694" s="7">
        <v>0.0099097626257564301</v>
      </c>
      <c r="AK694" s="7">
        <v>0.025518819511695399</v>
      </c>
      <c r="AL694" s="7">
        <v>0.022514843763264399</v>
      </c>
      <c r="AM694" s="7">
        <v>0.015399018812468</v>
      </c>
      <c r="AN694" s="7">
        <v>0</v>
      </c>
      <c r="AO694" s="7">
        <v>0.00115991275786056</v>
      </c>
      <c r="AP694" s="7">
        <v>0.0046832448310757599</v>
      </c>
      <c r="AQ694" s="9">
        <v>0</v>
      </c>
    </row>
    <row r="695" spans="1:43" ht="15">
      <c r="A695" s="2" t="s">
        <v>2443</v>
      </c>
      <c r="B695" s="5">
        <v>6675450</v>
      </c>
      <c r="C695" s="2" t="s">
        <v>46</v>
      </c>
      <c r="D695" s="2" t="s">
        <v>2444</v>
      </c>
      <c r="E695" s="2" t="s">
        <v>2445</v>
      </c>
      <c r="F695" s="2" t="s">
        <v>49</v>
      </c>
      <c r="G695" s="2" t="s">
        <v>49</v>
      </c>
      <c r="H695" s="2" t="s">
        <v>50</v>
      </c>
      <c r="I695" s="2" t="s">
        <v>28</v>
      </c>
      <c r="J695" s="6"/>
      <c r="K695" s="2" t="s">
        <v>1139</v>
      </c>
      <c r="L695" s="2" t="s">
        <v>42</v>
      </c>
      <c r="M695" s="2" t="s">
        <v>43</v>
      </c>
      <c r="N695" s="2" t="s">
        <v>1139</v>
      </c>
      <c r="O695" s="2"/>
      <c r="P695" s="7">
        <v>3.70150314655739</v>
      </c>
      <c r="Q695" s="8">
        <v>18.112959453343802</v>
      </c>
      <c r="R695" s="9">
        <v>0</v>
      </c>
      <c r="S695" s="2" t="s">
        <v>2446</v>
      </c>
      <c r="T695" s="9">
        <v>0</v>
      </c>
      <c r="U695" s="9">
        <v>0</v>
      </c>
      <c r="V695" s="9">
        <v>0</v>
      </c>
      <c r="W695" s="9">
        <v>1</v>
      </c>
      <c r="X695" s="9">
        <v>1</v>
      </c>
      <c r="Y695" s="9">
        <v>40</v>
      </c>
      <c r="Z695" s="9">
        <v>76</v>
      </c>
      <c r="AA695" s="9">
        <v>107</v>
      </c>
      <c r="AB695" s="9">
        <v>0</v>
      </c>
      <c r="AC695" s="9">
        <v>0</v>
      </c>
      <c r="AD695" s="9">
        <v>0</v>
      </c>
      <c r="AE695" s="7">
        <v>0</v>
      </c>
      <c r="AF695" s="7">
        <v>0</v>
      </c>
      <c r="AG695" s="7">
        <v>0</v>
      </c>
      <c r="AH695" s="7">
        <v>0</v>
      </c>
      <c r="AI695" s="7">
        <v>2.2535425149738701E-05</v>
      </c>
      <c r="AJ695" s="7">
        <v>2.24452834491398E-05</v>
      </c>
      <c r="AK695" s="7">
        <v>0.0015067727189186999</v>
      </c>
      <c r="AL695" s="7">
        <v>0.0028596288682357402</v>
      </c>
      <c r="AM695" s="7">
        <v>0.0040183989357134098</v>
      </c>
      <c r="AN695" s="7">
        <v>0</v>
      </c>
      <c r="AO695" s="7">
        <v>0</v>
      </c>
      <c r="AP695" s="7">
        <v>0</v>
      </c>
      <c r="AQ695" s="9">
        <v>0</v>
      </c>
    </row>
    <row r="696" spans="1:43" ht="15">
      <c r="A696" s="2" t="s">
        <v>2447</v>
      </c>
      <c r="B696" s="5">
        <v>4986842</v>
      </c>
      <c r="C696" s="2" t="s">
        <v>35</v>
      </c>
      <c r="D696" s="2" t="s">
        <v>2448</v>
      </c>
      <c r="E696" s="2" t="s">
        <v>2449</v>
      </c>
      <c r="F696" s="2" t="s">
        <v>38</v>
      </c>
      <c r="G696" s="2" t="s">
        <v>38</v>
      </c>
      <c r="H696" s="2" t="s">
        <v>39</v>
      </c>
      <c r="I696" s="2" t="s">
        <v>28</v>
      </c>
      <c r="J696" s="6"/>
      <c r="K696" s="2" t="s">
        <v>2450</v>
      </c>
      <c r="L696" s="2" t="s">
        <v>30</v>
      </c>
      <c r="M696" s="2" t="s">
        <v>189</v>
      </c>
      <c r="N696" s="2" t="s">
        <v>1160</v>
      </c>
      <c r="O696" s="2" t="s">
        <v>2450</v>
      </c>
      <c r="P696" s="7">
        <v>2.5896097434779999</v>
      </c>
      <c r="Q696" s="8">
        <v>12.975679283157</v>
      </c>
      <c r="R696" s="9">
        <v>0</v>
      </c>
      <c r="S696" s="2" t="s">
        <v>2451</v>
      </c>
      <c r="T696" s="9">
        <v>0</v>
      </c>
      <c r="U696" s="9">
        <v>0</v>
      </c>
      <c r="V696" s="9">
        <v>0</v>
      </c>
      <c r="W696" s="9">
        <v>2824</v>
      </c>
      <c r="X696" s="9">
        <v>2812</v>
      </c>
      <c r="Y696" s="9">
        <v>1403</v>
      </c>
      <c r="Z696" s="9">
        <v>937</v>
      </c>
      <c r="AA696" s="9">
        <v>571</v>
      </c>
      <c r="AB696" s="9">
        <v>0</v>
      </c>
      <c r="AC696" s="9">
        <v>0</v>
      </c>
      <c r="AD696" s="9">
        <v>3682</v>
      </c>
      <c r="AE696" s="7">
        <v>0</v>
      </c>
      <c r="AF696" s="7">
        <v>0</v>
      </c>
      <c r="AG696" s="7">
        <v>0</v>
      </c>
      <c r="AH696" s="7">
        <v>0</v>
      </c>
      <c r="AI696" s="7">
        <v>0.019828324807386902</v>
      </c>
      <c r="AJ696" s="7">
        <v>0.019747061181127099</v>
      </c>
      <c r="AK696" s="7">
        <v>0.0098533393214621807</v>
      </c>
      <c r="AL696" s="7">
        <v>0.0065823537270423603</v>
      </c>
      <c r="AM696" s="7">
        <v>0.0040101619456268398</v>
      </c>
      <c r="AN696" s="7">
        <v>0</v>
      </c>
      <c r="AO696" s="7">
        <v>0</v>
      </c>
      <c r="AP696" s="7">
        <v>0.0258541023774106</v>
      </c>
      <c r="AQ696" s="9">
        <v>0</v>
      </c>
    </row>
    <row r="697" spans="1:43" ht="15">
      <c r="A697" s="2" t="s">
        <v>2452</v>
      </c>
      <c r="B697" s="5">
        <v>7098942</v>
      </c>
      <c r="C697" s="2" t="s">
        <v>46</v>
      </c>
      <c r="D697" s="2" t="s">
        <v>2453</v>
      </c>
      <c r="E697" s="2" t="s">
        <v>2454</v>
      </c>
      <c r="F697" s="2" t="s">
        <v>49</v>
      </c>
      <c r="G697" s="2" t="s">
        <v>49</v>
      </c>
      <c r="H697" s="2" t="s">
        <v>50</v>
      </c>
      <c r="I697" s="2" t="s">
        <v>40</v>
      </c>
      <c r="J697" s="6"/>
      <c r="K697" s="2" t="s">
        <v>1763</v>
      </c>
      <c r="L697" s="2" t="s">
        <v>56</v>
      </c>
      <c r="M697" s="2" t="s">
        <v>1764</v>
      </c>
      <c r="N697" s="2" t="s">
        <v>1763</v>
      </c>
      <c r="O697" s="2"/>
      <c r="P697" s="7">
        <v>147.73461663214201</v>
      </c>
      <c r="Q697" s="6" t="s">
        <v>57</v>
      </c>
      <c r="R697" s="9">
        <v>0</v>
      </c>
      <c r="S697" s="2" t="s">
        <v>2455</v>
      </c>
      <c r="T697" s="9">
        <v>0</v>
      </c>
      <c r="U697" s="9">
        <v>0</v>
      </c>
      <c r="V697" s="9">
        <v>0</v>
      </c>
      <c r="W697" s="9">
        <v>44753</v>
      </c>
      <c r="X697" s="9">
        <v>44574</v>
      </c>
      <c r="Y697" s="9">
        <v>22332</v>
      </c>
      <c r="Z697" s="9">
        <v>27298</v>
      </c>
      <c r="AA697" s="9">
        <v>27298</v>
      </c>
      <c r="AB697" s="9">
        <v>0</v>
      </c>
      <c r="AC697" s="9">
        <v>0</v>
      </c>
      <c r="AD697" s="9">
        <v>0</v>
      </c>
      <c r="AE697" s="7">
        <v>0</v>
      </c>
      <c r="AF697" s="7">
        <v>0</v>
      </c>
      <c r="AG697" s="7">
        <v>0</v>
      </c>
      <c r="AH697" s="7">
        <v>0</v>
      </c>
      <c r="AI697" s="7">
        <v>0.050200783053251298</v>
      </c>
      <c r="AJ697" s="7">
        <v>0.049999979921038301</v>
      </c>
      <c r="AK697" s="7">
        <v>0.025050090140800702</v>
      </c>
      <c r="AL697" s="7">
        <v>0.0306212305546553</v>
      </c>
      <c r="AM697" s="7">
        <v>0.0306212305546553</v>
      </c>
      <c r="AN697" s="7">
        <v>0</v>
      </c>
      <c r="AO697" s="7">
        <v>0</v>
      </c>
      <c r="AP697" s="7">
        <v>0</v>
      </c>
      <c r="AQ697" s="9">
        <v>0</v>
      </c>
    </row>
    <row r="698" spans="1:43" ht="15">
      <c r="A698" s="2" t="s">
        <v>2456</v>
      </c>
      <c r="B698" s="5">
        <v>4912758</v>
      </c>
      <c r="C698" s="2" t="s">
        <v>23</v>
      </c>
      <c r="D698" s="2" t="s">
        <v>2457</v>
      </c>
      <c r="E698" s="2" t="s">
        <v>2458</v>
      </c>
      <c r="F698" s="2" t="s">
        <v>26</v>
      </c>
      <c r="G698" s="2" t="s">
        <v>26</v>
      </c>
      <c r="H698" s="2" t="s">
        <v>27</v>
      </c>
      <c r="I698" s="2" t="s">
        <v>28</v>
      </c>
      <c r="J698" s="6"/>
      <c r="K698" s="2" t="s">
        <v>1159</v>
      </c>
      <c r="L698" s="2" t="s">
        <v>30</v>
      </c>
      <c r="M698" s="2" t="s">
        <v>189</v>
      </c>
      <c r="N698" s="2" t="s">
        <v>1160</v>
      </c>
      <c r="O698" s="2" t="s">
        <v>1159</v>
      </c>
      <c r="P698" s="7">
        <v>1.9501311622727</v>
      </c>
      <c r="Q698" s="6" t="s">
        <v>57</v>
      </c>
      <c r="R698" s="9">
        <v>0</v>
      </c>
      <c r="S698" s="2" t="s">
        <v>2459</v>
      </c>
      <c r="T698" s="9">
        <v>0</v>
      </c>
      <c r="U698" s="9">
        <v>0</v>
      </c>
      <c r="V698" s="9">
        <v>0</v>
      </c>
      <c r="W698" s="9">
        <v>9036</v>
      </c>
      <c r="X698" s="9">
        <v>9000</v>
      </c>
      <c r="Y698" s="9">
        <v>4527</v>
      </c>
      <c r="Z698" s="9">
        <v>3016</v>
      </c>
      <c r="AA698" s="9">
        <v>26505</v>
      </c>
      <c r="AB698" s="9">
        <v>0</v>
      </c>
      <c r="AC698" s="9">
        <v>0</v>
      </c>
      <c r="AD698" s="9">
        <v>0</v>
      </c>
      <c r="AE698" s="6" t="s">
        <v>57</v>
      </c>
      <c r="AF698" s="6" t="s">
        <v>57</v>
      </c>
      <c r="AG698" s="6" t="s">
        <v>57</v>
      </c>
      <c r="AH698" s="6" t="s">
        <v>57</v>
      </c>
      <c r="AI698" s="6" t="s">
        <v>57</v>
      </c>
      <c r="AJ698" s="6" t="s">
        <v>57</v>
      </c>
      <c r="AK698" s="6" t="s">
        <v>57</v>
      </c>
      <c r="AL698" s="6" t="s">
        <v>57</v>
      </c>
      <c r="AM698" s="6" t="s">
        <v>57</v>
      </c>
      <c r="AN698" s="6" t="s">
        <v>57</v>
      </c>
      <c r="AO698" s="6" t="s">
        <v>57</v>
      </c>
      <c r="AP698" s="6" t="s">
        <v>57</v>
      </c>
      <c r="AQ698" s="9">
        <v>0</v>
      </c>
    </row>
    <row r="699" spans="1:43" ht="15">
      <c r="A699" s="2" t="s">
        <v>2460</v>
      </c>
      <c r="B699" s="5">
        <v>4990221</v>
      </c>
      <c r="C699" s="2" t="s">
        <v>23</v>
      </c>
      <c r="D699" s="2" t="s">
        <v>2461</v>
      </c>
      <c r="E699" s="2" t="s">
        <v>2462</v>
      </c>
      <c r="F699" s="2" t="s">
        <v>26</v>
      </c>
      <c r="G699" s="2" t="s">
        <v>26</v>
      </c>
      <c r="H699" s="2" t="s">
        <v>27</v>
      </c>
      <c r="I699" s="2" t="s">
        <v>28</v>
      </c>
      <c r="J699" s="10">
        <v>40989</v>
      </c>
      <c r="K699" s="2" t="s">
        <v>181</v>
      </c>
      <c r="L699" s="2" t="s">
        <v>182</v>
      </c>
      <c r="M699" s="2" t="s">
        <v>183</v>
      </c>
      <c r="N699" s="2" t="s">
        <v>181</v>
      </c>
      <c r="O699" s="2"/>
      <c r="P699" s="7">
        <v>232.96296383999999</v>
      </c>
      <c r="Q699" s="8">
        <v>301.71375325379199</v>
      </c>
      <c r="R699" s="9">
        <v>682494</v>
      </c>
      <c r="S699" s="2" t="s">
        <v>2463</v>
      </c>
      <c r="T699" s="9">
        <v>281010</v>
      </c>
      <c r="U699" s="9">
        <v>1240625</v>
      </c>
      <c r="V699" s="9">
        <v>730954</v>
      </c>
      <c r="W699" s="9">
        <v>868468</v>
      </c>
      <c r="X699" s="9">
        <v>865172</v>
      </c>
      <c r="Y699" s="9">
        <v>701713</v>
      </c>
      <c r="Z699" s="9">
        <v>603773</v>
      </c>
      <c r="AA699" s="9">
        <v>504035</v>
      </c>
      <c r="AB699" s="9">
        <v>620908</v>
      </c>
      <c r="AC699" s="9">
        <v>651145</v>
      </c>
      <c r="AD699" s="9">
        <v>764658</v>
      </c>
      <c r="AE699" s="7">
        <v>0.31596944444444403</v>
      </c>
      <c r="AF699" s="7">
        <v>0.130097222222222</v>
      </c>
      <c r="AG699" s="7">
        <v>0.57436323302469106</v>
      </c>
      <c r="AH699" s="7">
        <v>0.33840454282407401</v>
      </c>
      <c r="AI699" s="7">
        <v>0.40206867469879498</v>
      </c>
      <c r="AJ699" s="7">
        <v>0.40054261481481501</v>
      </c>
      <c r="AK699" s="7">
        <v>0.32486716875325999</v>
      </c>
      <c r="AL699" s="7">
        <v>0.27952452896931801</v>
      </c>
      <c r="AM699" s="7">
        <v>0.23334967127770301</v>
      </c>
      <c r="AN699" s="7">
        <v>0.28745731922398599</v>
      </c>
      <c r="AO699" s="7">
        <v>0.301455942622951</v>
      </c>
      <c r="AP699" s="7">
        <v>0.35400829973118297</v>
      </c>
      <c r="AQ699" s="9">
        <v>430879</v>
      </c>
    </row>
    <row r="700" spans="1:43" ht="15">
      <c r="A700" s="2" t="s">
        <v>2464</v>
      </c>
      <c r="B700" s="5">
        <v>4988407</v>
      </c>
      <c r="C700" s="2" t="s">
        <v>23</v>
      </c>
      <c r="D700" s="2" t="s">
        <v>2465</v>
      </c>
      <c r="E700" s="2" t="s">
        <v>2466</v>
      </c>
      <c r="F700" s="2" t="s">
        <v>26</v>
      </c>
      <c r="G700" s="2" t="s">
        <v>26</v>
      </c>
      <c r="H700" s="2" t="s">
        <v>27</v>
      </c>
      <c r="I700" s="2" t="s">
        <v>28</v>
      </c>
      <c r="J700" s="6"/>
      <c r="K700" s="2" t="s">
        <v>2467</v>
      </c>
      <c r="L700" s="2" t="s">
        <v>182</v>
      </c>
      <c r="M700" s="2" t="s">
        <v>2355</v>
      </c>
      <c r="N700" s="2" t="s">
        <v>2467</v>
      </c>
      <c r="O700" s="2"/>
      <c r="P700" s="7">
        <v>5.9183779200000002</v>
      </c>
      <c r="Q700" s="8">
        <v>5.5017967392160001</v>
      </c>
      <c r="R700" s="9">
        <v>0</v>
      </c>
      <c r="S700" s="2" t="s">
        <v>2468</v>
      </c>
      <c r="T700" s="9">
        <v>0</v>
      </c>
      <c r="U700" s="9">
        <v>0</v>
      </c>
      <c r="V700" s="9">
        <v>0</v>
      </c>
      <c r="W700" s="9">
        <v>0</v>
      </c>
      <c r="X700" s="9">
        <v>0</v>
      </c>
      <c r="Y700" s="9">
        <v>0</v>
      </c>
      <c r="Z700" s="9">
        <v>0</v>
      </c>
      <c r="AA700" s="9">
        <v>0</v>
      </c>
      <c r="AB700" s="9">
        <v>0</v>
      </c>
      <c r="AC700" s="9">
        <v>0</v>
      </c>
      <c r="AD700" s="9">
        <v>0</v>
      </c>
      <c r="AE700" s="7">
        <v>0</v>
      </c>
      <c r="AF700" s="7">
        <v>0</v>
      </c>
      <c r="AG700" s="7">
        <v>0</v>
      </c>
      <c r="AH700" s="7">
        <v>0</v>
      </c>
      <c r="AI700" s="7">
        <v>0.0030892801977139301</v>
      </c>
      <c r="AJ700" s="7">
        <v>0.00307692307692308</v>
      </c>
      <c r="AK700" s="7">
        <v>0.0116081101996595</v>
      </c>
      <c r="AL700" s="7">
        <v>0.0123736852959373</v>
      </c>
      <c r="AM700" s="7">
        <v>0.0080321285140562207</v>
      </c>
      <c r="AN700" s="7">
        <v>0</v>
      </c>
      <c r="AO700" s="7">
        <v>0</v>
      </c>
      <c r="AP700" s="7">
        <v>0.0031017369727047101</v>
      </c>
      <c r="AQ700" s="9">
        <v>0</v>
      </c>
    </row>
    <row r="701" spans="1:43" ht="15">
      <c r="A701" s="2" t="s">
        <v>2469</v>
      </c>
      <c r="B701" s="5">
        <v>4864325</v>
      </c>
      <c r="C701" s="2" t="s">
        <v>46</v>
      </c>
      <c r="D701" s="2" t="s">
        <v>2470</v>
      </c>
      <c r="E701" s="2" t="s">
        <v>2471</v>
      </c>
      <c r="F701" s="2" t="s">
        <v>49</v>
      </c>
      <c r="G701" s="2" t="s">
        <v>49</v>
      </c>
      <c r="H701" s="2" t="s">
        <v>50</v>
      </c>
      <c r="I701" s="2" t="s">
        <v>40</v>
      </c>
      <c r="J701" s="6"/>
      <c r="K701" s="2" t="s">
        <v>2242</v>
      </c>
      <c r="L701" s="2" t="s">
        <v>99</v>
      </c>
      <c r="M701" s="2" t="s">
        <v>100</v>
      </c>
      <c r="N701" s="2" t="s">
        <v>2242</v>
      </c>
      <c r="O701" s="2"/>
      <c r="P701" s="7">
        <v>2.4854153500741698</v>
      </c>
      <c r="Q701" s="8">
        <v>0.3146521380035</v>
      </c>
      <c r="R701" s="9">
        <v>0</v>
      </c>
      <c r="S701" s="2" t="s">
        <v>2472</v>
      </c>
      <c r="T701" s="9">
        <v>0</v>
      </c>
      <c r="U701" s="9">
        <v>0</v>
      </c>
      <c r="V701" s="9">
        <v>16</v>
      </c>
      <c r="W701" s="9">
        <v>142</v>
      </c>
      <c r="X701" s="9">
        <v>141</v>
      </c>
      <c r="Y701" s="9">
        <v>135</v>
      </c>
      <c r="Z701" s="9">
        <v>86</v>
      </c>
      <c r="AA701" s="9">
        <v>52</v>
      </c>
      <c r="AB701" s="9">
        <v>0</v>
      </c>
      <c r="AC701" s="9">
        <v>0</v>
      </c>
      <c r="AD701" s="9">
        <v>8</v>
      </c>
      <c r="AE701" s="7">
        <v>0</v>
      </c>
      <c r="AF701" s="7">
        <v>0</v>
      </c>
      <c r="AG701" s="7">
        <v>0</v>
      </c>
      <c r="AH701" s="7">
        <v>0.00086579103101443601</v>
      </c>
      <c r="AI701" s="7">
        <v>0.0078480584201217306</v>
      </c>
      <c r="AJ701" s="7">
        <v>0.0078166661864412408</v>
      </c>
      <c r="AK701" s="7">
        <v>0.0074976482398466599</v>
      </c>
      <c r="AL701" s="7">
        <v>0.0047781255401334903</v>
      </c>
      <c r="AM701" s="7">
        <v>0.0028869214583502</v>
      </c>
      <c r="AN701" s="7">
        <v>0</v>
      </c>
      <c r="AO701" s="7">
        <v>0</v>
      </c>
      <c r="AP701" s="7">
        <v>0.00044685988697519303</v>
      </c>
      <c r="AQ701" s="9">
        <v>0</v>
      </c>
    </row>
    <row r="702" spans="1:43" ht="15">
      <c r="A702" s="2" t="s">
        <v>2473</v>
      </c>
      <c r="B702" s="5">
        <v>7071757</v>
      </c>
      <c r="C702" s="2" t="s">
        <v>23</v>
      </c>
      <c r="D702" s="2" t="s">
        <v>2474</v>
      </c>
      <c r="E702" s="2" t="s">
        <v>2475</v>
      </c>
      <c r="F702" s="2" t="s">
        <v>26</v>
      </c>
      <c r="G702" s="2" t="s">
        <v>26</v>
      </c>
      <c r="H702" s="2" t="s">
        <v>27</v>
      </c>
      <c r="I702" s="2" t="s">
        <v>28</v>
      </c>
      <c r="J702" s="10">
        <v>43490</v>
      </c>
      <c r="K702" s="2" t="s">
        <v>2476</v>
      </c>
      <c r="L702" s="2" t="s">
        <v>30</v>
      </c>
      <c r="M702" s="2" t="s">
        <v>189</v>
      </c>
      <c r="N702" s="2" t="s">
        <v>1160</v>
      </c>
      <c r="O702" s="2" t="s">
        <v>2476</v>
      </c>
      <c r="P702" s="7">
        <v>61.556956237120502</v>
      </c>
      <c r="Q702" s="8">
        <v>189.592395629008</v>
      </c>
      <c r="R702" s="9">
        <v>10755</v>
      </c>
      <c r="S702" s="2" t="s">
        <v>2477</v>
      </c>
      <c r="T702" s="9">
        <v>909455</v>
      </c>
      <c r="U702" s="9">
        <v>365880</v>
      </c>
      <c r="V702" s="9">
        <v>208847</v>
      </c>
      <c r="W702" s="9">
        <v>259853</v>
      </c>
      <c r="X702" s="9">
        <v>259472</v>
      </c>
      <c r="Y702" s="9">
        <v>235076</v>
      </c>
      <c r="Z702" s="9">
        <v>208162</v>
      </c>
      <c r="AA702" s="9">
        <v>242174</v>
      </c>
      <c r="AB702" s="9">
        <v>400978</v>
      </c>
      <c r="AC702" s="9">
        <v>216005</v>
      </c>
      <c r="AD702" s="9">
        <v>157954</v>
      </c>
      <c r="AE702" s="7">
        <v>0.0090904329045197099</v>
      </c>
      <c r="AF702" s="7">
        <v>0.76869717732290299</v>
      </c>
      <c r="AG702" s="7">
        <v>0.30925256892478398</v>
      </c>
      <c r="AH702" s="7">
        <v>0.17652364215531699</v>
      </c>
      <c r="AI702" s="7">
        <v>0.219635150394383</v>
      </c>
      <c r="AJ702" s="7">
        <v>0.21931348016145299</v>
      </c>
      <c r="AK702" s="7">
        <v>0.19869321202967599</v>
      </c>
      <c r="AL702" s="7">
        <v>0.17594438206372701</v>
      </c>
      <c r="AM702" s="7">
        <v>0.20469236868467</v>
      </c>
      <c r="AN702" s="7">
        <v>0.33891804790223201</v>
      </c>
      <c r="AO702" s="7">
        <v>0.182573548346844</v>
      </c>
      <c r="AP702" s="7">
        <v>0.13350748719463801</v>
      </c>
      <c r="AQ702" s="9">
        <v>7739</v>
      </c>
    </row>
    <row r="703" spans="1:43" ht="15">
      <c r="A703" s="2" t="s">
        <v>2478</v>
      </c>
      <c r="B703" s="5">
        <v>4863824</v>
      </c>
      <c r="C703" s="2" t="s">
        <v>23</v>
      </c>
      <c r="D703" s="2" t="s">
        <v>2479</v>
      </c>
      <c r="E703" s="2" t="s">
        <v>2480</v>
      </c>
      <c r="F703" s="2" t="s">
        <v>26</v>
      </c>
      <c r="G703" s="2" t="s">
        <v>26</v>
      </c>
      <c r="H703" s="2" t="s">
        <v>27</v>
      </c>
      <c r="I703" s="2" t="s">
        <v>40</v>
      </c>
      <c r="J703" s="6"/>
      <c r="K703" s="2" t="s">
        <v>2242</v>
      </c>
      <c r="L703" s="2" t="s">
        <v>99</v>
      </c>
      <c r="M703" s="2" t="s">
        <v>100</v>
      </c>
      <c r="N703" s="2" t="s">
        <v>2242</v>
      </c>
      <c r="O703" s="2"/>
      <c r="P703" s="7">
        <v>23.421794073946199</v>
      </c>
      <c r="Q703" s="8">
        <v>31.234707740064</v>
      </c>
      <c r="R703" s="9">
        <v>0</v>
      </c>
      <c r="S703" s="2" t="s">
        <v>2481</v>
      </c>
      <c r="T703" s="9">
        <v>0</v>
      </c>
      <c r="U703" s="9">
        <v>0</v>
      </c>
      <c r="V703" s="9">
        <v>879</v>
      </c>
      <c r="W703" s="9">
        <v>2229</v>
      </c>
      <c r="X703" s="9">
        <v>2220</v>
      </c>
      <c r="Y703" s="9">
        <v>22978</v>
      </c>
      <c r="Z703" s="9">
        <v>21883</v>
      </c>
      <c r="AA703" s="9">
        <v>18084</v>
      </c>
      <c r="AB703" s="9">
        <v>0</v>
      </c>
      <c r="AC703" s="9">
        <v>567</v>
      </c>
      <c r="AD703" s="9">
        <v>1612</v>
      </c>
      <c r="AE703" s="7">
        <v>0</v>
      </c>
      <c r="AF703" s="7">
        <v>0</v>
      </c>
      <c r="AG703" s="7">
        <v>0</v>
      </c>
      <c r="AH703" s="7">
        <v>7.7316343331033799E-05</v>
      </c>
      <c r="AI703" s="7">
        <v>0.00019597556048907099</v>
      </c>
      <c r="AJ703" s="7">
        <v>0.00019519165824711401</v>
      </c>
      <c r="AK703" s="7">
        <v>0.0020204583407752298</v>
      </c>
      <c r="AL703" s="7">
        <v>0.00192422715756246</v>
      </c>
      <c r="AM703" s="7">
        <v>0.00159011226625745</v>
      </c>
      <c r="AN703" s="7">
        <v>0</v>
      </c>
      <c r="AO703" s="7">
        <v>4.9839749108988303E-05</v>
      </c>
      <c r="AP703" s="7">
        <v>0.00014178071168300001</v>
      </c>
      <c r="AQ703" s="9">
        <v>0</v>
      </c>
    </row>
    <row r="704" spans="1:43" ht="15">
      <c r="A704" s="2" t="s">
        <v>2482</v>
      </c>
      <c r="B704" s="5">
        <v>24789576</v>
      </c>
      <c r="C704" s="2" t="s">
        <v>46</v>
      </c>
      <c r="D704" s="2" t="s">
        <v>2483</v>
      </c>
      <c r="E704" s="2" t="s">
        <v>2484</v>
      </c>
      <c r="F704" s="2" t="s">
        <v>49</v>
      </c>
      <c r="G704" s="2" t="s">
        <v>49</v>
      </c>
      <c r="H704" s="2" t="s">
        <v>50</v>
      </c>
      <c r="I704" s="2" t="s">
        <v>28</v>
      </c>
      <c r="J704" s="6"/>
      <c r="K704" s="2" t="s">
        <v>443</v>
      </c>
      <c r="L704" s="2" t="s">
        <v>99</v>
      </c>
      <c r="M704" s="2" t="s">
        <v>100</v>
      </c>
      <c r="N704" s="2" t="s">
        <v>443</v>
      </c>
      <c r="O704" s="2"/>
      <c r="P704" s="7">
        <v>76.616533651603405</v>
      </c>
      <c r="Q704" s="8">
        <v>69.033967809123396</v>
      </c>
      <c r="R704" s="9">
        <v>0</v>
      </c>
      <c r="S704" s="2" t="s">
        <v>2485</v>
      </c>
      <c r="T704" s="9">
        <v>0</v>
      </c>
      <c r="U704" s="9">
        <v>0</v>
      </c>
      <c r="V704" s="9">
        <v>0</v>
      </c>
      <c r="W704" s="9">
        <v>0</v>
      </c>
      <c r="X704" s="9">
        <v>0</v>
      </c>
      <c r="Y704" s="9">
        <v>0</v>
      </c>
      <c r="Z704" s="9">
        <v>0</v>
      </c>
      <c r="AA704" s="9">
        <v>285</v>
      </c>
      <c r="AB704" s="9">
        <v>0</v>
      </c>
      <c r="AC704" s="9">
        <v>0</v>
      </c>
      <c r="AD704" s="9">
        <v>0</v>
      </c>
      <c r="AE704" s="7">
        <v>0</v>
      </c>
      <c r="AF704" s="7">
        <v>0</v>
      </c>
      <c r="AG704" s="7">
        <v>0</v>
      </c>
      <c r="AH704" s="7">
        <v>0</v>
      </c>
      <c r="AI704" s="7">
        <v>0</v>
      </c>
      <c r="AJ704" s="7">
        <v>0</v>
      </c>
      <c r="AK704" s="7">
        <v>2.3844049130862999E-06</v>
      </c>
      <c r="AL704" s="7">
        <v>1.5864240688400901E-06</v>
      </c>
      <c r="AM704" s="7">
        <v>0.0015272376753067401</v>
      </c>
      <c r="AN704" s="7">
        <v>0</v>
      </c>
      <c r="AO704" s="7">
        <v>0</v>
      </c>
      <c r="AP704" s="7">
        <v>0</v>
      </c>
      <c r="AQ704" s="9">
        <v>0</v>
      </c>
    </row>
    <row r="705" spans="1:43" ht="15">
      <c r="A705" s="2" t="s">
        <v>2486</v>
      </c>
      <c r="B705" s="5">
        <v>4916916</v>
      </c>
      <c r="C705" s="2" t="s">
        <v>46</v>
      </c>
      <c r="D705" s="2" t="s">
        <v>2487</v>
      </c>
      <c r="E705" s="2" t="s">
        <v>2488</v>
      </c>
      <c r="F705" s="2" t="s">
        <v>49</v>
      </c>
      <c r="G705" s="2" t="s">
        <v>475</v>
      </c>
      <c r="H705" s="2" t="s">
        <v>476</v>
      </c>
      <c r="I705" s="2" t="s">
        <v>40</v>
      </c>
      <c r="J705" s="10">
        <v>41185</v>
      </c>
      <c r="K705" s="2" t="s">
        <v>240</v>
      </c>
      <c r="L705" s="2" t="s">
        <v>30</v>
      </c>
      <c r="M705" s="2" t="s">
        <v>31</v>
      </c>
      <c r="N705" s="2" t="s">
        <v>241</v>
      </c>
      <c r="O705" s="2" t="s">
        <v>240</v>
      </c>
      <c r="P705" s="7">
        <v>3867.7235688000001</v>
      </c>
      <c r="Q705" s="8">
        <v>6135.2892380000003</v>
      </c>
      <c r="R705" s="9">
        <v>191487</v>
      </c>
      <c r="S705" s="2" t="s">
        <v>2489</v>
      </c>
      <c r="T705" s="9">
        <v>100252</v>
      </c>
      <c r="U705" s="9">
        <v>172378</v>
      </c>
      <c r="V705" s="9">
        <v>102230</v>
      </c>
      <c r="W705" s="9">
        <v>59422</v>
      </c>
      <c r="X705" s="9">
        <v>59189</v>
      </c>
      <c r="Y705" s="9">
        <v>41569</v>
      </c>
      <c r="Z705" s="9">
        <v>34362</v>
      </c>
      <c r="AA705" s="9">
        <v>33408</v>
      </c>
      <c r="AB705" s="9">
        <v>195824</v>
      </c>
      <c r="AC705" s="9">
        <v>106967</v>
      </c>
      <c r="AD705" s="9">
        <v>68426</v>
      </c>
      <c r="AE705" s="7">
        <v>0.90106085349870901</v>
      </c>
      <c r="AF705" s="7">
        <v>0.47174841588608302</v>
      </c>
      <c r="AG705" s="7">
        <v>0.81114546300768198</v>
      </c>
      <c r="AH705" s="7">
        <v>0.48105652977218</v>
      </c>
      <c r="AI705" s="7">
        <v>0.27961643718837198</v>
      </c>
      <c r="AJ705" s="7">
        <v>0.27852070894875902</v>
      </c>
      <c r="AK705" s="7">
        <v>0.195608902256108</v>
      </c>
      <c r="AL705" s="7">
        <v>0.16169518621019299</v>
      </c>
      <c r="AM705" s="7">
        <v>0.15720710852315101</v>
      </c>
      <c r="AN705" s="7">
        <v>0.92147211055876099</v>
      </c>
      <c r="AO705" s="7">
        <v>0.50334494361068305</v>
      </c>
      <c r="AP705" s="7">
        <v>0.32198484051382098</v>
      </c>
      <c r="AQ705" s="9">
        <v>127568</v>
      </c>
    </row>
    <row r="706" spans="1:43" ht="15">
      <c r="A706" s="2" t="s">
        <v>2490</v>
      </c>
      <c r="B706" s="5">
        <v>4810601</v>
      </c>
      <c r="C706" s="2" t="s">
        <v>23</v>
      </c>
      <c r="D706" s="2" t="s">
        <v>2491</v>
      </c>
      <c r="E706" s="2" t="s">
        <v>2492</v>
      </c>
      <c r="F706" s="2" t="s">
        <v>26</v>
      </c>
      <c r="G706" s="2" t="s">
        <v>26</v>
      </c>
      <c r="H706" s="2" t="s">
        <v>27</v>
      </c>
      <c r="I706" s="2" t="s">
        <v>28</v>
      </c>
      <c r="J706" s="6"/>
      <c r="K706" s="2" t="s">
        <v>1042</v>
      </c>
      <c r="L706" s="2" t="s">
        <v>608</v>
      </c>
      <c r="M706" s="2" t="s">
        <v>1043</v>
      </c>
      <c r="N706" s="2" t="s">
        <v>1042</v>
      </c>
      <c r="O706" s="2"/>
      <c r="P706" s="7">
        <v>445.49739273570299</v>
      </c>
      <c r="Q706" s="8">
        <v>538.03245146580798</v>
      </c>
      <c r="R706" s="9">
        <v>25051</v>
      </c>
      <c r="S706" s="2" t="s">
        <v>2493</v>
      </c>
      <c r="T706" s="9">
        <v>8375</v>
      </c>
      <c r="U706" s="9">
        <v>22292</v>
      </c>
      <c r="V706" s="9">
        <v>30527</v>
      </c>
      <c r="W706" s="9">
        <v>26262</v>
      </c>
      <c r="X706" s="9">
        <v>26157</v>
      </c>
      <c r="Y706" s="9">
        <v>28481</v>
      </c>
      <c r="Z706" s="9">
        <v>24728</v>
      </c>
      <c r="AA706" s="9">
        <v>27017</v>
      </c>
      <c r="AB706" s="9">
        <v>25049</v>
      </c>
      <c r="AC706" s="9">
        <v>29135</v>
      </c>
      <c r="AD706" s="9">
        <v>23286</v>
      </c>
      <c r="AE706" s="7">
        <v>0.081636435408382793</v>
      </c>
      <c r="AF706" s="7">
        <v>0.027291442832624298</v>
      </c>
      <c r="AG706" s="7">
        <v>0.072644701230807601</v>
      </c>
      <c r="AH706" s="7">
        <v>0.099481930524059695</v>
      </c>
      <c r="AI706" s="7">
        <v>0.085583795952705002</v>
      </c>
      <c r="AJ706" s="7">
        <v>0.085241460768894203</v>
      </c>
      <c r="AK706" s="7">
        <v>0.092813102691259294</v>
      </c>
      <c r="AL706" s="7">
        <v>0.080582634285499</v>
      </c>
      <c r="AM706" s="7">
        <v>0.088043432768583896</v>
      </c>
      <c r="AN706" s="7">
        <v>0.081628831519677703</v>
      </c>
      <c r="AO706" s="7">
        <v>0.094946054259305898</v>
      </c>
      <c r="AP706" s="7">
        <v>0.075884768141445597</v>
      </c>
      <c r="AQ706" s="9">
        <v>50089</v>
      </c>
    </row>
    <row r="707" spans="1:43" ht="15">
      <c r="A707" s="2" t="s">
        <v>2494</v>
      </c>
      <c r="B707" s="5">
        <v>4204504</v>
      </c>
      <c r="C707" s="2" t="s">
        <v>46</v>
      </c>
      <c r="D707" s="2" t="s">
        <v>2495</v>
      </c>
      <c r="E707" s="2" t="s">
        <v>2496</v>
      </c>
      <c r="F707" s="2" t="s">
        <v>49</v>
      </c>
      <c r="G707" s="2" t="s">
        <v>49</v>
      </c>
      <c r="H707" s="2" t="s">
        <v>50</v>
      </c>
      <c r="I707" s="2" t="s">
        <v>40</v>
      </c>
      <c r="J707" s="6"/>
      <c r="K707" s="2" t="s">
        <v>1528</v>
      </c>
      <c r="L707" s="2" t="s">
        <v>247</v>
      </c>
      <c r="M707" s="2" t="s">
        <v>248</v>
      </c>
      <c r="N707" s="2" t="s">
        <v>1528</v>
      </c>
      <c r="O707" s="2"/>
      <c r="P707" s="7">
        <v>905.16880937952806</v>
      </c>
      <c r="Q707" s="8">
        <v>989.78399068069996</v>
      </c>
      <c r="R707" s="9">
        <v>0</v>
      </c>
      <c r="S707" s="2" t="s">
        <v>2497</v>
      </c>
      <c r="T707" s="9">
        <v>8343</v>
      </c>
      <c r="U707" s="9">
        <v>4831</v>
      </c>
      <c r="V707" s="9">
        <v>7877</v>
      </c>
      <c r="W707" s="9">
        <v>8331</v>
      </c>
      <c r="X707" s="9">
        <v>8297</v>
      </c>
      <c r="Y707" s="9">
        <v>5373</v>
      </c>
      <c r="Z707" s="9">
        <v>4561</v>
      </c>
      <c r="AA707" s="9">
        <v>3348</v>
      </c>
      <c r="AB707" s="9">
        <v>5521</v>
      </c>
      <c r="AC707" s="9">
        <v>8264</v>
      </c>
      <c r="AD707" s="9">
        <v>14816</v>
      </c>
      <c r="AE707" s="7">
        <v>0</v>
      </c>
      <c r="AF707" s="7">
        <v>0.00025280784556625701</v>
      </c>
      <c r="AG707" s="7">
        <v>0.000146390943374216</v>
      </c>
      <c r="AH707" s="7">
        <v>0.000238663944782707</v>
      </c>
      <c r="AI707" s="7">
        <v>0.00025242160442823599</v>
      </c>
      <c r="AJ707" s="7">
        <v>0.00025141191801052301</v>
      </c>
      <c r="AK707" s="7">
        <v>0.00016279269379354899</v>
      </c>
      <c r="AL707" s="7">
        <v>0.00013819630280759599</v>
      </c>
      <c r="AM707" s="7">
        <v>0.000101450749138407</v>
      </c>
      <c r="AN707" s="7">
        <v>0.00016730393528481899</v>
      </c>
      <c r="AO707" s="7">
        <v>0.00025040151583759402</v>
      </c>
      <c r="AP707" s="7">
        <v>0.00044894073548918599</v>
      </c>
      <c r="AQ707" s="9">
        <v>0</v>
      </c>
    </row>
    <row r="708" spans="1:43" ht="15">
      <c r="A708" s="2" t="s">
        <v>2498</v>
      </c>
      <c r="B708" s="5">
        <v>5001082</v>
      </c>
      <c r="C708" s="2" t="s">
        <v>35</v>
      </c>
      <c r="D708" s="2" t="s">
        <v>2499</v>
      </c>
      <c r="E708" s="2" t="s">
        <v>2500</v>
      </c>
      <c r="F708" s="2" t="s">
        <v>38</v>
      </c>
      <c r="G708" s="2" t="s">
        <v>38</v>
      </c>
      <c r="H708" s="2" t="s">
        <v>39</v>
      </c>
      <c r="I708" s="2" t="s">
        <v>40</v>
      </c>
      <c r="J708" s="6"/>
      <c r="K708" s="2" t="s">
        <v>982</v>
      </c>
      <c r="L708" s="2" t="s">
        <v>217</v>
      </c>
      <c r="M708" s="2" t="s">
        <v>218</v>
      </c>
      <c r="N708" s="2" t="s">
        <v>982</v>
      </c>
      <c r="O708" s="2"/>
      <c r="P708" s="7">
        <v>9543.9975758256896</v>
      </c>
      <c r="Q708" s="8">
        <v>21367.4008279552</v>
      </c>
      <c r="R708" s="9">
        <v>143448</v>
      </c>
      <c r="S708" s="2" t="s">
        <v>2501</v>
      </c>
      <c r="T708" s="9">
        <v>549531</v>
      </c>
      <c r="U708" s="9">
        <v>500559</v>
      </c>
      <c r="V708" s="9">
        <v>333895</v>
      </c>
      <c r="W708" s="9">
        <v>372578</v>
      </c>
      <c r="X708" s="9">
        <v>372516</v>
      </c>
      <c r="Y708" s="9">
        <v>343447</v>
      </c>
      <c r="Z708" s="9">
        <v>347846</v>
      </c>
      <c r="AA708" s="9">
        <v>337884</v>
      </c>
      <c r="AB708" s="9">
        <v>527725</v>
      </c>
      <c r="AC708" s="9">
        <v>337000</v>
      </c>
      <c r="AD708" s="9">
        <v>387104</v>
      </c>
      <c r="AE708" s="7">
        <v>0.064751675905522804</v>
      </c>
      <c r="AF708" s="7">
        <v>0.248055264821718</v>
      </c>
      <c r="AG708" s="7">
        <v>0.225949608382847</v>
      </c>
      <c r="AH708" s="7">
        <v>0.15071867625593299</v>
      </c>
      <c r="AI708" s="7">
        <v>0.16817978015128501</v>
      </c>
      <c r="AJ708" s="7">
        <v>0.16815177878481799</v>
      </c>
      <c r="AK708" s="7">
        <v>0.15503007087463599</v>
      </c>
      <c r="AL708" s="7">
        <v>0.157015982223494</v>
      </c>
      <c r="AM708" s="7">
        <v>0.15251896305971999</v>
      </c>
      <c r="AN708" s="7">
        <v>0.238212206062895</v>
      </c>
      <c r="AO708" s="7">
        <v>0.15212025291109599</v>
      </c>
      <c r="AP708" s="7">
        <v>0.17473655507268901</v>
      </c>
      <c r="AQ708" s="9">
        <v>74332</v>
      </c>
    </row>
    <row r="709" spans="1:43" ht="15">
      <c r="A709" s="2" t="s">
        <v>2502</v>
      </c>
      <c r="B709" s="5">
        <v>4400807</v>
      </c>
      <c r="C709" s="2" t="s">
        <v>46</v>
      </c>
      <c r="D709" s="2" t="s">
        <v>2503</v>
      </c>
      <c r="E709" s="2" t="s">
        <v>2504</v>
      </c>
      <c r="F709" s="2" t="s">
        <v>49</v>
      </c>
      <c r="G709" s="2" t="s">
        <v>475</v>
      </c>
      <c r="H709" s="2" t="s">
        <v>476</v>
      </c>
      <c r="I709" s="2" t="s">
        <v>40</v>
      </c>
      <c r="J709" s="10">
        <v>39263</v>
      </c>
      <c r="K709" s="2" t="s">
        <v>226</v>
      </c>
      <c r="L709" s="2" t="s">
        <v>56</v>
      </c>
      <c r="M709" s="2" t="s">
        <v>227</v>
      </c>
      <c r="N709" s="2" t="s">
        <v>226</v>
      </c>
      <c r="O709" s="2"/>
      <c r="P709" s="7">
        <v>6225.6251152499999</v>
      </c>
      <c r="Q709" s="6" t="s">
        <v>57</v>
      </c>
      <c r="R709" s="9">
        <v>285</v>
      </c>
      <c r="S709" s="2" t="s">
        <v>2505</v>
      </c>
      <c r="T709" s="9">
        <v>407</v>
      </c>
      <c r="U709" s="9">
        <v>1024</v>
      </c>
      <c r="V709" s="9">
        <v>2771</v>
      </c>
      <c r="W709" s="9">
        <v>1949</v>
      </c>
      <c r="X709" s="9">
        <v>1967</v>
      </c>
      <c r="Y709" s="9">
        <v>4532</v>
      </c>
      <c r="Z709" s="9">
        <v>6735</v>
      </c>
      <c r="AA709" s="9">
        <v>7150</v>
      </c>
      <c r="AB709" s="9">
        <v>1054</v>
      </c>
      <c r="AC709" s="9">
        <v>1198</v>
      </c>
      <c r="AD709" s="9">
        <v>2192</v>
      </c>
      <c r="AE709" s="7">
        <v>0.00128294345582022</v>
      </c>
      <c r="AF709" s="7">
        <v>0.0018306327673692101</v>
      </c>
      <c r="AG709" s="7">
        <v>0.0046097808938148502</v>
      </c>
      <c r="AH709" s="7">
        <v>0.0124718422046172</v>
      </c>
      <c r="AI709" s="7">
        <v>0.0087714716620734996</v>
      </c>
      <c r="AJ709" s="7">
        <v>0.0088539123990903097</v>
      </c>
      <c r="AK709" s="7">
        <v>0.020400203737031899</v>
      </c>
      <c r="AL709" s="7">
        <v>0.030319942239634801</v>
      </c>
      <c r="AM709" s="7">
        <v>0.032187117650931199</v>
      </c>
      <c r="AN709" s="7">
        <v>0.0047424964104538997</v>
      </c>
      <c r="AO709" s="7">
        <v>0.00539146194643483</v>
      </c>
      <c r="AP709" s="7">
        <v>0.0098694436806199392</v>
      </c>
      <c r="AQ709" s="9">
        <v>386</v>
      </c>
    </row>
    <row r="710" spans="1:43" ht="15">
      <c r="A710" s="2" t="s">
        <v>2506</v>
      </c>
      <c r="B710" s="5">
        <v>4361253</v>
      </c>
      <c r="C710" s="2" t="s">
        <v>23</v>
      </c>
      <c r="D710" s="2" t="s">
        <v>2507</v>
      </c>
      <c r="E710" s="2" t="s">
        <v>2508</v>
      </c>
      <c r="F710" s="2" t="s">
        <v>26</v>
      </c>
      <c r="G710" s="2" t="s">
        <v>26</v>
      </c>
      <c r="H710" s="2" t="s">
        <v>27</v>
      </c>
      <c r="I710" s="2" t="s">
        <v>28</v>
      </c>
      <c r="J710" s="6"/>
      <c r="K710" s="2" t="s">
        <v>1391</v>
      </c>
      <c r="L710" s="2" t="s">
        <v>56</v>
      </c>
      <c r="M710" s="2" t="s">
        <v>1391</v>
      </c>
      <c r="N710" s="2"/>
      <c r="O710" s="2"/>
      <c r="P710" s="7">
        <v>307.789701807386</v>
      </c>
      <c r="Q710" s="8">
        <v>4501.09539085704</v>
      </c>
      <c r="R710" s="9">
        <v>19455</v>
      </c>
      <c r="S710" s="2" t="s">
        <v>2509</v>
      </c>
      <c r="T710" s="9">
        <v>15147</v>
      </c>
      <c r="U710" s="9">
        <v>12494</v>
      </c>
      <c r="V710" s="9">
        <v>15201</v>
      </c>
      <c r="W710" s="9">
        <v>25481</v>
      </c>
      <c r="X710" s="9">
        <v>25383</v>
      </c>
      <c r="Y710" s="9">
        <v>20830</v>
      </c>
      <c r="Z710" s="9">
        <v>20880</v>
      </c>
      <c r="AA710" s="9">
        <v>24121</v>
      </c>
      <c r="AB710" s="9">
        <v>12583</v>
      </c>
      <c r="AC710" s="9">
        <v>15555</v>
      </c>
      <c r="AD710" s="9">
        <v>24037</v>
      </c>
      <c r="AE710" s="7">
        <v>0.065089480688789197</v>
      </c>
      <c r="AF710" s="7">
        <v>0.0506775667173813</v>
      </c>
      <c r="AG710" s="7">
        <v>0.041799624741997402</v>
      </c>
      <c r="AH710" s="7">
        <v>0.050856645733336502</v>
      </c>
      <c r="AI710" s="7">
        <v>0.085251748455715703</v>
      </c>
      <c r="AJ710" s="7">
        <v>0.084922732245690705</v>
      </c>
      <c r="AK710" s="7">
        <v>0.069691382068694296</v>
      </c>
      <c r="AL710" s="7">
        <v>0.069857932089374505</v>
      </c>
      <c r="AM710" s="7">
        <v>0.080699416945514996</v>
      </c>
      <c r="AN710" s="7">
        <v>0.042099019943584497</v>
      </c>
      <c r="AO710" s="7">
        <v>0.052042735237700199</v>
      </c>
      <c r="AP710" s="7">
        <v>0.080420484108417706</v>
      </c>
      <c r="AQ710" s="9">
        <v>33868</v>
      </c>
    </row>
    <row r="711" spans="1:43" ht="15">
      <c r="A711" s="2" t="s">
        <v>2510</v>
      </c>
      <c r="B711" s="5">
        <v>20036785</v>
      </c>
      <c r="C711" s="2" t="s">
        <v>46</v>
      </c>
      <c r="D711" s="2" t="s">
        <v>2511</v>
      </c>
      <c r="E711" s="2" t="s">
        <v>2512</v>
      </c>
      <c r="F711" s="2" t="s">
        <v>49</v>
      </c>
      <c r="G711" s="2" t="s">
        <v>49</v>
      </c>
      <c r="H711" s="2" t="s">
        <v>50</v>
      </c>
      <c r="I711" s="2" t="s">
        <v>40</v>
      </c>
      <c r="J711" s="6"/>
      <c r="K711" s="2" t="s">
        <v>55</v>
      </c>
      <c r="L711" s="2" t="s">
        <v>56</v>
      </c>
      <c r="M711" s="2" t="s">
        <v>55</v>
      </c>
      <c r="N711" s="2"/>
      <c r="O711" s="2"/>
      <c r="P711" s="7">
        <v>2577.3546990206601</v>
      </c>
      <c r="Q711" s="8">
        <v>2090.9820236431401</v>
      </c>
      <c r="R711" s="9">
        <v>0</v>
      </c>
      <c r="S711" s="2" t="s">
        <v>2513</v>
      </c>
      <c r="T711" s="9">
        <v>0</v>
      </c>
      <c r="U711" s="9">
        <v>0</v>
      </c>
      <c r="V711" s="9">
        <v>31</v>
      </c>
      <c r="W711" s="9">
        <v>1105</v>
      </c>
      <c r="X711" s="9">
        <v>1101</v>
      </c>
      <c r="Y711" s="9">
        <v>1202</v>
      </c>
      <c r="Z711" s="9">
        <v>930</v>
      </c>
      <c r="AA711" s="9">
        <v>771</v>
      </c>
      <c r="AB711" s="9">
        <v>0</v>
      </c>
      <c r="AC711" s="9">
        <v>33</v>
      </c>
      <c r="AD711" s="9">
        <v>682</v>
      </c>
      <c r="AE711" s="7">
        <v>0</v>
      </c>
      <c r="AF711" s="7">
        <v>0</v>
      </c>
      <c r="AG711" s="7">
        <v>0</v>
      </c>
      <c r="AH711" s="7">
        <v>4.4609285118878502E-07</v>
      </c>
      <c r="AI711" s="7">
        <v>1.5722483594367699E-05</v>
      </c>
      <c r="AJ711" s="7">
        <v>1.5659593659990301E-05</v>
      </c>
      <c r="AK711" s="7">
        <v>1.7098128442597302E-05</v>
      </c>
      <c r="AL711" s="7">
        <v>1.3225873468078E-05</v>
      </c>
      <c r="AM711" s="7">
        <v>1.09739098755951E-05</v>
      </c>
      <c r="AN711" s="7">
        <v>0</v>
      </c>
      <c r="AO711" s="7">
        <v>4.68031843870201E-07</v>
      </c>
      <c r="AP711" s="7">
        <v>9.6990510494834608E-06</v>
      </c>
      <c r="AQ711" s="9">
        <v>0</v>
      </c>
    </row>
    <row r="712" spans="1:43" ht="15">
      <c r="A712" s="2" t="s">
        <v>2514</v>
      </c>
      <c r="B712" s="5">
        <v>4773592</v>
      </c>
      <c r="C712" s="2" t="s">
        <v>23</v>
      </c>
      <c r="D712" s="2" t="s">
        <v>2515</v>
      </c>
      <c r="E712" s="2" t="s">
        <v>2516</v>
      </c>
      <c r="F712" s="2" t="s">
        <v>26</v>
      </c>
      <c r="G712" s="2" t="s">
        <v>26</v>
      </c>
      <c r="H712" s="2" t="s">
        <v>27</v>
      </c>
      <c r="I712" s="2" t="s">
        <v>40</v>
      </c>
      <c r="J712" s="6"/>
      <c r="K712" s="2" t="s">
        <v>55</v>
      </c>
      <c r="L712" s="2" t="s">
        <v>56</v>
      </c>
      <c r="M712" s="2" t="s">
        <v>55</v>
      </c>
      <c r="N712" s="2"/>
      <c r="O712" s="2"/>
      <c r="P712" s="7">
        <v>5.0817376663550204</v>
      </c>
      <c r="Q712" s="8">
        <v>3.595064469904</v>
      </c>
      <c r="R712" s="9">
        <v>0</v>
      </c>
      <c r="S712" s="2" t="s">
        <v>2517</v>
      </c>
      <c r="T712" s="9">
        <v>0</v>
      </c>
      <c r="U712" s="9">
        <v>0</v>
      </c>
      <c r="V712" s="9">
        <v>50</v>
      </c>
      <c r="W712" s="9">
        <v>3987</v>
      </c>
      <c r="X712" s="9">
        <v>3971</v>
      </c>
      <c r="Y712" s="9">
        <v>15238</v>
      </c>
      <c r="Z712" s="9">
        <v>15570</v>
      </c>
      <c r="AA712" s="9">
        <v>9420</v>
      </c>
      <c r="AB712" s="9">
        <v>0</v>
      </c>
      <c r="AC712" s="9">
        <v>52</v>
      </c>
      <c r="AD712" s="9">
        <v>26</v>
      </c>
      <c r="AE712" s="7">
        <v>0</v>
      </c>
      <c r="AF712" s="7">
        <v>0</v>
      </c>
      <c r="AG712" s="7">
        <v>0</v>
      </c>
      <c r="AH712" s="7">
        <v>3.4643240927143497E-05</v>
      </c>
      <c r="AI712" s="7">
        <v>0.0027884911805315001</v>
      </c>
      <c r="AJ712" s="7">
        <v>0.0027773372158093699</v>
      </c>
      <c r="AK712" s="7">
        <v>0.0106576670532911</v>
      </c>
      <c r="AL712" s="7">
        <v>0.0108898161402504</v>
      </c>
      <c r="AM712" s="7">
        <v>0.0065888570890460501</v>
      </c>
      <c r="AN712" s="7">
        <v>0</v>
      </c>
      <c r="AO712" s="7">
        <v>3.6347006874380103E-05</v>
      </c>
      <c r="AP712" s="7">
        <v>1.7880382414009599E-05</v>
      </c>
      <c r="AQ712" s="9">
        <v>0</v>
      </c>
    </row>
    <row r="713" spans="1:43" ht="15">
      <c r="A713" s="2" t="s">
        <v>2518</v>
      </c>
      <c r="B713" s="5">
        <v>5000850</v>
      </c>
      <c r="C713" s="2" t="s">
        <v>23</v>
      </c>
      <c r="D713" s="2" t="s">
        <v>2519</v>
      </c>
      <c r="E713" s="2" t="s">
        <v>2520</v>
      </c>
      <c r="F713" s="2" t="s">
        <v>26</v>
      </c>
      <c r="G713" s="2" t="s">
        <v>26</v>
      </c>
      <c r="H713" s="2" t="s">
        <v>27</v>
      </c>
      <c r="I713" s="2" t="s">
        <v>40</v>
      </c>
      <c r="J713" s="10">
        <v>38679</v>
      </c>
      <c r="K713" s="2" t="s">
        <v>216</v>
      </c>
      <c r="L713" s="2" t="s">
        <v>217</v>
      </c>
      <c r="M713" s="2" t="s">
        <v>218</v>
      </c>
      <c r="N713" s="2" t="s">
        <v>216</v>
      </c>
      <c r="O713" s="2"/>
      <c r="P713" s="7">
        <v>999.40374399999996</v>
      </c>
      <c r="Q713" s="8">
        <v>3101.97872006221</v>
      </c>
      <c r="R713" s="9">
        <v>280572</v>
      </c>
      <c r="S713" s="2" t="s">
        <v>2521</v>
      </c>
      <c r="T713" s="9">
        <v>287632</v>
      </c>
      <c r="U713" s="9">
        <v>630515</v>
      </c>
      <c r="V713" s="9">
        <v>648045</v>
      </c>
      <c r="W713" s="9">
        <v>661466</v>
      </c>
      <c r="X713" s="9">
        <v>659514</v>
      </c>
      <c r="Y713" s="9">
        <v>688177</v>
      </c>
      <c r="Z713" s="9">
        <v>687928</v>
      </c>
      <c r="AA713" s="9">
        <v>781930</v>
      </c>
      <c r="AB713" s="9">
        <v>663908</v>
      </c>
      <c r="AC713" s="9">
        <v>629202</v>
      </c>
      <c r="AD713" s="9">
        <v>617477</v>
      </c>
      <c r="AE713" s="7">
        <v>0.14028574999999999</v>
      </c>
      <c r="AF713" s="7">
        <v>0.143815833333333</v>
      </c>
      <c r="AG713" s="7">
        <v>0.315257729166667</v>
      </c>
      <c r="AH713" s="7">
        <v>0.32402246093749998</v>
      </c>
      <c r="AI713" s="7">
        <v>0.33073294377509999</v>
      </c>
      <c r="AJ713" s="7">
        <v>0.32975716199999999</v>
      </c>
      <c r="AK713" s="7">
        <v>0.34408871327967799</v>
      </c>
      <c r="AL713" s="7">
        <v>0.34396421380697101</v>
      </c>
      <c r="AM713" s="7">
        <v>0.39096495502008</v>
      </c>
      <c r="AN713" s="7">
        <v>0.33195390476190501</v>
      </c>
      <c r="AO713" s="7">
        <v>0.31460096721311498</v>
      </c>
      <c r="AP713" s="7">
        <v>0.308738439516129</v>
      </c>
      <c r="AQ713" s="9">
        <v>289089</v>
      </c>
    </row>
    <row r="714" spans="1:43" ht="15">
      <c r="A714" s="2" t="s">
        <v>2522</v>
      </c>
      <c r="B714" s="5">
        <v>4623481</v>
      </c>
      <c r="C714" s="2" t="s">
        <v>46</v>
      </c>
      <c r="D714" s="2" t="s">
        <v>2523</v>
      </c>
      <c r="E714" s="2" t="s">
        <v>2524</v>
      </c>
      <c r="F714" s="2" t="s">
        <v>49</v>
      </c>
      <c r="G714" s="2" t="s">
        <v>49</v>
      </c>
      <c r="H714" s="2" t="s">
        <v>50</v>
      </c>
      <c r="I714" s="2" t="s">
        <v>28</v>
      </c>
      <c r="J714" s="6"/>
      <c r="K714" s="2" t="s">
        <v>98</v>
      </c>
      <c r="L714" s="2" t="s">
        <v>99</v>
      </c>
      <c r="M714" s="2" t="s">
        <v>100</v>
      </c>
      <c r="N714" s="2" t="s">
        <v>98</v>
      </c>
      <c r="O714" s="2"/>
      <c r="P714" s="7">
        <v>147.299648869766</v>
      </c>
      <c r="Q714" s="8">
        <v>337.07790879917098</v>
      </c>
      <c r="R714" s="9">
        <v>0</v>
      </c>
      <c r="S714" s="2" t="s">
        <v>2525</v>
      </c>
      <c r="T714" s="9">
        <v>4667</v>
      </c>
      <c r="U714" s="9">
        <v>5853</v>
      </c>
      <c r="V714" s="9">
        <v>2195</v>
      </c>
      <c r="W714" s="9">
        <v>4526</v>
      </c>
      <c r="X714" s="9">
        <v>4508</v>
      </c>
      <c r="Y714" s="9">
        <v>5206</v>
      </c>
      <c r="Z714" s="9">
        <v>4214</v>
      </c>
      <c r="AA714" s="9">
        <v>3409</v>
      </c>
      <c r="AB714" s="9">
        <v>6518</v>
      </c>
      <c r="AC714" s="9">
        <v>2303</v>
      </c>
      <c r="AD714" s="9">
        <v>1851</v>
      </c>
      <c r="AE714" s="7">
        <v>0</v>
      </c>
      <c r="AF714" s="7">
        <v>0.0040421867042359999</v>
      </c>
      <c r="AG714" s="7">
        <v>0.0050698765828352801</v>
      </c>
      <c r="AH714" s="7">
        <v>0.0019012037185632299</v>
      </c>
      <c r="AI714" s="7">
        <v>0.0039204480072468004</v>
      </c>
      <c r="AJ714" s="7">
        <v>0.0039047662152178202</v>
      </c>
      <c r="AK714" s="7">
        <v>0.0045093462603595803</v>
      </c>
      <c r="AL714" s="7">
        <v>0.00365034058985882</v>
      </c>
      <c r="AM714" s="7">
        <v>0.0029524009001561801</v>
      </c>
      <c r="AN714" s="7">
        <v>0.0056456561749214504</v>
      </c>
      <c r="AO714" s="7">
        <v>0.0019947055407876502</v>
      </c>
      <c r="AP714" s="7">
        <v>0.00160301109895418</v>
      </c>
      <c r="AQ714" s="9">
        <v>0</v>
      </c>
    </row>
    <row r="715" spans="1:43" ht="15">
      <c r="A715" s="2" t="s">
        <v>2526</v>
      </c>
      <c r="B715" s="5">
        <v>26531697</v>
      </c>
      <c r="C715" s="2" t="s">
        <v>46</v>
      </c>
      <c r="D715" s="2" t="s">
        <v>2527</v>
      </c>
      <c r="E715" s="2" t="s">
        <v>2528</v>
      </c>
      <c r="F715" s="2" t="s">
        <v>49</v>
      </c>
      <c r="G715" s="2" t="s">
        <v>49</v>
      </c>
      <c r="H715" s="2" t="s">
        <v>50</v>
      </c>
      <c r="I715" s="2" t="s">
        <v>28</v>
      </c>
      <c r="J715" s="6"/>
      <c r="K715" s="2" t="s">
        <v>1139</v>
      </c>
      <c r="L715" s="2" t="s">
        <v>42</v>
      </c>
      <c r="M715" s="2" t="s">
        <v>43</v>
      </c>
      <c r="N715" s="2" t="s">
        <v>1139</v>
      </c>
      <c r="O715" s="2"/>
      <c r="P715" s="7">
        <v>1.8173564251803001</v>
      </c>
      <c r="Q715" s="6" t="s">
        <v>57</v>
      </c>
      <c r="R715" s="9">
        <v>0</v>
      </c>
      <c r="S715" s="2" t="s">
        <v>2529</v>
      </c>
      <c r="T715" s="9">
        <v>0</v>
      </c>
      <c r="U715" s="9">
        <v>0</v>
      </c>
      <c r="V715" s="9">
        <v>0</v>
      </c>
      <c r="W715" s="9">
        <v>4</v>
      </c>
      <c r="X715" s="9">
        <v>4</v>
      </c>
      <c r="Y715" s="9">
        <v>15</v>
      </c>
      <c r="Z715" s="9">
        <v>23</v>
      </c>
      <c r="AA715" s="9">
        <v>23</v>
      </c>
      <c r="AB715" s="9">
        <v>0</v>
      </c>
      <c r="AC715" s="9">
        <v>0</v>
      </c>
      <c r="AD715" s="9">
        <v>9</v>
      </c>
      <c r="AE715" s="7">
        <v>0</v>
      </c>
      <c r="AF715" s="7">
        <v>0</v>
      </c>
      <c r="AG715" s="7">
        <v>0</v>
      </c>
      <c r="AH715" s="7">
        <v>0</v>
      </c>
      <c r="AI715" s="7">
        <v>0.0010286307708167199</v>
      </c>
      <c r="AJ715" s="7">
        <v>0.0010245162477334499</v>
      </c>
      <c r="AK715" s="7">
        <v>0.0037307743772375798</v>
      </c>
      <c r="AL715" s="7">
        <v>0.0055249022286349399</v>
      </c>
      <c r="AM715" s="7">
        <v>0.0055249022286349399</v>
      </c>
      <c r="AN715" s="7">
        <v>0</v>
      </c>
      <c r="AO715" s="7">
        <v>0</v>
      </c>
      <c r="AP715" s="7">
        <v>0.0020655569510755101</v>
      </c>
      <c r="AQ715" s="9">
        <v>0</v>
      </c>
    </row>
    <row r="716" spans="1:43" ht="15">
      <c r="A716" s="2" t="s">
        <v>2530</v>
      </c>
      <c r="B716" s="5">
        <v>4772802</v>
      </c>
      <c r="C716" s="2" t="s">
        <v>23</v>
      </c>
      <c r="D716" s="2" t="s">
        <v>2531</v>
      </c>
      <c r="E716" s="2" t="s">
        <v>2532</v>
      </c>
      <c r="F716" s="2" t="s">
        <v>26</v>
      </c>
      <c r="G716" s="2" t="s">
        <v>26</v>
      </c>
      <c r="H716" s="2" t="s">
        <v>27</v>
      </c>
      <c r="I716" s="2" t="s">
        <v>28</v>
      </c>
      <c r="J716" s="6"/>
      <c r="K716" s="2" t="s">
        <v>55</v>
      </c>
      <c r="L716" s="2" t="s">
        <v>56</v>
      </c>
      <c r="M716" s="2" t="s">
        <v>55</v>
      </c>
      <c r="N716" s="2"/>
      <c r="O716" s="2"/>
      <c r="P716" s="7">
        <v>8.7637519200000007</v>
      </c>
      <c r="Q716" s="8">
        <v>7.1359541028000004</v>
      </c>
      <c r="R716" s="9">
        <v>0</v>
      </c>
      <c r="S716" s="2" t="s">
        <v>2533</v>
      </c>
      <c r="T716" s="9">
        <v>0</v>
      </c>
      <c r="U716" s="9">
        <v>0</v>
      </c>
      <c r="V716" s="9">
        <v>0</v>
      </c>
      <c r="W716" s="9">
        <v>35</v>
      </c>
      <c r="X716" s="9">
        <v>35</v>
      </c>
      <c r="Y716" s="9">
        <v>26</v>
      </c>
      <c r="Z716" s="9">
        <v>18</v>
      </c>
      <c r="AA716" s="9">
        <v>38</v>
      </c>
      <c r="AB716" s="9">
        <v>0</v>
      </c>
      <c r="AC716" s="9">
        <v>0</v>
      </c>
      <c r="AD716" s="9">
        <v>0</v>
      </c>
      <c r="AE716" s="7">
        <v>0</v>
      </c>
      <c r="AF716" s="7">
        <v>0</v>
      </c>
      <c r="AG716" s="7">
        <v>0</v>
      </c>
      <c r="AH716" s="7">
        <v>0</v>
      </c>
      <c r="AI716" s="7">
        <v>0.00076192214746431599</v>
      </c>
      <c r="AJ716" s="7">
        <v>0.00075887445887445903</v>
      </c>
      <c r="AK716" s="7">
        <v>0.00056965167629151499</v>
      </c>
      <c r="AL716" s="7">
        <v>0.00037951324814595598</v>
      </c>
      <c r="AM716" s="7">
        <v>0.000832125036944314</v>
      </c>
      <c r="AN716" s="7">
        <v>0</v>
      </c>
      <c r="AO716" s="7">
        <v>0</v>
      </c>
      <c r="AP716" s="7">
        <v>0</v>
      </c>
      <c r="AQ716" s="9">
        <v>0</v>
      </c>
    </row>
    <row r="717" spans="1:43" ht="15">
      <c r="A717" s="2" t="s">
        <v>2534</v>
      </c>
      <c r="B717" s="5">
        <v>6618142</v>
      </c>
      <c r="C717" s="2" t="s">
        <v>46</v>
      </c>
      <c r="D717" s="2" t="s">
        <v>2535</v>
      </c>
      <c r="E717" s="2" t="s">
        <v>2536</v>
      </c>
      <c r="F717" s="2" t="s">
        <v>49</v>
      </c>
      <c r="G717" s="2" t="s">
        <v>49</v>
      </c>
      <c r="H717" s="2" t="s">
        <v>50</v>
      </c>
      <c r="I717" s="2" t="s">
        <v>28</v>
      </c>
      <c r="J717" s="6"/>
      <c r="K717" s="2" t="s">
        <v>423</v>
      </c>
      <c r="L717" s="2" t="s">
        <v>30</v>
      </c>
      <c r="M717" s="2" t="s">
        <v>424</v>
      </c>
      <c r="N717" s="2" t="s">
        <v>423</v>
      </c>
      <c r="O717" s="2"/>
      <c r="P717" s="7">
        <v>1.1000362728294399</v>
      </c>
      <c r="Q717" s="8">
        <v>0.40764445330701998</v>
      </c>
      <c r="R717" s="9">
        <v>0</v>
      </c>
      <c r="S717" s="2" t="s">
        <v>2537</v>
      </c>
      <c r="T717" s="9">
        <v>0</v>
      </c>
      <c r="U717" s="9">
        <v>0</v>
      </c>
      <c r="V717" s="9">
        <v>7</v>
      </c>
      <c r="W717" s="9">
        <v>2</v>
      </c>
      <c r="X717" s="9">
        <v>2</v>
      </c>
      <c r="Y717" s="9">
        <v>14</v>
      </c>
      <c r="Z717" s="9">
        <v>10</v>
      </c>
      <c r="AA717" s="9">
        <v>8</v>
      </c>
      <c r="AB717" s="9">
        <v>0</v>
      </c>
      <c r="AC717" s="9">
        <v>7</v>
      </c>
      <c r="AD717" s="9">
        <v>4</v>
      </c>
      <c r="AE717" s="7">
        <v>0</v>
      </c>
      <c r="AF717" s="7">
        <v>0</v>
      </c>
      <c r="AG717" s="7">
        <v>0</v>
      </c>
      <c r="AH717" s="7">
        <v>0.00017001647821054201</v>
      </c>
      <c r="AI717" s="7">
        <v>4.3992954039099303E-05</v>
      </c>
      <c r="AJ717" s="7">
        <v>4.3816982222942902E-05</v>
      </c>
      <c r="AK717" s="7">
        <v>0.00035275397871302997</v>
      </c>
      <c r="AL717" s="7">
        <v>0.00024377465833610499</v>
      </c>
      <c r="AM717" s="7">
        <v>0.00020328221329158</v>
      </c>
      <c r="AN717" s="7">
        <v>0</v>
      </c>
      <c r="AO717" s="7">
        <v>0.00017837794435204401</v>
      </c>
      <c r="AP717" s="7">
        <v>8.7750440366731204E-05</v>
      </c>
      <c r="AQ717" s="9">
        <v>0</v>
      </c>
    </row>
    <row r="718" spans="1:43" ht="15">
      <c r="A718" s="2" t="s">
        <v>2538</v>
      </c>
      <c r="B718" s="5">
        <v>4914196</v>
      </c>
      <c r="C718" s="2" t="s">
        <v>35</v>
      </c>
      <c r="D718" s="2" t="s">
        <v>2539</v>
      </c>
      <c r="E718" s="2" t="s">
        <v>2540</v>
      </c>
      <c r="F718" s="2" t="s">
        <v>38</v>
      </c>
      <c r="G718" s="2" t="s">
        <v>38</v>
      </c>
      <c r="H718" s="2" t="s">
        <v>39</v>
      </c>
      <c r="I718" s="2" t="s">
        <v>28</v>
      </c>
      <c r="J718" s="6"/>
      <c r="K718" s="2" t="s">
        <v>188</v>
      </c>
      <c r="L718" s="2" t="s">
        <v>30</v>
      </c>
      <c r="M718" s="2" t="s">
        <v>189</v>
      </c>
      <c r="N718" s="2" t="s">
        <v>188</v>
      </c>
      <c r="O718" s="2"/>
      <c r="P718" s="7">
        <v>12.188188554185301</v>
      </c>
      <c r="Q718" s="8">
        <v>11.354142512988</v>
      </c>
      <c r="R718" s="9">
        <v>0</v>
      </c>
      <c r="S718" s="2" t="s">
        <v>2541</v>
      </c>
      <c r="T718" s="9">
        <v>0</v>
      </c>
      <c r="U718" s="9">
        <v>0</v>
      </c>
      <c r="V718" s="9">
        <v>0</v>
      </c>
      <c r="W718" s="9">
        <v>0</v>
      </c>
      <c r="X718" s="9">
        <v>0</v>
      </c>
      <c r="Y718" s="9">
        <v>0</v>
      </c>
      <c r="Z718" s="9">
        <v>0</v>
      </c>
      <c r="AA718" s="9">
        <v>0</v>
      </c>
      <c r="AB718" s="9">
        <v>0</v>
      </c>
      <c r="AC718" s="9">
        <v>0</v>
      </c>
      <c r="AD718" s="9">
        <v>0</v>
      </c>
      <c r="AE718" s="7">
        <v>0</v>
      </c>
      <c r="AF718" s="7">
        <v>0</v>
      </c>
      <c r="AG718" s="7">
        <v>0</v>
      </c>
      <c r="AH718" s="7">
        <v>0</v>
      </c>
      <c r="AI718" s="7">
        <v>0</v>
      </c>
      <c r="AJ718" s="7">
        <v>0</v>
      </c>
      <c r="AK718" s="7">
        <v>0</v>
      </c>
      <c r="AL718" s="7">
        <v>0</v>
      </c>
      <c r="AM718" s="7">
        <v>0</v>
      </c>
      <c r="AN718" s="7">
        <v>0</v>
      </c>
      <c r="AO718" s="7">
        <v>0</v>
      </c>
      <c r="AP718" s="7">
        <v>0</v>
      </c>
      <c r="AQ718" s="9">
        <v>0</v>
      </c>
    </row>
    <row r="719" spans="1:43" ht="15">
      <c r="A719" s="2" t="s">
        <v>2542</v>
      </c>
      <c r="B719" s="5">
        <v>4543181</v>
      </c>
      <c r="C719" s="2" t="s">
        <v>23</v>
      </c>
      <c r="D719" s="2" t="s">
        <v>2543</v>
      </c>
      <c r="E719" s="2" t="s">
        <v>2544</v>
      </c>
      <c r="F719" s="2" t="s">
        <v>26</v>
      </c>
      <c r="G719" s="2" t="s">
        <v>26</v>
      </c>
      <c r="H719" s="2" t="s">
        <v>27</v>
      </c>
      <c r="I719" s="2" t="s">
        <v>40</v>
      </c>
      <c r="J719" s="10">
        <v>41109</v>
      </c>
      <c r="K719" s="2" t="s">
        <v>1391</v>
      </c>
      <c r="L719" s="2" t="s">
        <v>56</v>
      </c>
      <c r="M719" s="2" t="s">
        <v>1391</v>
      </c>
      <c r="N719" s="2"/>
      <c r="O719" s="2"/>
      <c r="P719" s="7">
        <v>2384.2608191999998</v>
      </c>
      <c r="Q719" s="8">
        <v>5642.5827533048996</v>
      </c>
      <c r="R719" s="9">
        <v>18402</v>
      </c>
      <c r="S719" s="2" t="s">
        <v>2545</v>
      </c>
      <c r="T719" s="9">
        <v>26076</v>
      </c>
      <c r="U719" s="9">
        <v>47143</v>
      </c>
      <c r="V719" s="9">
        <v>47370</v>
      </c>
      <c r="W719" s="9">
        <v>75431</v>
      </c>
      <c r="X719" s="9">
        <v>75153</v>
      </c>
      <c r="Y719" s="9">
        <v>53924</v>
      </c>
      <c r="Z719" s="9">
        <v>49963</v>
      </c>
      <c r="AA719" s="9">
        <v>54628</v>
      </c>
      <c r="AB719" s="9">
        <v>44268</v>
      </c>
      <c r="AC719" s="9">
        <v>45623</v>
      </c>
      <c r="AD719" s="9">
        <v>63897</v>
      </c>
      <c r="AE719" s="7">
        <v>0.092009999999999995</v>
      </c>
      <c r="AF719" s="7">
        <v>0.13037750000000001</v>
      </c>
      <c r="AG719" s="7">
        <v>0.235713541666667</v>
      </c>
      <c r="AH719" s="7">
        <v>0.236850234375</v>
      </c>
      <c r="AI719" s="7">
        <v>0.37715343373493998</v>
      </c>
      <c r="AJ719" s="7">
        <v>0.37576366</v>
      </c>
      <c r="AK719" s="7">
        <v>0.26962090543259598</v>
      </c>
      <c r="AL719" s="7">
        <v>0.249815898123324</v>
      </c>
      <c r="AM719" s="7">
        <v>0.27313875502008</v>
      </c>
      <c r="AN719" s="7">
        <v>0.22133952380952401</v>
      </c>
      <c r="AO719" s="7">
        <v>0.22811336065573801</v>
      </c>
      <c r="AP719" s="7">
        <v>0.31948435483871002</v>
      </c>
      <c r="AQ719" s="9">
        <v>9490</v>
      </c>
    </row>
    <row r="720" spans="1:43" ht="15">
      <c r="A720" s="2" t="s">
        <v>2546</v>
      </c>
      <c r="B720" s="5">
        <v>4912814</v>
      </c>
      <c r="C720" s="2" t="s">
        <v>23</v>
      </c>
      <c r="D720" s="2" t="s">
        <v>2547</v>
      </c>
      <c r="E720" s="2" t="s">
        <v>2548</v>
      </c>
      <c r="F720" s="2" t="s">
        <v>26</v>
      </c>
      <c r="G720" s="2" t="s">
        <v>26</v>
      </c>
      <c r="H720" s="2" t="s">
        <v>27</v>
      </c>
      <c r="I720" s="2" t="s">
        <v>28</v>
      </c>
      <c r="J720" s="6"/>
      <c r="K720" s="2" t="s">
        <v>211</v>
      </c>
      <c r="L720" s="2" t="s">
        <v>30</v>
      </c>
      <c r="M720" s="2" t="s">
        <v>189</v>
      </c>
      <c r="N720" s="2" t="s">
        <v>211</v>
      </c>
      <c r="O720" s="2"/>
      <c r="P720" s="7">
        <v>30.3273501132423</v>
      </c>
      <c r="Q720" s="8">
        <v>342.93954358070403</v>
      </c>
      <c r="R720" s="9">
        <v>0</v>
      </c>
      <c r="S720" s="2" t="s">
        <v>2549</v>
      </c>
      <c r="T720" s="9">
        <v>434</v>
      </c>
      <c r="U720" s="9">
        <v>2672</v>
      </c>
      <c r="V720" s="9">
        <v>1377</v>
      </c>
      <c r="W720" s="9">
        <v>5645</v>
      </c>
      <c r="X720" s="9">
        <v>5622</v>
      </c>
      <c r="Y720" s="9">
        <v>3099</v>
      </c>
      <c r="Z720" s="9">
        <v>3801</v>
      </c>
      <c r="AA720" s="9">
        <v>7181</v>
      </c>
      <c r="AB720" s="9">
        <v>3054</v>
      </c>
      <c r="AC720" s="9">
        <v>1445</v>
      </c>
      <c r="AD720" s="9">
        <v>2793</v>
      </c>
      <c r="AE720" s="7">
        <v>0</v>
      </c>
      <c r="AF720" s="7">
        <v>0.00069742238711110105</v>
      </c>
      <c r="AG720" s="7">
        <v>0.00429690724188118</v>
      </c>
      <c r="AH720" s="7">
        <v>0.0022145656849954999</v>
      </c>
      <c r="AI720" s="7">
        <v>0.0090778259304317693</v>
      </c>
      <c r="AJ720" s="7">
        <v>0.0090415146267100403</v>
      </c>
      <c r="AK720" s="7">
        <v>0.0049836119412712898</v>
      </c>
      <c r="AL720" s="7">
        <v>0.0061123189224906397</v>
      </c>
      <c r="AM720" s="7">
        <v>0.0115491979585053</v>
      </c>
      <c r="AN720" s="7">
        <v>0.0049107511335784899</v>
      </c>
      <c r="AO720" s="7">
        <v>0.0023234787514706898</v>
      </c>
      <c r="AP720" s="7">
        <v>0.0044912075349405802</v>
      </c>
      <c r="AQ720" s="9">
        <v>0</v>
      </c>
    </row>
    <row r="721" spans="1:43" ht="15">
      <c r="A721" s="2" t="s">
        <v>2550</v>
      </c>
      <c r="B721" s="5">
        <v>116238944</v>
      </c>
      <c r="C721" s="2" t="s">
        <v>46</v>
      </c>
      <c r="D721" s="2" t="s">
        <v>2551</v>
      </c>
      <c r="E721" s="2" t="s">
        <v>2552</v>
      </c>
      <c r="F721" s="2" t="s">
        <v>49</v>
      </c>
      <c r="G721" s="2" t="s">
        <v>49</v>
      </c>
      <c r="H721" s="2" t="s">
        <v>50</v>
      </c>
      <c r="I721" s="2" t="s">
        <v>28</v>
      </c>
      <c r="J721" s="6"/>
      <c r="K721" s="2" t="s">
        <v>429</v>
      </c>
      <c r="L721" s="2" t="s">
        <v>182</v>
      </c>
      <c r="M721" s="2" t="s">
        <v>430</v>
      </c>
      <c r="N721" s="2" t="s">
        <v>429</v>
      </c>
      <c r="O721" s="2"/>
      <c r="P721" s="7">
        <v>963.40453393168798</v>
      </c>
      <c r="Q721" s="8">
        <v>964.14686393003706</v>
      </c>
      <c r="R721" s="9">
        <v>73</v>
      </c>
      <c r="S721" s="2" t="s">
        <v>2553</v>
      </c>
      <c r="T721" s="9">
        <v>4520</v>
      </c>
      <c r="U721" s="9">
        <v>2978</v>
      </c>
      <c r="V721" s="9">
        <v>2219</v>
      </c>
      <c r="W721" s="9">
        <v>4780</v>
      </c>
      <c r="X721" s="9">
        <v>4774</v>
      </c>
      <c r="Y721" s="9">
        <v>9182</v>
      </c>
      <c r="Z721" s="9">
        <v>16674</v>
      </c>
      <c r="AA721" s="9">
        <v>16674</v>
      </c>
      <c r="AB721" s="9">
        <v>3244</v>
      </c>
      <c r="AC721" s="9">
        <v>2291</v>
      </c>
      <c r="AD721" s="9">
        <v>3430</v>
      </c>
      <c r="AE721" s="7">
        <v>2.2192773985894598E-05</v>
      </c>
      <c r="AF721" s="7">
        <v>0.0013834516141965601</v>
      </c>
      <c r="AG721" s="7">
        <v>0.00091148528742986698</v>
      </c>
      <c r="AH721" s="7">
        <v>0.00067931411561263295</v>
      </c>
      <c r="AI721" s="7">
        <v>0.0014630917405359101</v>
      </c>
      <c r="AJ721" s="7">
        <v>0.0014612224408165899</v>
      </c>
      <c r="AK721" s="7">
        <v>0.0028106465032845902</v>
      </c>
      <c r="AL721" s="7">
        <v>0.0051041649484387204</v>
      </c>
      <c r="AM721" s="7">
        <v>0.0051041649484387204</v>
      </c>
      <c r="AN721" s="7">
        <v>0.00099298269258923499</v>
      </c>
      <c r="AO721" s="7">
        <v>0.00070137194837456801</v>
      </c>
      <c r="AP721" s="7">
        <v>0.00104983670265309</v>
      </c>
      <c r="AQ721" s="9">
        <v>35</v>
      </c>
    </row>
    <row r="722" spans="1:43" ht="15">
      <c r="A722" s="2" t="s">
        <v>2554</v>
      </c>
      <c r="B722" s="5">
        <v>4911040</v>
      </c>
      <c r="C722" s="2" t="s">
        <v>23</v>
      </c>
      <c r="D722" s="2" t="s">
        <v>2555</v>
      </c>
      <c r="E722" s="2" t="s">
        <v>2556</v>
      </c>
      <c r="F722" s="2" t="s">
        <v>26</v>
      </c>
      <c r="G722" s="2" t="s">
        <v>26</v>
      </c>
      <c r="H722" s="2" t="s">
        <v>27</v>
      </c>
      <c r="I722" s="2" t="s">
        <v>40</v>
      </c>
      <c r="J722" s="6"/>
      <c r="K722" s="2" t="s">
        <v>188</v>
      </c>
      <c r="L722" s="2" t="s">
        <v>30</v>
      </c>
      <c r="M722" s="2" t="s">
        <v>189</v>
      </c>
      <c r="N722" s="2" t="s">
        <v>188</v>
      </c>
      <c r="O722" s="2"/>
      <c r="P722" s="7">
        <v>148.95177786240799</v>
      </c>
      <c r="Q722" s="8">
        <v>314.93904618603199</v>
      </c>
      <c r="R722" s="9">
        <v>0</v>
      </c>
      <c r="S722" s="2" t="s">
        <v>2557</v>
      </c>
      <c r="T722" s="9">
        <v>1</v>
      </c>
      <c r="U722" s="9">
        <v>1169</v>
      </c>
      <c r="V722" s="9">
        <v>9126</v>
      </c>
      <c r="W722" s="9">
        <v>3674</v>
      </c>
      <c r="X722" s="9">
        <v>3659</v>
      </c>
      <c r="Y722" s="9">
        <v>4530</v>
      </c>
      <c r="Z722" s="9">
        <v>3200</v>
      </c>
      <c r="AA722" s="9">
        <v>3311</v>
      </c>
      <c r="AB722" s="9">
        <v>15</v>
      </c>
      <c r="AC722" s="9">
        <v>8558</v>
      </c>
      <c r="AD722" s="9">
        <v>6183</v>
      </c>
      <c r="AE722" s="7">
        <v>0</v>
      </c>
      <c r="AF722" s="7">
        <v>9.1935303692600801E-07</v>
      </c>
      <c r="AG722" s="7">
        <v>0.0016113960354720599</v>
      </c>
      <c r="AH722" s="7">
        <v>0.012584722059764899</v>
      </c>
      <c r="AI722" s="7">
        <v>0.0050659619914694004</v>
      </c>
      <c r="AJ722" s="7">
        <v>0.0050456981435035297</v>
      </c>
      <c r="AK722" s="7">
        <v>0.0062465099880030499</v>
      </c>
      <c r="AL722" s="7">
        <v>0.0044127892090348401</v>
      </c>
      <c r="AM722" s="7">
        <v>0.0045654097077995597</v>
      </c>
      <c r="AN722" s="7">
        <v>2.1145119849298198E-05</v>
      </c>
      <c r="AO722" s="7">
        <v>0.0118018253631867</v>
      </c>
      <c r="AP722" s="7">
        <v>0.0085269845892139307</v>
      </c>
      <c r="AQ722" s="9">
        <v>0</v>
      </c>
    </row>
    <row r="723" spans="1:43" ht="15">
      <c r="A723" s="2" t="s">
        <v>2558</v>
      </c>
      <c r="B723" s="5">
        <v>4772840</v>
      </c>
      <c r="C723" s="2" t="s">
        <v>23</v>
      </c>
      <c r="D723" s="2" t="s">
        <v>2559</v>
      </c>
      <c r="E723" s="2" t="s">
        <v>2560</v>
      </c>
      <c r="F723" s="2" t="s">
        <v>26</v>
      </c>
      <c r="G723" s="2" t="s">
        <v>26</v>
      </c>
      <c r="H723" s="2" t="s">
        <v>27</v>
      </c>
      <c r="I723" s="2" t="s">
        <v>28</v>
      </c>
      <c r="J723" s="6"/>
      <c r="K723" s="2" t="s">
        <v>55</v>
      </c>
      <c r="L723" s="2" t="s">
        <v>56</v>
      </c>
      <c r="M723" s="2" t="s">
        <v>55</v>
      </c>
      <c r="N723" s="2"/>
      <c r="O723" s="2"/>
      <c r="P723" s="7">
        <v>53.641759471306699</v>
      </c>
      <c r="Q723" s="8">
        <v>53.574858736480003</v>
      </c>
      <c r="R723" s="9">
        <v>42</v>
      </c>
      <c r="S723" s="2" t="s">
        <v>2561</v>
      </c>
      <c r="T723" s="9">
        <v>122</v>
      </c>
      <c r="U723" s="9">
        <v>753</v>
      </c>
      <c r="V723" s="9">
        <v>776</v>
      </c>
      <c r="W723" s="9">
        <v>777</v>
      </c>
      <c r="X723" s="9">
        <v>774</v>
      </c>
      <c r="Y723" s="9">
        <v>965</v>
      </c>
      <c r="Z723" s="9">
        <v>1177</v>
      </c>
      <c r="AA723" s="9">
        <v>1134</v>
      </c>
      <c r="AB723" s="9">
        <v>838</v>
      </c>
      <c r="AC723" s="9">
        <v>760</v>
      </c>
      <c r="AD723" s="9">
        <v>788</v>
      </c>
      <c r="AE723" s="7">
        <v>0.000628889776854634</v>
      </c>
      <c r="AF723" s="7">
        <v>0.00182178387739636</v>
      </c>
      <c r="AG723" s="7">
        <v>0.011271975792095899</v>
      </c>
      <c r="AH723" s="7">
        <v>0.011622528811312399</v>
      </c>
      <c r="AI723" s="7">
        <v>0.011629108874283501</v>
      </c>
      <c r="AJ723" s="7">
        <v>0.0115825924387863</v>
      </c>
      <c r="AK723" s="7">
        <v>0.014452413707804999</v>
      </c>
      <c r="AL723" s="7">
        <v>0.017616882258294199</v>
      </c>
      <c r="AM723" s="7">
        <v>0.0169869274505372</v>
      </c>
      <c r="AN723" s="7">
        <v>0.012547848404861501</v>
      </c>
      <c r="AO723" s="7">
        <v>0.0113818739942216</v>
      </c>
      <c r="AP723" s="7">
        <v>0.0118004983993021</v>
      </c>
      <c r="AQ723" s="9">
        <v>2</v>
      </c>
    </row>
    <row r="724" spans="1:43" ht="15">
      <c r="A724" s="2" t="s">
        <v>2562</v>
      </c>
      <c r="B724" s="5">
        <v>4863433</v>
      </c>
      <c r="C724" s="2" t="s">
        <v>23</v>
      </c>
      <c r="D724" s="2" t="s">
        <v>2563</v>
      </c>
      <c r="E724" s="2" t="s">
        <v>2564</v>
      </c>
      <c r="F724" s="2" t="s">
        <v>26</v>
      </c>
      <c r="G724" s="2" t="s">
        <v>26</v>
      </c>
      <c r="H724" s="2" t="s">
        <v>27</v>
      </c>
      <c r="I724" s="2" t="s">
        <v>28</v>
      </c>
      <c r="J724" s="6"/>
      <c r="K724" s="2" t="s">
        <v>443</v>
      </c>
      <c r="L724" s="2" t="s">
        <v>99</v>
      </c>
      <c r="M724" s="2" t="s">
        <v>100</v>
      </c>
      <c r="N724" s="2" t="s">
        <v>443</v>
      </c>
      <c r="O724" s="2"/>
      <c r="P724" s="7">
        <v>8.3681094399999996</v>
      </c>
      <c r="Q724" s="8">
        <v>7.1756863633599997</v>
      </c>
      <c r="R724" s="9">
        <v>0</v>
      </c>
      <c r="S724" s="2" t="s">
        <v>2565</v>
      </c>
      <c r="T724" s="9">
        <v>0</v>
      </c>
      <c r="U724" s="9">
        <v>0</v>
      </c>
      <c r="V724" s="9">
        <v>0</v>
      </c>
      <c r="W724" s="9">
        <v>23</v>
      </c>
      <c r="X724" s="9">
        <v>23</v>
      </c>
      <c r="Y724" s="9">
        <v>114</v>
      </c>
      <c r="Z724" s="9">
        <v>81</v>
      </c>
      <c r="AA724" s="9">
        <v>59</v>
      </c>
      <c r="AB724" s="9">
        <v>0</v>
      </c>
      <c r="AC724" s="9">
        <v>0</v>
      </c>
      <c r="AD724" s="9">
        <v>0</v>
      </c>
      <c r="AE724" s="7">
        <v>0</v>
      </c>
      <c r="AF724" s="7">
        <v>0</v>
      </c>
      <c r="AG724" s="7">
        <v>0</v>
      </c>
      <c r="AH724" s="7">
        <v>0</v>
      </c>
      <c r="AI724" s="7">
        <v>0.00056907630522088303</v>
      </c>
      <c r="AJ724" s="7">
        <v>0.00056680000000000001</v>
      </c>
      <c r="AK724" s="7">
        <v>0.0028402414486921501</v>
      </c>
      <c r="AL724" s="7">
        <v>0.0020264745308310999</v>
      </c>
      <c r="AM724" s="7">
        <v>0.0014706425702811199</v>
      </c>
      <c r="AN724" s="7">
        <v>0</v>
      </c>
      <c r="AO724" s="7">
        <v>0</v>
      </c>
      <c r="AP724" s="7">
        <v>0</v>
      </c>
      <c r="AQ724" s="9">
        <v>0</v>
      </c>
    </row>
    <row r="725" spans="1:43" ht="15">
      <c r="A725" s="2" t="s">
        <v>2566</v>
      </c>
      <c r="B725" s="5">
        <v>4772465</v>
      </c>
      <c r="C725" s="2" t="s">
        <v>23</v>
      </c>
      <c r="D725" s="2" t="s">
        <v>2567</v>
      </c>
      <c r="E725" s="2" t="s">
        <v>2568</v>
      </c>
      <c r="F725" s="2" t="s">
        <v>26</v>
      </c>
      <c r="G725" s="2" t="s">
        <v>26</v>
      </c>
      <c r="H725" s="2" t="s">
        <v>27</v>
      </c>
      <c r="I725" s="2" t="s">
        <v>28</v>
      </c>
      <c r="J725" s="6"/>
      <c r="K725" s="2" t="s">
        <v>55</v>
      </c>
      <c r="L725" s="2" t="s">
        <v>56</v>
      </c>
      <c r="M725" s="2" t="s">
        <v>55</v>
      </c>
      <c r="N725" s="2"/>
      <c r="O725" s="2"/>
      <c r="P725" s="7">
        <v>40.112944502399998</v>
      </c>
      <c r="Q725" s="8">
        <v>38.112736548416002</v>
      </c>
      <c r="R725" s="9">
        <v>0</v>
      </c>
      <c r="S725" s="2" t="s">
        <v>2569</v>
      </c>
      <c r="T725" s="9">
        <v>0</v>
      </c>
      <c r="U725" s="9">
        <v>0</v>
      </c>
      <c r="V725" s="9">
        <v>72</v>
      </c>
      <c r="W725" s="9">
        <v>55</v>
      </c>
      <c r="X725" s="9">
        <v>55</v>
      </c>
      <c r="Y725" s="9">
        <v>82</v>
      </c>
      <c r="Z725" s="9">
        <v>55</v>
      </c>
      <c r="AA725" s="9">
        <v>41</v>
      </c>
      <c r="AB725" s="9">
        <v>0</v>
      </c>
      <c r="AC725" s="9">
        <v>75</v>
      </c>
      <c r="AD725" s="9">
        <v>37</v>
      </c>
      <c r="AE725" s="7">
        <v>0</v>
      </c>
      <c r="AF725" s="7">
        <v>0</v>
      </c>
      <c r="AG725" s="7">
        <v>0</v>
      </c>
      <c r="AH725" s="7">
        <v>0.00154998647186147</v>
      </c>
      <c r="AI725" s="7">
        <v>0.0011907369738695</v>
      </c>
      <c r="AJ725" s="7">
        <v>0.00118597402597403</v>
      </c>
      <c r="AK725" s="7">
        <v>0.0017813373748987399</v>
      </c>
      <c r="AL725" s="7">
        <v>0.0011867622993628399</v>
      </c>
      <c r="AM725" s="7">
        <v>0.00089382638780229095</v>
      </c>
      <c r="AN725" s="7">
        <v>0</v>
      </c>
      <c r="AO725" s="7">
        <v>0.0016262153147399</v>
      </c>
      <c r="AP725" s="7">
        <v>0.00079999301773495297</v>
      </c>
      <c r="AQ725" s="9">
        <v>0</v>
      </c>
    </row>
    <row r="726" spans="1:43" ht="15">
      <c r="A726" s="2" t="s">
        <v>2570</v>
      </c>
      <c r="B726" s="5">
        <v>4914169</v>
      </c>
      <c r="C726" s="2" t="s">
        <v>35</v>
      </c>
      <c r="D726" s="2" t="s">
        <v>2571</v>
      </c>
      <c r="E726" s="2" t="s">
        <v>2572</v>
      </c>
      <c r="F726" s="2" t="s">
        <v>38</v>
      </c>
      <c r="G726" s="2" t="s">
        <v>38</v>
      </c>
      <c r="H726" s="2" t="s">
        <v>39</v>
      </c>
      <c r="I726" s="2" t="s">
        <v>28</v>
      </c>
      <c r="J726" s="6"/>
      <c r="K726" s="2" t="s">
        <v>188</v>
      </c>
      <c r="L726" s="2" t="s">
        <v>30</v>
      </c>
      <c r="M726" s="2" t="s">
        <v>189</v>
      </c>
      <c r="N726" s="2" t="s">
        <v>188</v>
      </c>
      <c r="O726" s="2"/>
      <c r="P726" s="7">
        <v>9.2010723750000007</v>
      </c>
      <c r="Q726" s="8">
        <v>8.3909538111059998</v>
      </c>
      <c r="R726" s="9">
        <v>0</v>
      </c>
      <c r="S726" s="2" t="s">
        <v>2573</v>
      </c>
      <c r="T726" s="9">
        <v>0</v>
      </c>
      <c r="U726" s="9">
        <v>0</v>
      </c>
      <c r="V726" s="9">
        <v>0</v>
      </c>
      <c r="W726" s="9">
        <v>0</v>
      </c>
      <c r="X726" s="9">
        <v>0</v>
      </c>
      <c r="Y726" s="9">
        <v>0</v>
      </c>
      <c r="Z726" s="9">
        <v>0</v>
      </c>
      <c r="AA726" s="9">
        <v>0</v>
      </c>
      <c r="AB726" s="9">
        <v>0</v>
      </c>
      <c r="AC726" s="9">
        <v>0</v>
      </c>
      <c r="AD726" s="9">
        <v>0</v>
      </c>
      <c r="AE726" s="7">
        <v>0</v>
      </c>
      <c r="AF726" s="7">
        <v>0</v>
      </c>
      <c r="AG726" s="7">
        <v>0</v>
      </c>
      <c r="AH726" s="7">
        <v>0</v>
      </c>
      <c r="AI726" s="7">
        <v>0</v>
      </c>
      <c r="AJ726" s="7">
        <v>0</v>
      </c>
      <c r="AK726" s="7">
        <v>0</v>
      </c>
      <c r="AL726" s="7">
        <v>0</v>
      </c>
      <c r="AM726" s="7">
        <v>0</v>
      </c>
      <c r="AN726" s="7">
        <v>0</v>
      </c>
      <c r="AO726" s="7">
        <v>0</v>
      </c>
      <c r="AP726" s="7">
        <v>0</v>
      </c>
      <c r="AQ726" s="9">
        <v>0</v>
      </c>
    </row>
    <row r="727" spans="1:43" ht="15">
      <c r="A727" s="2" t="s">
        <v>2574</v>
      </c>
      <c r="B727" s="5">
        <v>6624827</v>
      </c>
      <c r="C727" s="2" t="s">
        <v>23</v>
      </c>
      <c r="D727" s="2" t="s">
        <v>2575</v>
      </c>
      <c r="E727" s="2" t="s">
        <v>2576</v>
      </c>
      <c r="F727" s="2" t="s">
        <v>26</v>
      </c>
      <c r="G727" s="2" t="s">
        <v>26</v>
      </c>
      <c r="H727" s="2" t="s">
        <v>27</v>
      </c>
      <c r="I727" s="2" t="s">
        <v>40</v>
      </c>
      <c r="J727" s="6"/>
      <c r="K727" s="2" t="s">
        <v>211</v>
      </c>
      <c r="L727" s="2" t="s">
        <v>30</v>
      </c>
      <c r="M727" s="2" t="s">
        <v>189</v>
      </c>
      <c r="N727" s="2" t="s">
        <v>211</v>
      </c>
      <c r="O727" s="2"/>
      <c r="P727" s="7">
        <v>4.6188448765799901</v>
      </c>
      <c r="Q727" s="8">
        <v>37.526464987955997</v>
      </c>
      <c r="R727" s="9">
        <v>0</v>
      </c>
      <c r="S727" s="2" t="s">
        <v>2577</v>
      </c>
      <c r="T727" s="9">
        <v>0</v>
      </c>
      <c r="U727" s="9">
        <v>0</v>
      </c>
      <c r="V727" s="9">
        <v>0</v>
      </c>
      <c r="W727" s="9">
        <v>0</v>
      </c>
      <c r="X727" s="9">
        <v>0</v>
      </c>
      <c r="Y727" s="9">
        <v>0</v>
      </c>
      <c r="Z727" s="9">
        <v>0</v>
      </c>
      <c r="AA727" s="9">
        <v>48239</v>
      </c>
      <c r="AB727" s="9">
        <v>0</v>
      </c>
      <c r="AC727" s="9">
        <v>0</v>
      </c>
      <c r="AD727" s="9">
        <v>0</v>
      </c>
      <c r="AE727" s="7">
        <v>0</v>
      </c>
      <c r="AF727" s="7">
        <v>0</v>
      </c>
      <c r="AG727" s="7">
        <v>0</v>
      </c>
      <c r="AH727" s="7">
        <v>0</v>
      </c>
      <c r="AI727" s="7">
        <v>0</v>
      </c>
      <c r="AJ727" s="7">
        <v>0</v>
      </c>
      <c r="AK727" s="7">
        <v>0</v>
      </c>
      <c r="AL727" s="7">
        <v>0</v>
      </c>
      <c r="AM727" s="7">
        <v>0.080727771405168403</v>
      </c>
      <c r="AN727" s="7">
        <v>0</v>
      </c>
      <c r="AO727" s="7">
        <v>0</v>
      </c>
      <c r="AP727" s="7">
        <v>0</v>
      </c>
      <c r="AQ727" s="9">
        <v>0</v>
      </c>
    </row>
    <row r="728" spans="1:43" ht="15">
      <c r="A728" s="2" t="s">
        <v>2578</v>
      </c>
      <c r="B728" s="5">
        <v>4912648</v>
      </c>
      <c r="C728" s="2" t="s">
        <v>23</v>
      </c>
      <c r="D728" s="2" t="s">
        <v>2579</v>
      </c>
      <c r="E728" s="2" t="s">
        <v>2580</v>
      </c>
      <c r="F728" s="2" t="s">
        <v>26</v>
      </c>
      <c r="G728" s="2" t="s">
        <v>26</v>
      </c>
      <c r="H728" s="2" t="s">
        <v>27</v>
      </c>
      <c r="I728" s="2" t="s">
        <v>28</v>
      </c>
      <c r="J728" s="6"/>
      <c r="K728" s="2" t="s">
        <v>211</v>
      </c>
      <c r="L728" s="2" t="s">
        <v>30</v>
      </c>
      <c r="M728" s="2" t="s">
        <v>189</v>
      </c>
      <c r="N728" s="2" t="s">
        <v>211</v>
      </c>
      <c r="O728" s="2"/>
      <c r="P728" s="7">
        <v>14.4244824014719</v>
      </c>
      <c r="Q728" s="8">
        <v>8.4213206436799997</v>
      </c>
      <c r="R728" s="9">
        <v>0</v>
      </c>
      <c r="S728" s="2" t="s">
        <v>2581</v>
      </c>
      <c r="T728" s="9">
        <v>0</v>
      </c>
      <c r="U728" s="9">
        <v>54</v>
      </c>
      <c r="V728" s="9">
        <v>50</v>
      </c>
      <c r="W728" s="9">
        <v>17</v>
      </c>
      <c r="X728" s="9">
        <v>17</v>
      </c>
      <c r="Y728" s="9">
        <v>8</v>
      </c>
      <c r="Z728" s="9">
        <v>6</v>
      </c>
      <c r="AA728" s="9">
        <v>4</v>
      </c>
      <c r="AB728" s="9">
        <v>62</v>
      </c>
      <c r="AC728" s="9">
        <v>52</v>
      </c>
      <c r="AD728" s="9">
        <v>26</v>
      </c>
      <c r="AE728" s="7">
        <v>0</v>
      </c>
      <c r="AF728" s="7">
        <v>0</v>
      </c>
      <c r="AG728" s="7">
        <v>0.0024636370207899998</v>
      </c>
      <c r="AH728" s="7">
        <v>0.0022599131902246799</v>
      </c>
      <c r="AI728" s="7">
        <v>0.00076352198308820901</v>
      </c>
      <c r="AJ728" s="7">
        <v>0.00076046789515585604</v>
      </c>
      <c r="AK728" s="7">
        <v>0.00038252912231179898</v>
      </c>
      <c r="AL728" s="7">
        <v>0.00025484849033373202</v>
      </c>
      <c r="AM728" s="7">
        <v>0.000185583333688426</v>
      </c>
      <c r="AN728" s="7">
        <v>0.00281558516661715</v>
      </c>
      <c r="AO728" s="7">
        <v>0.0023710564618750702</v>
      </c>
      <c r="AP728" s="7">
        <v>0.0011664068078579</v>
      </c>
      <c r="AQ728" s="9">
        <v>0</v>
      </c>
    </row>
    <row r="729" spans="1:43" ht="15">
      <c r="A729" s="2" t="s">
        <v>2582</v>
      </c>
      <c r="B729" s="5">
        <v>108019765</v>
      </c>
      <c r="C729" s="2" t="s">
        <v>23</v>
      </c>
      <c r="D729" s="2" t="s">
        <v>2583</v>
      </c>
      <c r="E729" s="2" t="s">
        <v>2584</v>
      </c>
      <c r="F729" s="2" t="s">
        <v>26</v>
      </c>
      <c r="G729" s="2" t="s">
        <v>26</v>
      </c>
      <c r="H729" s="2" t="s">
        <v>27</v>
      </c>
      <c r="I729" s="2" t="s">
        <v>28</v>
      </c>
      <c r="J729" s="6"/>
      <c r="K729" s="2" t="s">
        <v>55</v>
      </c>
      <c r="L729" s="2" t="s">
        <v>56</v>
      </c>
      <c r="M729" s="2" t="s">
        <v>55</v>
      </c>
      <c r="N729" s="2"/>
      <c r="O729" s="2"/>
      <c r="P729" s="6" t="s">
        <v>57</v>
      </c>
      <c r="Q729" s="6" t="s">
        <v>57</v>
      </c>
      <c r="R729" s="9">
        <v>0</v>
      </c>
      <c r="S729" s="2"/>
      <c r="T729" s="9">
        <v>0</v>
      </c>
      <c r="U729" s="9">
        <v>0</v>
      </c>
      <c r="V729" s="9">
        <v>0</v>
      </c>
      <c r="W729" s="9">
        <v>415</v>
      </c>
      <c r="X729" s="9">
        <v>413</v>
      </c>
      <c r="Y729" s="9">
        <v>208</v>
      </c>
      <c r="Z729" s="9">
        <v>316</v>
      </c>
      <c r="AA729" s="9">
        <v>316</v>
      </c>
      <c r="AB729" s="9">
        <v>0</v>
      </c>
      <c r="AC729" s="9">
        <v>0</v>
      </c>
      <c r="AD729" s="9">
        <v>0</v>
      </c>
      <c r="AE729" s="6" t="s">
        <v>57</v>
      </c>
      <c r="AF729" s="6" t="s">
        <v>57</v>
      </c>
      <c r="AG729" s="6" t="s">
        <v>57</v>
      </c>
      <c r="AH729" s="6" t="s">
        <v>57</v>
      </c>
      <c r="AI729" s="6" t="s">
        <v>57</v>
      </c>
      <c r="AJ729" s="6" t="s">
        <v>57</v>
      </c>
      <c r="AK729" s="6" t="s">
        <v>57</v>
      </c>
      <c r="AL729" s="6" t="s">
        <v>57</v>
      </c>
      <c r="AM729" s="6" t="s">
        <v>57</v>
      </c>
      <c r="AN729" s="6" t="s">
        <v>57</v>
      </c>
      <c r="AO729" s="6" t="s">
        <v>57</v>
      </c>
      <c r="AP729" s="6" t="s">
        <v>57</v>
      </c>
      <c r="AQ729" s="9">
        <v>0</v>
      </c>
    </row>
    <row r="730" spans="1:43" ht="15">
      <c r="A730" s="2" t="s">
        <v>2585</v>
      </c>
      <c r="B730" s="5">
        <v>4177817</v>
      </c>
      <c r="C730" s="2" t="s">
        <v>46</v>
      </c>
      <c r="D730" s="2" t="s">
        <v>2586</v>
      </c>
      <c r="E730" s="2" t="s">
        <v>2587</v>
      </c>
      <c r="F730" s="2" t="s">
        <v>49</v>
      </c>
      <c r="G730" s="2" t="s">
        <v>49</v>
      </c>
      <c r="H730" s="2" t="s">
        <v>50</v>
      </c>
      <c r="I730" s="2" t="s">
        <v>40</v>
      </c>
      <c r="J730" s="6"/>
      <c r="K730" s="2" t="s">
        <v>2588</v>
      </c>
      <c r="L730" s="2" t="s">
        <v>56</v>
      </c>
      <c r="M730" s="2" t="s">
        <v>602</v>
      </c>
      <c r="N730" s="2" t="s">
        <v>2589</v>
      </c>
      <c r="O730" s="2" t="s">
        <v>2588</v>
      </c>
      <c r="P730" s="7">
        <v>195.37720335044901</v>
      </c>
      <c r="Q730" s="8">
        <v>177.85388531984901</v>
      </c>
      <c r="R730" s="9">
        <v>0</v>
      </c>
      <c r="S730" s="2" t="s">
        <v>2590</v>
      </c>
      <c r="T730" s="9">
        <v>0</v>
      </c>
      <c r="U730" s="9">
        <v>0</v>
      </c>
      <c r="V730" s="9">
        <v>237</v>
      </c>
      <c r="W730" s="9">
        <v>1069</v>
      </c>
      <c r="X730" s="9">
        <v>1065</v>
      </c>
      <c r="Y730" s="9">
        <v>604</v>
      </c>
      <c r="Z730" s="9">
        <v>551</v>
      </c>
      <c r="AA730" s="9">
        <v>384</v>
      </c>
      <c r="AB730" s="9">
        <v>0</v>
      </c>
      <c r="AC730" s="9">
        <v>248</v>
      </c>
      <c r="AD730" s="9">
        <v>122</v>
      </c>
      <c r="AE730" s="7">
        <v>0</v>
      </c>
      <c r="AF730" s="7">
        <v>0</v>
      </c>
      <c r="AG730" s="7">
        <v>0</v>
      </c>
      <c r="AH730" s="7">
        <v>0.00013895885781609</v>
      </c>
      <c r="AI730" s="7">
        <v>0.00062739672048228604</v>
      </c>
      <c r="AJ730" s="7">
        <v>0.00062488713360035698</v>
      </c>
      <c r="AK730" s="7">
        <v>0.00035470074043682199</v>
      </c>
      <c r="AL730" s="7">
        <v>0.00032322995120771699</v>
      </c>
      <c r="AM730" s="7">
        <v>0.00022531395093683201</v>
      </c>
      <c r="AN730" s="7">
        <v>0</v>
      </c>
      <c r="AO730" s="7">
        <v>0.00014579290000376699</v>
      </c>
      <c r="AP730" s="7">
        <v>7.1720700808304601E-05</v>
      </c>
      <c r="AQ730" s="9">
        <v>0</v>
      </c>
    </row>
    <row r="731" spans="1:43" ht="15">
      <c r="A731" s="2" t="s">
        <v>2591</v>
      </c>
      <c r="B731" s="5">
        <v>4916889</v>
      </c>
      <c r="C731" s="2" t="s">
        <v>46</v>
      </c>
      <c r="D731" s="2" t="s">
        <v>2592</v>
      </c>
      <c r="E731" s="2" t="s">
        <v>2593</v>
      </c>
      <c r="F731" s="2" t="s">
        <v>49</v>
      </c>
      <c r="G731" s="2" t="s">
        <v>49</v>
      </c>
      <c r="H731" s="2" t="s">
        <v>50</v>
      </c>
      <c r="I731" s="2" t="s">
        <v>28</v>
      </c>
      <c r="J731" s="6"/>
      <c r="K731" s="2" t="s">
        <v>211</v>
      </c>
      <c r="L731" s="2" t="s">
        <v>30</v>
      </c>
      <c r="M731" s="2" t="s">
        <v>189</v>
      </c>
      <c r="N731" s="2" t="s">
        <v>211</v>
      </c>
      <c r="O731" s="2"/>
      <c r="P731" s="7">
        <v>16.612008008308099</v>
      </c>
      <c r="Q731" s="8">
        <v>25.557570230505199</v>
      </c>
      <c r="R731" s="9">
        <v>0</v>
      </c>
      <c r="S731" s="2" t="s">
        <v>2594</v>
      </c>
      <c r="T731" s="9">
        <v>0</v>
      </c>
      <c r="U731" s="9">
        <v>0</v>
      </c>
      <c r="V731" s="9">
        <v>0</v>
      </c>
      <c r="W731" s="9">
        <v>0</v>
      </c>
      <c r="X731" s="9">
        <v>0</v>
      </c>
      <c r="Y731" s="9">
        <v>0</v>
      </c>
      <c r="Z731" s="9">
        <v>0</v>
      </c>
      <c r="AA731" s="9">
        <v>0</v>
      </c>
      <c r="AB731" s="9">
        <v>0</v>
      </c>
      <c r="AC731" s="9">
        <v>0</v>
      </c>
      <c r="AD731" s="9">
        <v>0</v>
      </c>
      <c r="AE731" s="7">
        <v>0</v>
      </c>
      <c r="AF731" s="7">
        <v>0</v>
      </c>
      <c r="AG731" s="7">
        <v>0</v>
      </c>
      <c r="AH731" s="7">
        <v>0</v>
      </c>
      <c r="AI731" s="7">
        <v>0</v>
      </c>
      <c r="AJ731" s="7">
        <v>0</v>
      </c>
      <c r="AK731" s="7">
        <v>0</v>
      </c>
      <c r="AL731" s="7">
        <v>0</v>
      </c>
      <c r="AM731" s="7">
        <v>0</v>
      </c>
      <c r="AN731" s="7">
        <v>0</v>
      </c>
      <c r="AO731" s="7">
        <v>0</v>
      </c>
      <c r="AP731" s="7">
        <v>0</v>
      </c>
      <c r="AQ731" s="9">
        <v>0</v>
      </c>
    </row>
    <row r="732" spans="1:43" ht="15">
      <c r="A732" s="2" t="s">
        <v>2595</v>
      </c>
      <c r="B732" s="5">
        <v>19119717</v>
      </c>
      <c r="C732" s="2" t="s">
        <v>23</v>
      </c>
      <c r="D732" s="2" t="s">
        <v>2596</v>
      </c>
      <c r="E732" s="2" t="s">
        <v>2597</v>
      </c>
      <c r="F732" s="2" t="s">
        <v>26</v>
      </c>
      <c r="G732" s="2" t="s">
        <v>26</v>
      </c>
      <c r="H732" s="2" t="s">
        <v>27</v>
      </c>
      <c r="I732" s="2" t="s">
        <v>28</v>
      </c>
      <c r="J732" s="6"/>
      <c r="K732" s="2" t="s">
        <v>55</v>
      </c>
      <c r="L732" s="2" t="s">
        <v>56</v>
      </c>
      <c r="M732" s="2" t="s">
        <v>55</v>
      </c>
      <c r="N732" s="2"/>
      <c r="O732" s="2"/>
      <c r="P732" s="7">
        <v>75.572162219008007</v>
      </c>
      <c r="Q732" s="6" t="s">
        <v>57</v>
      </c>
      <c r="R732" s="9">
        <v>356</v>
      </c>
      <c r="S732" s="2"/>
      <c r="T732" s="9">
        <v>239</v>
      </c>
      <c r="U732" s="9">
        <v>65</v>
      </c>
      <c r="V732" s="9">
        <v>285</v>
      </c>
      <c r="W732" s="9">
        <v>162</v>
      </c>
      <c r="X732" s="9">
        <v>161</v>
      </c>
      <c r="Y732" s="9">
        <v>162</v>
      </c>
      <c r="Z732" s="9">
        <v>173</v>
      </c>
      <c r="AA732" s="9">
        <v>615</v>
      </c>
      <c r="AB732" s="9">
        <v>68</v>
      </c>
      <c r="AC732" s="9">
        <v>240</v>
      </c>
      <c r="AD732" s="9">
        <v>236</v>
      </c>
      <c r="AE732" s="6" t="s">
        <v>57</v>
      </c>
      <c r="AF732" s="6" t="s">
        <v>57</v>
      </c>
      <c r="AG732" s="6" t="s">
        <v>57</v>
      </c>
      <c r="AH732" s="6" t="s">
        <v>57</v>
      </c>
      <c r="AI732" s="6" t="s">
        <v>57</v>
      </c>
      <c r="AJ732" s="6" t="s">
        <v>57</v>
      </c>
      <c r="AK732" s="6" t="s">
        <v>57</v>
      </c>
      <c r="AL732" s="6" t="s">
        <v>57</v>
      </c>
      <c r="AM732" s="6" t="s">
        <v>57</v>
      </c>
      <c r="AN732" s="6" t="s">
        <v>57</v>
      </c>
      <c r="AO732" s="6" t="s">
        <v>57</v>
      </c>
      <c r="AP732" s="6" t="s">
        <v>57</v>
      </c>
      <c r="AQ732" s="9">
        <v>712</v>
      </c>
    </row>
    <row r="733" spans="1:43" ht="15">
      <c r="A733" s="2" t="s">
        <v>2598</v>
      </c>
      <c r="B733" s="5">
        <v>100414619</v>
      </c>
      <c r="C733" s="2" t="s">
        <v>23</v>
      </c>
      <c r="D733" s="2" t="s">
        <v>2599</v>
      </c>
      <c r="E733" s="2" t="s">
        <v>2600</v>
      </c>
      <c r="F733" s="2" t="s">
        <v>26</v>
      </c>
      <c r="G733" s="2" t="s">
        <v>26</v>
      </c>
      <c r="H733" s="2" t="s">
        <v>27</v>
      </c>
      <c r="I733" s="2" t="s">
        <v>28</v>
      </c>
      <c r="J733" s="6"/>
      <c r="K733" s="2" t="s">
        <v>55</v>
      </c>
      <c r="L733" s="2" t="s">
        <v>56</v>
      </c>
      <c r="M733" s="2" t="s">
        <v>55</v>
      </c>
      <c r="N733" s="2"/>
      <c r="O733" s="2"/>
      <c r="P733" s="6" t="s">
        <v>57</v>
      </c>
      <c r="Q733" s="6" t="s">
        <v>57</v>
      </c>
      <c r="R733" s="9">
        <v>0</v>
      </c>
      <c r="S733" s="2"/>
      <c r="T733" s="9">
        <v>0</v>
      </c>
      <c r="U733" s="9">
        <v>0</v>
      </c>
      <c r="V733" s="9">
        <v>0</v>
      </c>
      <c r="W733" s="9">
        <v>0</v>
      </c>
      <c r="X733" s="9">
        <v>0</v>
      </c>
      <c r="Y733" s="9">
        <v>0</v>
      </c>
      <c r="Z733" s="9">
        <v>0</v>
      </c>
      <c r="AA733" s="9">
        <v>0</v>
      </c>
      <c r="AB733" s="9">
        <v>0</v>
      </c>
      <c r="AC733" s="9">
        <v>0</v>
      </c>
      <c r="AD733" s="9">
        <v>0</v>
      </c>
      <c r="AE733" s="6" t="s">
        <v>57</v>
      </c>
      <c r="AF733" s="6" t="s">
        <v>57</v>
      </c>
      <c r="AG733" s="6" t="s">
        <v>57</v>
      </c>
      <c r="AH733" s="6" t="s">
        <v>57</v>
      </c>
      <c r="AI733" s="6" t="s">
        <v>57</v>
      </c>
      <c r="AJ733" s="6" t="s">
        <v>57</v>
      </c>
      <c r="AK733" s="6" t="s">
        <v>57</v>
      </c>
      <c r="AL733" s="6" t="s">
        <v>57</v>
      </c>
      <c r="AM733" s="6" t="s">
        <v>57</v>
      </c>
      <c r="AN733" s="6" t="s">
        <v>57</v>
      </c>
      <c r="AO733" s="6" t="s">
        <v>57</v>
      </c>
      <c r="AP733" s="6" t="s">
        <v>57</v>
      </c>
      <c r="AQ733" s="9">
        <v>0</v>
      </c>
    </row>
    <row r="734" spans="1:43" ht="15">
      <c r="A734" s="2" t="s">
        <v>2601</v>
      </c>
      <c r="B734" s="5">
        <v>5734985</v>
      </c>
      <c r="C734" s="2" t="s">
        <v>23</v>
      </c>
      <c r="D734" s="2" t="s">
        <v>2602</v>
      </c>
      <c r="E734" s="2" t="s">
        <v>2603</v>
      </c>
      <c r="F734" s="2" t="s">
        <v>26</v>
      </c>
      <c r="G734" s="2" t="s">
        <v>26</v>
      </c>
      <c r="H734" s="2" t="s">
        <v>27</v>
      </c>
      <c r="I734" s="2" t="s">
        <v>28</v>
      </c>
      <c r="J734" s="6"/>
      <c r="K734" s="2" t="s">
        <v>55</v>
      </c>
      <c r="L734" s="2" t="s">
        <v>56</v>
      </c>
      <c r="M734" s="2" t="s">
        <v>55</v>
      </c>
      <c r="N734" s="2"/>
      <c r="O734" s="2"/>
      <c r="P734" s="7">
        <v>37.462992676964397</v>
      </c>
      <c r="Q734" s="6" t="s">
        <v>57</v>
      </c>
      <c r="R734" s="9">
        <v>0</v>
      </c>
      <c r="S734" s="2"/>
      <c r="T734" s="9">
        <v>0</v>
      </c>
      <c r="U734" s="9">
        <v>31</v>
      </c>
      <c r="V734" s="9">
        <v>2188</v>
      </c>
      <c r="W734" s="9">
        <v>4353</v>
      </c>
      <c r="X734" s="9">
        <v>4336</v>
      </c>
      <c r="Y734" s="9">
        <v>4939</v>
      </c>
      <c r="Z734" s="9">
        <v>4480</v>
      </c>
      <c r="AA734" s="9">
        <v>9242</v>
      </c>
      <c r="AB734" s="9">
        <v>28</v>
      </c>
      <c r="AC734" s="9">
        <v>2293</v>
      </c>
      <c r="AD734" s="9">
        <v>2448</v>
      </c>
      <c r="AE734" s="6" t="s">
        <v>57</v>
      </c>
      <c r="AF734" s="6" t="s">
        <v>57</v>
      </c>
      <c r="AG734" s="6" t="s">
        <v>57</v>
      </c>
      <c r="AH734" s="6" t="s">
        <v>57</v>
      </c>
      <c r="AI734" s="6" t="s">
        <v>57</v>
      </c>
      <c r="AJ734" s="6" t="s">
        <v>57</v>
      </c>
      <c r="AK734" s="6" t="s">
        <v>57</v>
      </c>
      <c r="AL734" s="6" t="s">
        <v>57</v>
      </c>
      <c r="AM734" s="6" t="s">
        <v>57</v>
      </c>
      <c r="AN734" s="6" t="s">
        <v>57</v>
      </c>
      <c r="AO734" s="6" t="s">
        <v>57</v>
      </c>
      <c r="AP734" s="6" t="s">
        <v>57</v>
      </c>
      <c r="AQ734" s="9">
        <v>0</v>
      </c>
    </row>
    <row r="735" spans="1:43" ht="15">
      <c r="A735" s="2" t="s">
        <v>2604</v>
      </c>
      <c r="B735" s="5">
        <v>10383808</v>
      </c>
      <c r="C735" s="2" t="s">
        <v>23</v>
      </c>
      <c r="D735" s="2" t="s">
        <v>2605</v>
      </c>
      <c r="E735" s="2" t="s">
        <v>2606</v>
      </c>
      <c r="F735" s="2" t="s">
        <v>26</v>
      </c>
      <c r="G735" s="2" t="s">
        <v>26</v>
      </c>
      <c r="H735" s="2" t="s">
        <v>27</v>
      </c>
      <c r="I735" s="2" t="s">
        <v>28</v>
      </c>
      <c r="J735" s="6"/>
      <c r="K735" s="2" t="s">
        <v>55</v>
      </c>
      <c r="L735" s="2" t="s">
        <v>56</v>
      </c>
      <c r="M735" s="2" t="s">
        <v>55</v>
      </c>
      <c r="N735" s="2"/>
      <c r="O735" s="2"/>
      <c r="P735" s="7">
        <v>361.610870425472</v>
      </c>
      <c r="Q735" s="6" t="s">
        <v>57</v>
      </c>
      <c r="R735" s="9">
        <v>1435</v>
      </c>
      <c r="S735" s="2"/>
      <c r="T735" s="9">
        <v>1635</v>
      </c>
      <c r="U735" s="9">
        <v>1141</v>
      </c>
      <c r="V735" s="9">
        <v>1022</v>
      </c>
      <c r="W735" s="9">
        <v>1150</v>
      </c>
      <c r="X735" s="9">
        <v>1153</v>
      </c>
      <c r="Y735" s="9">
        <v>1129</v>
      </c>
      <c r="Z735" s="9">
        <v>1468</v>
      </c>
      <c r="AA735" s="9">
        <v>6213</v>
      </c>
      <c r="AB735" s="9">
        <v>933</v>
      </c>
      <c r="AC735" s="9">
        <v>1030</v>
      </c>
      <c r="AD735" s="9">
        <v>947</v>
      </c>
      <c r="AE735" s="6" t="s">
        <v>57</v>
      </c>
      <c r="AF735" s="6" t="s">
        <v>57</v>
      </c>
      <c r="AG735" s="6" t="s">
        <v>57</v>
      </c>
      <c r="AH735" s="6" t="s">
        <v>57</v>
      </c>
      <c r="AI735" s="6" t="s">
        <v>57</v>
      </c>
      <c r="AJ735" s="6" t="s">
        <v>57</v>
      </c>
      <c r="AK735" s="6" t="s">
        <v>57</v>
      </c>
      <c r="AL735" s="6" t="s">
        <v>57</v>
      </c>
      <c r="AM735" s="6" t="s">
        <v>57</v>
      </c>
      <c r="AN735" s="6" t="s">
        <v>57</v>
      </c>
      <c r="AO735" s="6" t="s">
        <v>57</v>
      </c>
      <c r="AP735" s="6" t="s">
        <v>57</v>
      </c>
      <c r="AQ735" s="9">
        <v>1041</v>
      </c>
    </row>
    <row r="736" spans="1:43" ht="15">
      <c r="A736" s="2" t="s">
        <v>2607</v>
      </c>
      <c r="B736" s="5">
        <v>19739144</v>
      </c>
      <c r="C736" s="2" t="s">
        <v>23</v>
      </c>
      <c r="D736" s="2" t="s">
        <v>2608</v>
      </c>
      <c r="E736" s="2" t="s">
        <v>2609</v>
      </c>
      <c r="F736" s="2" t="s">
        <v>26</v>
      </c>
      <c r="G736" s="2" t="s">
        <v>26</v>
      </c>
      <c r="H736" s="2" t="s">
        <v>27</v>
      </c>
      <c r="I736" s="2" t="s">
        <v>28</v>
      </c>
      <c r="J736" s="6"/>
      <c r="K736" s="2" t="s">
        <v>55</v>
      </c>
      <c r="L736" s="2" t="s">
        <v>56</v>
      </c>
      <c r="M736" s="2" t="s">
        <v>55</v>
      </c>
      <c r="N736" s="2"/>
      <c r="O736" s="2"/>
      <c r="P736" s="6" t="s">
        <v>57</v>
      </c>
      <c r="Q736" s="6" t="s">
        <v>57</v>
      </c>
      <c r="R736" s="9">
        <v>0</v>
      </c>
      <c r="S736" s="2"/>
      <c r="T736" s="9">
        <v>0</v>
      </c>
      <c r="U736" s="9">
        <v>0</v>
      </c>
      <c r="V736" s="9">
        <v>0</v>
      </c>
      <c r="W736" s="9">
        <v>0</v>
      </c>
      <c r="X736" s="9">
        <v>0</v>
      </c>
      <c r="Y736" s="9">
        <v>0</v>
      </c>
      <c r="Z736" s="9">
        <v>0</v>
      </c>
      <c r="AA736" s="9">
        <v>114</v>
      </c>
      <c r="AB736" s="9">
        <v>0</v>
      </c>
      <c r="AC736" s="9">
        <v>0</v>
      </c>
      <c r="AD736" s="9">
        <v>0</v>
      </c>
      <c r="AE736" s="6" t="s">
        <v>57</v>
      </c>
      <c r="AF736" s="6" t="s">
        <v>57</v>
      </c>
      <c r="AG736" s="6" t="s">
        <v>57</v>
      </c>
      <c r="AH736" s="6" t="s">
        <v>57</v>
      </c>
      <c r="AI736" s="6" t="s">
        <v>57</v>
      </c>
      <c r="AJ736" s="6" t="s">
        <v>57</v>
      </c>
      <c r="AK736" s="6" t="s">
        <v>57</v>
      </c>
      <c r="AL736" s="6" t="s">
        <v>57</v>
      </c>
      <c r="AM736" s="6" t="s">
        <v>57</v>
      </c>
      <c r="AN736" s="6" t="s">
        <v>57</v>
      </c>
      <c r="AO736" s="6" t="s">
        <v>57</v>
      </c>
      <c r="AP736" s="6" t="s">
        <v>57</v>
      </c>
      <c r="AQ736" s="9">
        <v>0</v>
      </c>
    </row>
    <row r="737" spans="1:43" ht="15">
      <c r="A737" s="2" t="s">
        <v>2610</v>
      </c>
      <c r="B737" s="5">
        <v>10988859</v>
      </c>
      <c r="C737" s="2" t="s">
        <v>23</v>
      </c>
      <c r="D737" s="2" t="s">
        <v>2611</v>
      </c>
      <c r="E737" s="2" t="s">
        <v>2612</v>
      </c>
      <c r="F737" s="2" t="s">
        <v>26</v>
      </c>
      <c r="G737" s="2"/>
      <c r="H737" s="2"/>
      <c r="I737" s="2" t="s">
        <v>28</v>
      </c>
      <c r="J737" s="6"/>
      <c r="K737" s="2" t="s">
        <v>55</v>
      </c>
      <c r="L737" s="2" t="s">
        <v>56</v>
      </c>
      <c r="M737" s="2" t="s">
        <v>55</v>
      </c>
      <c r="N737" s="2"/>
      <c r="O737" s="2"/>
      <c r="P737" s="6" t="s">
        <v>57</v>
      </c>
      <c r="Q737" s="6" t="s">
        <v>57</v>
      </c>
      <c r="R737" s="9">
        <v>0</v>
      </c>
      <c r="S737" s="2"/>
      <c r="T737" s="9">
        <v>0</v>
      </c>
      <c r="U737" s="9">
        <v>0</v>
      </c>
      <c r="V737" s="9">
        <v>1275</v>
      </c>
      <c r="W737" s="9">
        <v>458</v>
      </c>
      <c r="X737" s="9">
        <v>457</v>
      </c>
      <c r="Y737" s="9">
        <v>597</v>
      </c>
      <c r="Z737" s="9">
        <v>837</v>
      </c>
      <c r="AA737" s="9">
        <v>2358</v>
      </c>
      <c r="AB737" s="9">
        <v>0</v>
      </c>
      <c r="AC737" s="9">
        <v>669</v>
      </c>
      <c r="AD737" s="9">
        <v>658</v>
      </c>
      <c r="AE737" s="6" t="s">
        <v>57</v>
      </c>
      <c r="AF737" s="6" t="s">
        <v>57</v>
      </c>
      <c r="AG737" s="6" t="s">
        <v>57</v>
      </c>
      <c r="AH737" s="6" t="s">
        <v>57</v>
      </c>
      <c r="AI737" s="6" t="s">
        <v>57</v>
      </c>
      <c r="AJ737" s="6" t="s">
        <v>57</v>
      </c>
      <c r="AK737" s="6" t="s">
        <v>57</v>
      </c>
      <c r="AL737" s="6" t="s">
        <v>57</v>
      </c>
      <c r="AM737" s="6" t="s">
        <v>57</v>
      </c>
      <c r="AN737" s="6" t="s">
        <v>57</v>
      </c>
      <c r="AO737" s="6" t="s">
        <v>57</v>
      </c>
      <c r="AP737" s="6" t="s">
        <v>57</v>
      </c>
      <c r="AQ737" s="9">
        <v>0</v>
      </c>
    </row>
    <row r="738" spans="1:43" ht="15">
      <c r="A738" s="2" t="s">
        <v>2613</v>
      </c>
      <c r="B738" s="5">
        <v>5738755</v>
      </c>
      <c r="C738" s="2" t="s">
        <v>23</v>
      </c>
      <c r="D738" s="2" t="s">
        <v>2614</v>
      </c>
      <c r="E738" s="2" t="s">
        <v>2615</v>
      </c>
      <c r="F738" s="2" t="s">
        <v>26</v>
      </c>
      <c r="G738" s="2" t="s">
        <v>26</v>
      </c>
      <c r="H738" s="2" t="s">
        <v>27</v>
      </c>
      <c r="I738" s="2" t="s">
        <v>28</v>
      </c>
      <c r="J738" s="6"/>
      <c r="K738" s="2" t="s">
        <v>55</v>
      </c>
      <c r="L738" s="2" t="s">
        <v>56</v>
      </c>
      <c r="M738" s="2" t="s">
        <v>55</v>
      </c>
      <c r="N738" s="2"/>
      <c r="O738" s="2"/>
      <c r="P738" s="7">
        <v>1.48065146164831</v>
      </c>
      <c r="Q738" s="6" t="s">
        <v>57</v>
      </c>
      <c r="R738" s="9">
        <v>0</v>
      </c>
      <c r="S738" s="2"/>
      <c r="T738" s="9">
        <v>0</v>
      </c>
      <c r="U738" s="9">
        <v>0</v>
      </c>
      <c r="V738" s="9">
        <v>1306</v>
      </c>
      <c r="W738" s="9">
        <v>336</v>
      </c>
      <c r="X738" s="9">
        <v>334</v>
      </c>
      <c r="Y738" s="9">
        <v>168</v>
      </c>
      <c r="Z738" s="9">
        <v>336</v>
      </c>
      <c r="AA738" s="9">
        <v>208</v>
      </c>
      <c r="AB738" s="9">
        <v>0</v>
      </c>
      <c r="AC738" s="9">
        <v>1371</v>
      </c>
      <c r="AD738" s="9">
        <v>674</v>
      </c>
      <c r="AE738" s="6" t="s">
        <v>57</v>
      </c>
      <c r="AF738" s="6" t="s">
        <v>57</v>
      </c>
      <c r="AG738" s="6" t="s">
        <v>57</v>
      </c>
      <c r="AH738" s="6" t="s">
        <v>57</v>
      </c>
      <c r="AI738" s="6" t="s">
        <v>57</v>
      </c>
      <c r="AJ738" s="6" t="s">
        <v>57</v>
      </c>
      <c r="AK738" s="6" t="s">
        <v>57</v>
      </c>
      <c r="AL738" s="6" t="s">
        <v>57</v>
      </c>
      <c r="AM738" s="6" t="s">
        <v>57</v>
      </c>
      <c r="AN738" s="6" t="s">
        <v>57</v>
      </c>
      <c r="AO738" s="6" t="s">
        <v>57</v>
      </c>
      <c r="AP738" s="6" t="s">
        <v>57</v>
      </c>
      <c r="AQ738" s="9">
        <v>0</v>
      </c>
    </row>
    <row r="739" spans="1:43" ht="15">
      <c r="A739" s="2" t="s">
        <v>2616</v>
      </c>
      <c r="B739" s="5">
        <v>119973826</v>
      </c>
      <c r="C739" s="2" t="s">
        <v>23</v>
      </c>
      <c r="D739" s="2" t="s">
        <v>2617</v>
      </c>
      <c r="E739" s="2" t="s">
        <v>2618</v>
      </c>
      <c r="F739" s="2" t="s">
        <v>26</v>
      </c>
      <c r="G739" s="2" t="s">
        <v>26</v>
      </c>
      <c r="H739" s="2" t="s">
        <v>27</v>
      </c>
      <c r="I739" s="2" t="s">
        <v>28</v>
      </c>
      <c r="J739" s="6"/>
      <c r="K739" s="2" t="s">
        <v>55</v>
      </c>
      <c r="L739" s="2" t="s">
        <v>56</v>
      </c>
      <c r="M739" s="2" t="s">
        <v>55</v>
      </c>
      <c r="N739" s="2"/>
      <c r="O739" s="2"/>
      <c r="P739" s="6" t="s">
        <v>57</v>
      </c>
      <c r="Q739" s="6" t="s">
        <v>57</v>
      </c>
      <c r="R739" s="9">
        <v>0</v>
      </c>
      <c r="S739" s="2"/>
      <c r="T739" s="9">
        <v>0</v>
      </c>
      <c r="U739" s="9">
        <v>0</v>
      </c>
      <c r="V739" s="9">
        <v>0</v>
      </c>
      <c r="W739" s="9">
        <v>0</v>
      </c>
      <c r="X739" s="9">
        <v>0</v>
      </c>
      <c r="Y739" s="9">
        <v>62</v>
      </c>
      <c r="Z739" s="9">
        <v>62</v>
      </c>
      <c r="AA739" s="9">
        <v>62</v>
      </c>
      <c r="AB739" s="9">
        <v>0</v>
      </c>
      <c r="AC739" s="9">
        <v>0</v>
      </c>
      <c r="AD739" s="9">
        <v>0</v>
      </c>
      <c r="AE739" s="6" t="s">
        <v>57</v>
      </c>
      <c r="AF739" s="6" t="s">
        <v>57</v>
      </c>
      <c r="AG739" s="6" t="s">
        <v>57</v>
      </c>
      <c r="AH739" s="6" t="s">
        <v>57</v>
      </c>
      <c r="AI739" s="6" t="s">
        <v>57</v>
      </c>
      <c r="AJ739" s="6" t="s">
        <v>57</v>
      </c>
      <c r="AK739" s="6" t="s">
        <v>57</v>
      </c>
      <c r="AL739" s="6" t="s">
        <v>57</v>
      </c>
      <c r="AM739" s="6" t="s">
        <v>57</v>
      </c>
      <c r="AN739" s="6" t="s">
        <v>57</v>
      </c>
      <c r="AO739" s="6" t="s">
        <v>57</v>
      </c>
      <c r="AP739" s="6" t="s">
        <v>57</v>
      </c>
      <c r="AQ739" s="9">
        <v>0</v>
      </c>
    </row>
    <row r="740" spans="1:43" ht="15">
      <c r="A740" s="2" t="s">
        <v>2619</v>
      </c>
      <c r="B740" s="5">
        <v>131439580</v>
      </c>
      <c r="C740" s="2" t="s">
        <v>23</v>
      </c>
      <c r="D740" s="2" t="s">
        <v>2620</v>
      </c>
      <c r="E740" s="2" t="s">
        <v>2621</v>
      </c>
      <c r="F740" s="2" t="s">
        <v>26</v>
      </c>
      <c r="G740" s="2" t="s">
        <v>26</v>
      </c>
      <c r="H740" s="2" t="s">
        <v>27</v>
      </c>
      <c r="I740" s="2" t="s">
        <v>28</v>
      </c>
      <c r="J740" s="6"/>
      <c r="K740" s="2" t="s">
        <v>55</v>
      </c>
      <c r="L740" s="2" t="s">
        <v>56</v>
      </c>
      <c r="M740" s="2" t="s">
        <v>55</v>
      </c>
      <c r="N740" s="2"/>
      <c r="O740" s="2"/>
      <c r="P740" s="6" t="s">
        <v>57</v>
      </c>
      <c r="Q740" s="6" t="s">
        <v>57</v>
      </c>
      <c r="R740" s="9">
        <v>0</v>
      </c>
      <c r="S740" s="2"/>
      <c r="T740" s="9">
        <v>0</v>
      </c>
      <c r="U740" s="9">
        <v>0</v>
      </c>
      <c r="V740" s="9">
        <v>0</v>
      </c>
      <c r="W740" s="9">
        <v>0</v>
      </c>
      <c r="X740" s="9">
        <v>0</v>
      </c>
      <c r="Y740" s="9">
        <v>0</v>
      </c>
      <c r="Z740" s="9">
        <v>0</v>
      </c>
      <c r="AA740" s="9">
        <v>0</v>
      </c>
      <c r="AB740" s="9">
        <v>0</v>
      </c>
      <c r="AC740" s="9">
        <v>0</v>
      </c>
      <c r="AD740" s="9">
        <v>0</v>
      </c>
      <c r="AE740" s="6" t="s">
        <v>57</v>
      </c>
      <c r="AF740" s="6" t="s">
        <v>57</v>
      </c>
      <c r="AG740" s="6" t="s">
        <v>57</v>
      </c>
      <c r="AH740" s="6" t="s">
        <v>57</v>
      </c>
      <c r="AI740" s="6" t="s">
        <v>57</v>
      </c>
      <c r="AJ740" s="6" t="s">
        <v>57</v>
      </c>
      <c r="AK740" s="6" t="s">
        <v>57</v>
      </c>
      <c r="AL740" s="6" t="s">
        <v>57</v>
      </c>
      <c r="AM740" s="6" t="s">
        <v>57</v>
      </c>
      <c r="AN740" s="6" t="s">
        <v>57</v>
      </c>
      <c r="AO740" s="6" t="s">
        <v>57</v>
      </c>
      <c r="AP740" s="6" t="s">
        <v>57</v>
      </c>
      <c r="AQ740" s="9">
        <v>0</v>
      </c>
    </row>
    <row r="741" spans="1:43" ht="15">
      <c r="A741" s="2" t="s">
        <v>2622</v>
      </c>
      <c r="B741" s="5">
        <v>5737025</v>
      </c>
      <c r="C741" s="2" t="s">
        <v>23</v>
      </c>
      <c r="D741" s="2" t="s">
        <v>2623</v>
      </c>
      <c r="E741" s="2" t="s">
        <v>2624</v>
      </c>
      <c r="F741" s="2" t="s">
        <v>26</v>
      </c>
      <c r="G741" s="2" t="s">
        <v>26</v>
      </c>
      <c r="H741" s="2" t="s">
        <v>27</v>
      </c>
      <c r="I741" s="2" t="s">
        <v>28</v>
      </c>
      <c r="J741" s="6"/>
      <c r="K741" s="2" t="s">
        <v>55</v>
      </c>
      <c r="L741" s="2" t="s">
        <v>56</v>
      </c>
      <c r="M741" s="2" t="s">
        <v>55</v>
      </c>
      <c r="N741" s="2"/>
      <c r="O741" s="2"/>
      <c r="P741" s="7">
        <v>28.970998489302499</v>
      </c>
      <c r="Q741" s="6" t="s">
        <v>57</v>
      </c>
      <c r="R741" s="9">
        <v>0</v>
      </c>
      <c r="S741" s="2"/>
      <c r="T741" s="9">
        <v>0</v>
      </c>
      <c r="U741" s="9">
        <v>0</v>
      </c>
      <c r="V741" s="9">
        <v>0</v>
      </c>
      <c r="W741" s="9">
        <v>0</v>
      </c>
      <c r="X741" s="9">
        <v>0</v>
      </c>
      <c r="Y741" s="9">
        <v>0</v>
      </c>
      <c r="Z741" s="9">
        <v>0</v>
      </c>
      <c r="AA741" s="9">
        <v>46</v>
      </c>
      <c r="AB741" s="9">
        <v>0</v>
      </c>
      <c r="AC741" s="9">
        <v>0</v>
      </c>
      <c r="AD741" s="9">
        <v>0</v>
      </c>
      <c r="AE741" s="6" t="s">
        <v>57</v>
      </c>
      <c r="AF741" s="6" t="s">
        <v>57</v>
      </c>
      <c r="AG741" s="6" t="s">
        <v>57</v>
      </c>
      <c r="AH741" s="6" t="s">
        <v>57</v>
      </c>
      <c r="AI741" s="6" t="s">
        <v>57</v>
      </c>
      <c r="AJ741" s="6" t="s">
        <v>57</v>
      </c>
      <c r="AK741" s="6" t="s">
        <v>57</v>
      </c>
      <c r="AL741" s="6" t="s">
        <v>57</v>
      </c>
      <c r="AM741" s="6" t="s">
        <v>57</v>
      </c>
      <c r="AN741" s="6" t="s">
        <v>57</v>
      </c>
      <c r="AO741" s="6" t="s">
        <v>57</v>
      </c>
      <c r="AP741" s="6" t="s">
        <v>57</v>
      </c>
      <c r="AQ741" s="9">
        <v>0</v>
      </c>
    </row>
    <row r="742" spans="1:43" ht="15">
      <c r="A742" s="2" t="s">
        <v>2625</v>
      </c>
      <c r="B742" s="5">
        <v>27734767</v>
      </c>
      <c r="C742" s="2" t="s">
        <v>23</v>
      </c>
      <c r="D742" s="2" t="s">
        <v>2626</v>
      </c>
      <c r="E742" s="2" t="s">
        <v>2627</v>
      </c>
      <c r="F742" s="2" t="s">
        <v>26</v>
      </c>
      <c r="G742" s="2" t="s">
        <v>26</v>
      </c>
      <c r="H742" s="2" t="s">
        <v>27</v>
      </c>
      <c r="I742" s="2" t="s">
        <v>28</v>
      </c>
      <c r="J742" s="6"/>
      <c r="K742" s="2" t="s">
        <v>55</v>
      </c>
      <c r="L742" s="2" t="s">
        <v>56</v>
      </c>
      <c r="M742" s="2" t="s">
        <v>55</v>
      </c>
      <c r="N742" s="2"/>
      <c r="O742" s="2"/>
      <c r="P742" s="6" t="s">
        <v>57</v>
      </c>
      <c r="Q742" s="6" t="s">
        <v>57</v>
      </c>
      <c r="R742" s="9">
        <v>0</v>
      </c>
      <c r="S742" s="2"/>
      <c r="T742" s="9">
        <v>0</v>
      </c>
      <c r="U742" s="9">
        <v>0</v>
      </c>
      <c r="V742" s="9">
        <v>0</v>
      </c>
      <c r="W742" s="9">
        <v>0</v>
      </c>
      <c r="X742" s="9">
        <v>0</v>
      </c>
      <c r="Y742" s="9">
        <v>0</v>
      </c>
      <c r="Z742" s="9">
        <v>0</v>
      </c>
      <c r="AA742" s="9">
        <v>1432</v>
      </c>
      <c r="AB742" s="9">
        <v>0</v>
      </c>
      <c r="AC742" s="9">
        <v>0</v>
      </c>
      <c r="AD742" s="9">
        <v>0</v>
      </c>
      <c r="AE742" s="6" t="s">
        <v>57</v>
      </c>
      <c r="AF742" s="6" t="s">
        <v>57</v>
      </c>
      <c r="AG742" s="6" t="s">
        <v>57</v>
      </c>
      <c r="AH742" s="6" t="s">
        <v>57</v>
      </c>
      <c r="AI742" s="6" t="s">
        <v>57</v>
      </c>
      <c r="AJ742" s="6" t="s">
        <v>57</v>
      </c>
      <c r="AK742" s="6" t="s">
        <v>57</v>
      </c>
      <c r="AL742" s="6" t="s">
        <v>57</v>
      </c>
      <c r="AM742" s="6" t="s">
        <v>57</v>
      </c>
      <c r="AN742" s="6" t="s">
        <v>57</v>
      </c>
      <c r="AO742" s="6" t="s">
        <v>57</v>
      </c>
      <c r="AP742" s="6" t="s">
        <v>57</v>
      </c>
      <c r="AQ742" s="9">
        <v>0</v>
      </c>
    </row>
    <row r="743" spans="1:43" ht="15">
      <c r="A743" s="2" t="s">
        <v>2628</v>
      </c>
      <c r="B743" s="5">
        <v>114920295</v>
      </c>
      <c r="C743" s="2" t="s">
        <v>23</v>
      </c>
      <c r="D743" s="2" t="s">
        <v>2629</v>
      </c>
      <c r="E743" s="2" t="s">
        <v>2630</v>
      </c>
      <c r="F743" s="2" t="s">
        <v>26</v>
      </c>
      <c r="G743" s="2" t="s">
        <v>26</v>
      </c>
      <c r="H743" s="2" t="s">
        <v>27</v>
      </c>
      <c r="I743" s="2" t="s">
        <v>28</v>
      </c>
      <c r="J743" s="6"/>
      <c r="K743" s="2" t="s">
        <v>55</v>
      </c>
      <c r="L743" s="2" t="s">
        <v>56</v>
      </c>
      <c r="M743" s="2" t="s">
        <v>55</v>
      </c>
      <c r="N743" s="2"/>
      <c r="O743" s="2"/>
      <c r="P743" s="6" t="s">
        <v>57</v>
      </c>
      <c r="Q743" s="6" t="s">
        <v>57</v>
      </c>
      <c r="R743" s="6" t="s">
        <v>57</v>
      </c>
      <c r="S743" s="2"/>
      <c r="T743" s="6" t="s">
        <v>57</v>
      </c>
      <c r="U743" s="6" t="s">
        <v>57</v>
      </c>
      <c r="V743" s="6" t="s">
        <v>57</v>
      </c>
      <c r="W743" s="6" t="s">
        <v>57</v>
      </c>
      <c r="X743" s="6" t="s">
        <v>57</v>
      </c>
      <c r="Y743" s="6" t="s">
        <v>57</v>
      </c>
      <c r="Z743" s="6" t="s">
        <v>57</v>
      </c>
      <c r="AA743" s="6" t="s">
        <v>57</v>
      </c>
      <c r="AB743" s="6" t="s">
        <v>57</v>
      </c>
      <c r="AC743" s="6" t="s">
        <v>57</v>
      </c>
      <c r="AD743" s="6" t="s">
        <v>57</v>
      </c>
      <c r="AE743" s="6" t="s">
        <v>57</v>
      </c>
      <c r="AF743" s="6" t="s">
        <v>57</v>
      </c>
      <c r="AG743" s="6" t="s">
        <v>57</v>
      </c>
      <c r="AH743" s="6" t="s">
        <v>57</v>
      </c>
      <c r="AI743" s="6" t="s">
        <v>57</v>
      </c>
      <c r="AJ743" s="6" t="s">
        <v>57</v>
      </c>
      <c r="AK743" s="6" t="s">
        <v>57</v>
      </c>
      <c r="AL743" s="6" t="s">
        <v>57</v>
      </c>
      <c r="AM743" s="6" t="s">
        <v>57</v>
      </c>
      <c r="AN743" s="6" t="s">
        <v>57</v>
      </c>
      <c r="AO743" s="6" t="s">
        <v>57</v>
      </c>
      <c r="AP743" s="6" t="s">
        <v>57</v>
      </c>
      <c r="AQ743" s="6" t="s">
        <v>57</v>
      </c>
    </row>
    <row r="744" spans="1:43" ht="15">
      <c r="A744" s="2" t="s">
        <v>2631</v>
      </c>
      <c r="B744" s="5">
        <v>29632599</v>
      </c>
      <c r="C744" s="2" t="s">
        <v>23</v>
      </c>
      <c r="D744" s="2" t="s">
        <v>2632</v>
      </c>
      <c r="E744" s="2" t="s">
        <v>2633</v>
      </c>
      <c r="F744" s="2" t="s">
        <v>26</v>
      </c>
      <c r="G744" s="2" t="s">
        <v>26</v>
      </c>
      <c r="H744" s="2" t="s">
        <v>27</v>
      </c>
      <c r="I744" s="2" t="s">
        <v>28</v>
      </c>
      <c r="J744" s="6"/>
      <c r="K744" s="2" t="s">
        <v>55</v>
      </c>
      <c r="L744" s="2" t="s">
        <v>56</v>
      </c>
      <c r="M744" s="2" t="s">
        <v>55</v>
      </c>
      <c r="N744" s="2"/>
      <c r="O744" s="2"/>
      <c r="P744" s="6" t="s">
        <v>57</v>
      </c>
      <c r="Q744" s="6" t="s">
        <v>57</v>
      </c>
      <c r="R744" s="9">
        <v>0</v>
      </c>
      <c r="S744" s="2"/>
      <c r="T744" s="9">
        <v>0</v>
      </c>
      <c r="U744" s="9">
        <v>0</v>
      </c>
      <c r="V744" s="9">
        <v>0</v>
      </c>
      <c r="W744" s="9">
        <v>40</v>
      </c>
      <c r="X744" s="9">
        <v>40</v>
      </c>
      <c r="Y744" s="9">
        <v>246</v>
      </c>
      <c r="Z744" s="9">
        <v>673</v>
      </c>
      <c r="AA744" s="9">
        <v>673</v>
      </c>
      <c r="AB744" s="9">
        <v>0</v>
      </c>
      <c r="AC744" s="9">
        <v>0</v>
      </c>
      <c r="AD744" s="9">
        <v>0</v>
      </c>
      <c r="AE744" s="6" t="s">
        <v>57</v>
      </c>
      <c r="AF744" s="6" t="s">
        <v>57</v>
      </c>
      <c r="AG744" s="6" t="s">
        <v>57</v>
      </c>
      <c r="AH744" s="6" t="s">
        <v>57</v>
      </c>
      <c r="AI744" s="6" t="s">
        <v>57</v>
      </c>
      <c r="AJ744" s="6" t="s">
        <v>57</v>
      </c>
      <c r="AK744" s="6" t="s">
        <v>57</v>
      </c>
      <c r="AL744" s="6" t="s">
        <v>57</v>
      </c>
      <c r="AM744" s="6" t="s">
        <v>57</v>
      </c>
      <c r="AN744" s="6" t="s">
        <v>57</v>
      </c>
      <c r="AO744" s="6" t="s">
        <v>57</v>
      </c>
      <c r="AP744" s="6" t="s">
        <v>57</v>
      </c>
      <c r="AQ744" s="9">
        <v>0</v>
      </c>
    </row>
    <row r="745" spans="1:43" ht="15">
      <c r="A745" s="2" t="s">
        <v>2634</v>
      </c>
      <c r="B745" s="5">
        <v>106277603</v>
      </c>
      <c r="C745" s="2" t="s">
        <v>23</v>
      </c>
      <c r="D745" s="2" t="s">
        <v>2635</v>
      </c>
      <c r="E745" s="2" t="s">
        <v>2636</v>
      </c>
      <c r="F745" s="2" t="s">
        <v>26</v>
      </c>
      <c r="G745" s="2" t="s">
        <v>26</v>
      </c>
      <c r="H745" s="2" t="s">
        <v>27</v>
      </c>
      <c r="I745" s="2" t="s">
        <v>28</v>
      </c>
      <c r="J745" s="6"/>
      <c r="K745" s="2" t="s">
        <v>55</v>
      </c>
      <c r="L745" s="2" t="s">
        <v>56</v>
      </c>
      <c r="M745" s="2" t="s">
        <v>55</v>
      </c>
      <c r="N745" s="2"/>
      <c r="O745" s="2"/>
      <c r="P745" s="6" t="s">
        <v>57</v>
      </c>
      <c r="Q745" s="6" t="s">
        <v>57</v>
      </c>
      <c r="R745" s="9">
        <v>0</v>
      </c>
      <c r="S745" s="2"/>
      <c r="T745" s="9">
        <v>0</v>
      </c>
      <c r="U745" s="9">
        <v>0</v>
      </c>
      <c r="V745" s="9">
        <v>0</v>
      </c>
      <c r="W745" s="9">
        <v>22</v>
      </c>
      <c r="X745" s="9">
        <v>22</v>
      </c>
      <c r="Y745" s="9">
        <v>11</v>
      </c>
      <c r="Z745" s="9">
        <v>69</v>
      </c>
      <c r="AA745" s="9">
        <v>7407</v>
      </c>
      <c r="AB745" s="9">
        <v>0</v>
      </c>
      <c r="AC745" s="9">
        <v>0</v>
      </c>
      <c r="AD745" s="9">
        <v>0</v>
      </c>
      <c r="AE745" s="6" t="s">
        <v>57</v>
      </c>
      <c r="AF745" s="6" t="s">
        <v>57</v>
      </c>
      <c r="AG745" s="6" t="s">
        <v>57</v>
      </c>
      <c r="AH745" s="6" t="s">
        <v>57</v>
      </c>
      <c r="AI745" s="6" t="s">
        <v>57</v>
      </c>
      <c r="AJ745" s="6" t="s">
        <v>57</v>
      </c>
      <c r="AK745" s="6" t="s">
        <v>57</v>
      </c>
      <c r="AL745" s="6" t="s">
        <v>57</v>
      </c>
      <c r="AM745" s="6" t="s">
        <v>57</v>
      </c>
      <c r="AN745" s="6" t="s">
        <v>57</v>
      </c>
      <c r="AO745" s="6" t="s">
        <v>57</v>
      </c>
      <c r="AP745" s="6" t="s">
        <v>57</v>
      </c>
      <c r="AQ745" s="9">
        <v>0</v>
      </c>
    </row>
    <row r="746" spans="1:43" ht="15">
      <c r="A746" s="2" t="s">
        <v>2637</v>
      </c>
      <c r="B746" s="5">
        <v>114689821</v>
      </c>
      <c r="C746" s="2" t="s">
        <v>23</v>
      </c>
      <c r="D746" s="2" t="s">
        <v>2638</v>
      </c>
      <c r="E746" s="2" t="s">
        <v>2639</v>
      </c>
      <c r="F746" s="2" t="s">
        <v>26</v>
      </c>
      <c r="G746" s="2" t="s">
        <v>26</v>
      </c>
      <c r="H746" s="2" t="s">
        <v>27</v>
      </c>
      <c r="I746" s="2" t="s">
        <v>28</v>
      </c>
      <c r="J746" s="6"/>
      <c r="K746" s="2" t="s">
        <v>55</v>
      </c>
      <c r="L746" s="2" t="s">
        <v>56</v>
      </c>
      <c r="M746" s="2" t="s">
        <v>55</v>
      </c>
      <c r="N746" s="2"/>
      <c r="O746" s="2"/>
      <c r="P746" s="6" t="s">
        <v>57</v>
      </c>
      <c r="Q746" s="6" t="s">
        <v>57</v>
      </c>
      <c r="R746" s="9">
        <v>345919</v>
      </c>
      <c r="S746" s="2"/>
      <c r="T746" s="9">
        <v>117924</v>
      </c>
      <c r="U746" s="9">
        <v>31875</v>
      </c>
      <c r="V746" s="9">
        <v>26339</v>
      </c>
      <c r="W746" s="9">
        <v>15651</v>
      </c>
      <c r="X746" s="9">
        <v>15588</v>
      </c>
      <c r="Y746" s="9">
        <v>17887</v>
      </c>
      <c r="Z746" s="9">
        <v>23567</v>
      </c>
      <c r="AA746" s="9">
        <v>23567</v>
      </c>
      <c r="AB746" s="9">
        <v>35566</v>
      </c>
      <c r="AC746" s="9">
        <v>27634</v>
      </c>
      <c r="AD746" s="9">
        <v>14476</v>
      </c>
      <c r="AE746" s="6" t="s">
        <v>57</v>
      </c>
      <c r="AF746" s="6" t="s">
        <v>57</v>
      </c>
      <c r="AG746" s="6" t="s">
        <v>57</v>
      </c>
      <c r="AH746" s="6" t="s">
        <v>57</v>
      </c>
      <c r="AI746" s="6" t="s">
        <v>57</v>
      </c>
      <c r="AJ746" s="6" t="s">
        <v>57</v>
      </c>
      <c r="AK746" s="6" t="s">
        <v>57</v>
      </c>
      <c r="AL746" s="6" t="s">
        <v>57</v>
      </c>
      <c r="AM746" s="6" t="s">
        <v>57</v>
      </c>
      <c r="AN746" s="6" t="s">
        <v>57</v>
      </c>
      <c r="AO746" s="6" t="s">
        <v>57</v>
      </c>
      <c r="AP746" s="6" t="s">
        <v>57</v>
      </c>
      <c r="AQ746" s="9">
        <v>592991</v>
      </c>
    </row>
    <row r="747" spans="1:43" ht="15">
      <c r="A747" s="2" t="s">
        <v>2640</v>
      </c>
      <c r="B747" s="5">
        <v>133298199</v>
      </c>
      <c r="C747" s="2" t="s">
        <v>23</v>
      </c>
      <c r="D747" s="2" t="s">
        <v>2641</v>
      </c>
      <c r="E747" s="2" t="s">
        <v>2642</v>
      </c>
      <c r="F747" s="2" t="s">
        <v>26</v>
      </c>
      <c r="G747" s="2" t="s">
        <v>26</v>
      </c>
      <c r="H747" s="2" t="s">
        <v>27</v>
      </c>
      <c r="I747" s="2" t="s">
        <v>28</v>
      </c>
      <c r="J747" s="6"/>
      <c r="K747" s="2" t="s">
        <v>55</v>
      </c>
      <c r="L747" s="2" t="s">
        <v>56</v>
      </c>
      <c r="M747" s="2" t="s">
        <v>55</v>
      </c>
      <c r="N747" s="2"/>
      <c r="O747" s="2"/>
      <c r="P747" s="6" t="s">
        <v>57</v>
      </c>
      <c r="Q747" s="6" t="s">
        <v>57</v>
      </c>
      <c r="R747" s="6" t="s">
        <v>57</v>
      </c>
      <c r="S747" s="2"/>
      <c r="T747" s="6" t="s">
        <v>57</v>
      </c>
      <c r="U747" s="6" t="s">
        <v>57</v>
      </c>
      <c r="V747" s="6" t="s">
        <v>57</v>
      </c>
      <c r="W747" s="6" t="s">
        <v>57</v>
      </c>
      <c r="X747" s="6" t="s">
        <v>57</v>
      </c>
      <c r="Y747" s="6" t="s">
        <v>57</v>
      </c>
      <c r="Z747" s="6" t="s">
        <v>57</v>
      </c>
      <c r="AA747" s="6" t="s">
        <v>57</v>
      </c>
      <c r="AB747" s="6" t="s">
        <v>57</v>
      </c>
      <c r="AC747" s="6" t="s">
        <v>57</v>
      </c>
      <c r="AD747" s="6" t="s">
        <v>57</v>
      </c>
      <c r="AE747" s="6" t="s">
        <v>57</v>
      </c>
      <c r="AF747" s="6" t="s">
        <v>57</v>
      </c>
      <c r="AG747" s="6" t="s">
        <v>57</v>
      </c>
      <c r="AH747" s="6" t="s">
        <v>57</v>
      </c>
      <c r="AI747" s="6" t="s">
        <v>57</v>
      </c>
      <c r="AJ747" s="6" t="s">
        <v>57</v>
      </c>
      <c r="AK747" s="6" t="s">
        <v>57</v>
      </c>
      <c r="AL747" s="6" t="s">
        <v>57</v>
      </c>
      <c r="AM747" s="6" t="s">
        <v>57</v>
      </c>
      <c r="AN747" s="6" t="s">
        <v>57</v>
      </c>
      <c r="AO747" s="6" t="s">
        <v>57</v>
      </c>
      <c r="AP747" s="6" t="s">
        <v>57</v>
      </c>
      <c r="AQ747" s="6" t="s">
        <v>57</v>
      </c>
    </row>
    <row r="748" spans="1:43" ht="15">
      <c r="A748" s="2" t="s">
        <v>2643</v>
      </c>
      <c r="B748" s="5">
        <v>114788206</v>
      </c>
      <c r="C748" s="2" t="s">
        <v>23</v>
      </c>
      <c r="D748" s="2" t="s">
        <v>2644</v>
      </c>
      <c r="E748" s="2" t="s">
        <v>2645</v>
      </c>
      <c r="F748" s="2" t="s">
        <v>26</v>
      </c>
      <c r="G748" s="2"/>
      <c r="H748" s="2"/>
      <c r="I748" s="2" t="s">
        <v>28</v>
      </c>
      <c r="J748" s="6"/>
      <c r="K748" s="2" t="s">
        <v>55</v>
      </c>
      <c r="L748" s="2" t="s">
        <v>56</v>
      </c>
      <c r="M748" s="2" t="s">
        <v>55</v>
      </c>
      <c r="N748" s="2"/>
      <c r="O748" s="2"/>
      <c r="P748" s="6" t="s">
        <v>57</v>
      </c>
      <c r="Q748" s="6" t="s">
        <v>57</v>
      </c>
      <c r="R748" s="6" t="s">
        <v>57</v>
      </c>
      <c r="S748" s="2"/>
      <c r="T748" s="6" t="s">
        <v>57</v>
      </c>
      <c r="U748" s="6" t="s">
        <v>57</v>
      </c>
      <c r="V748" s="6" t="s">
        <v>57</v>
      </c>
      <c r="W748" s="6" t="s">
        <v>57</v>
      </c>
      <c r="X748" s="6" t="s">
        <v>57</v>
      </c>
      <c r="Y748" s="6" t="s">
        <v>57</v>
      </c>
      <c r="Z748" s="6" t="s">
        <v>57</v>
      </c>
      <c r="AA748" s="6" t="s">
        <v>57</v>
      </c>
      <c r="AB748" s="6" t="s">
        <v>57</v>
      </c>
      <c r="AC748" s="6" t="s">
        <v>57</v>
      </c>
      <c r="AD748" s="6" t="s">
        <v>57</v>
      </c>
      <c r="AE748" s="6" t="s">
        <v>57</v>
      </c>
      <c r="AF748" s="6" t="s">
        <v>57</v>
      </c>
      <c r="AG748" s="6" t="s">
        <v>57</v>
      </c>
      <c r="AH748" s="6" t="s">
        <v>57</v>
      </c>
      <c r="AI748" s="6" t="s">
        <v>57</v>
      </c>
      <c r="AJ748" s="6" t="s">
        <v>57</v>
      </c>
      <c r="AK748" s="6" t="s">
        <v>57</v>
      </c>
      <c r="AL748" s="6" t="s">
        <v>57</v>
      </c>
      <c r="AM748" s="6" t="s">
        <v>57</v>
      </c>
      <c r="AN748" s="6" t="s">
        <v>57</v>
      </c>
      <c r="AO748" s="6" t="s">
        <v>57</v>
      </c>
      <c r="AP748" s="6" t="s">
        <v>57</v>
      </c>
      <c r="AQ748" s="6" t="s">
        <v>57</v>
      </c>
    </row>
    <row r="749" spans="1:43" ht="15">
      <c r="A749" s="2" t="s">
        <v>2646</v>
      </c>
      <c r="B749" s="5">
        <v>114252004</v>
      </c>
      <c r="C749" s="2" t="s">
        <v>23</v>
      </c>
      <c r="D749" s="2" t="s">
        <v>2647</v>
      </c>
      <c r="E749" s="2" t="s">
        <v>2648</v>
      </c>
      <c r="F749" s="2" t="s">
        <v>26</v>
      </c>
      <c r="G749" s="2"/>
      <c r="H749" s="2"/>
      <c r="I749" s="2" t="s">
        <v>28</v>
      </c>
      <c r="J749" s="6"/>
      <c r="K749" s="2" t="s">
        <v>55</v>
      </c>
      <c r="L749" s="2" t="s">
        <v>56</v>
      </c>
      <c r="M749" s="2" t="s">
        <v>55</v>
      </c>
      <c r="N749" s="2"/>
      <c r="O749" s="2"/>
      <c r="P749" s="6" t="s">
        <v>57</v>
      </c>
      <c r="Q749" s="6" t="s">
        <v>57</v>
      </c>
      <c r="R749" s="9">
        <v>0</v>
      </c>
      <c r="S749" s="2"/>
      <c r="T749" s="9">
        <v>0</v>
      </c>
      <c r="U749" s="9">
        <v>0</v>
      </c>
      <c r="V749" s="9">
        <v>0</v>
      </c>
      <c r="W749" s="9">
        <v>1883</v>
      </c>
      <c r="X749" s="9">
        <v>1876</v>
      </c>
      <c r="Y749" s="9">
        <v>1329</v>
      </c>
      <c r="Z749" s="9">
        <v>1329</v>
      </c>
      <c r="AA749" s="9">
        <v>1329</v>
      </c>
      <c r="AB749" s="9">
        <v>0</v>
      </c>
      <c r="AC749" s="9">
        <v>0</v>
      </c>
      <c r="AD749" s="9">
        <v>3134</v>
      </c>
      <c r="AE749" s="6" t="s">
        <v>57</v>
      </c>
      <c r="AF749" s="6" t="s">
        <v>57</v>
      </c>
      <c r="AG749" s="6" t="s">
        <v>57</v>
      </c>
      <c r="AH749" s="6" t="s">
        <v>57</v>
      </c>
      <c r="AI749" s="6" t="s">
        <v>57</v>
      </c>
      <c r="AJ749" s="6" t="s">
        <v>57</v>
      </c>
      <c r="AK749" s="6" t="s">
        <v>57</v>
      </c>
      <c r="AL749" s="6" t="s">
        <v>57</v>
      </c>
      <c r="AM749" s="6" t="s">
        <v>57</v>
      </c>
      <c r="AN749" s="6" t="s">
        <v>57</v>
      </c>
      <c r="AO749" s="6" t="s">
        <v>57</v>
      </c>
      <c r="AP749" s="6" t="s">
        <v>57</v>
      </c>
      <c r="AQ749" s="9">
        <v>0</v>
      </c>
    </row>
    <row r="750" spans="1:43" ht="15">
      <c r="A750" s="2" t="s">
        <v>2649</v>
      </c>
      <c r="B750" s="5">
        <v>20271081</v>
      </c>
      <c r="C750" s="2" t="s">
        <v>23</v>
      </c>
      <c r="D750" s="2" t="s">
        <v>2650</v>
      </c>
      <c r="E750" s="2" t="s">
        <v>2651</v>
      </c>
      <c r="F750" s="2" t="s">
        <v>26</v>
      </c>
      <c r="G750" s="2" t="s">
        <v>26</v>
      </c>
      <c r="H750" s="2" t="s">
        <v>27</v>
      </c>
      <c r="I750" s="2" t="s">
        <v>28</v>
      </c>
      <c r="J750" s="6"/>
      <c r="K750" s="2" t="s">
        <v>55</v>
      </c>
      <c r="L750" s="2" t="s">
        <v>56</v>
      </c>
      <c r="M750" s="2" t="s">
        <v>55</v>
      </c>
      <c r="N750" s="2"/>
      <c r="O750" s="2"/>
      <c r="P750" s="6" t="s">
        <v>57</v>
      </c>
      <c r="Q750" s="6" t="s">
        <v>57</v>
      </c>
      <c r="R750" s="9">
        <v>0</v>
      </c>
      <c r="S750" s="2"/>
      <c r="T750" s="9">
        <v>0</v>
      </c>
      <c r="U750" s="9">
        <v>0</v>
      </c>
      <c r="V750" s="9">
        <v>0</v>
      </c>
      <c r="W750" s="9">
        <v>0</v>
      </c>
      <c r="X750" s="9">
        <v>0</v>
      </c>
      <c r="Y750" s="9">
        <v>0</v>
      </c>
      <c r="Z750" s="9">
        <v>0</v>
      </c>
      <c r="AA750" s="9">
        <v>48</v>
      </c>
      <c r="AB750" s="9">
        <v>0</v>
      </c>
      <c r="AC750" s="9">
        <v>0</v>
      </c>
      <c r="AD750" s="9">
        <v>0</v>
      </c>
      <c r="AE750" s="6" t="s">
        <v>57</v>
      </c>
      <c r="AF750" s="6" t="s">
        <v>57</v>
      </c>
      <c r="AG750" s="6" t="s">
        <v>57</v>
      </c>
      <c r="AH750" s="6" t="s">
        <v>57</v>
      </c>
      <c r="AI750" s="6" t="s">
        <v>57</v>
      </c>
      <c r="AJ750" s="6" t="s">
        <v>57</v>
      </c>
      <c r="AK750" s="6" t="s">
        <v>57</v>
      </c>
      <c r="AL750" s="6" t="s">
        <v>57</v>
      </c>
      <c r="AM750" s="6" t="s">
        <v>57</v>
      </c>
      <c r="AN750" s="6" t="s">
        <v>57</v>
      </c>
      <c r="AO750" s="6" t="s">
        <v>57</v>
      </c>
      <c r="AP750" s="6" t="s">
        <v>57</v>
      </c>
      <c r="AQ750" s="9">
        <v>0</v>
      </c>
    </row>
    <row r="751" spans="1:43" ht="15">
      <c r="A751" s="2" t="s">
        <v>2652</v>
      </c>
      <c r="B751" s="5">
        <v>13456287</v>
      </c>
      <c r="C751" s="2" t="s">
        <v>23</v>
      </c>
      <c r="D751" s="2" t="s">
        <v>2653</v>
      </c>
      <c r="E751" s="2" t="s">
        <v>2654</v>
      </c>
      <c r="F751" s="2" t="s">
        <v>26</v>
      </c>
      <c r="G751" s="2" t="s">
        <v>26</v>
      </c>
      <c r="H751" s="2" t="s">
        <v>27</v>
      </c>
      <c r="I751" s="2" t="s">
        <v>28</v>
      </c>
      <c r="J751" s="6"/>
      <c r="K751" s="2" t="s">
        <v>55</v>
      </c>
      <c r="L751" s="2" t="s">
        <v>56</v>
      </c>
      <c r="M751" s="2" t="s">
        <v>55</v>
      </c>
      <c r="N751" s="2"/>
      <c r="O751" s="2"/>
      <c r="P751" s="6" t="s">
        <v>57</v>
      </c>
      <c r="Q751" s="6" t="s">
        <v>57</v>
      </c>
      <c r="R751" s="9">
        <v>0</v>
      </c>
      <c r="S751" s="2"/>
      <c r="T751" s="9">
        <v>0</v>
      </c>
      <c r="U751" s="9">
        <v>0</v>
      </c>
      <c r="V751" s="9">
        <v>0</v>
      </c>
      <c r="W751" s="9">
        <v>0</v>
      </c>
      <c r="X751" s="9">
        <v>0</v>
      </c>
      <c r="Y751" s="9">
        <v>0</v>
      </c>
      <c r="Z751" s="9">
        <v>0</v>
      </c>
      <c r="AA751" s="9">
        <v>0</v>
      </c>
      <c r="AB751" s="9">
        <v>0</v>
      </c>
      <c r="AC751" s="9">
        <v>0</v>
      </c>
      <c r="AD751" s="9">
        <v>0</v>
      </c>
      <c r="AE751" s="6" t="s">
        <v>57</v>
      </c>
      <c r="AF751" s="6" t="s">
        <v>57</v>
      </c>
      <c r="AG751" s="6" t="s">
        <v>57</v>
      </c>
      <c r="AH751" s="6" t="s">
        <v>57</v>
      </c>
      <c r="AI751" s="6" t="s">
        <v>57</v>
      </c>
      <c r="AJ751" s="6" t="s">
        <v>57</v>
      </c>
      <c r="AK751" s="6" t="s">
        <v>57</v>
      </c>
      <c r="AL751" s="6" t="s">
        <v>57</v>
      </c>
      <c r="AM751" s="6" t="s">
        <v>57</v>
      </c>
      <c r="AN751" s="6" t="s">
        <v>57</v>
      </c>
      <c r="AO751" s="6" t="s">
        <v>57</v>
      </c>
      <c r="AP751" s="6" t="s">
        <v>57</v>
      </c>
      <c r="AQ751" s="9">
        <v>0</v>
      </c>
    </row>
    <row r="752" spans="1:43" ht="15">
      <c r="A752" s="2" t="s">
        <v>2655</v>
      </c>
      <c r="B752" s="5">
        <v>138824479</v>
      </c>
      <c r="C752" s="2" t="s">
        <v>23</v>
      </c>
      <c r="D752" s="2" t="s">
        <v>2656</v>
      </c>
      <c r="E752" s="2" t="s">
        <v>2657</v>
      </c>
      <c r="F752" s="2" t="s">
        <v>26</v>
      </c>
      <c r="G752" s="2"/>
      <c r="H752" s="2"/>
      <c r="I752" s="2" t="s">
        <v>28</v>
      </c>
      <c r="J752" s="6"/>
      <c r="K752" s="2" t="s">
        <v>55</v>
      </c>
      <c r="L752" s="2" t="s">
        <v>56</v>
      </c>
      <c r="M752" s="2" t="s">
        <v>55</v>
      </c>
      <c r="N752" s="2"/>
      <c r="O752" s="2"/>
      <c r="P752" s="6" t="s">
        <v>57</v>
      </c>
      <c r="Q752" s="6" t="s">
        <v>57</v>
      </c>
      <c r="R752" s="6" t="s">
        <v>57</v>
      </c>
      <c r="S752" s="2"/>
      <c r="T752" s="6" t="s">
        <v>57</v>
      </c>
      <c r="U752" s="6" t="s">
        <v>57</v>
      </c>
      <c r="V752" s="6" t="s">
        <v>57</v>
      </c>
      <c r="W752" s="6" t="s">
        <v>57</v>
      </c>
      <c r="X752" s="6" t="s">
        <v>57</v>
      </c>
      <c r="Y752" s="6" t="s">
        <v>57</v>
      </c>
      <c r="Z752" s="6" t="s">
        <v>57</v>
      </c>
      <c r="AA752" s="6" t="s">
        <v>57</v>
      </c>
      <c r="AB752" s="6" t="s">
        <v>57</v>
      </c>
      <c r="AC752" s="6" t="s">
        <v>57</v>
      </c>
      <c r="AD752" s="6" t="s">
        <v>57</v>
      </c>
      <c r="AE752" s="6" t="s">
        <v>57</v>
      </c>
      <c r="AF752" s="6" t="s">
        <v>57</v>
      </c>
      <c r="AG752" s="6" t="s">
        <v>57</v>
      </c>
      <c r="AH752" s="6" t="s">
        <v>57</v>
      </c>
      <c r="AI752" s="6" t="s">
        <v>57</v>
      </c>
      <c r="AJ752" s="6" t="s">
        <v>57</v>
      </c>
      <c r="AK752" s="6" t="s">
        <v>57</v>
      </c>
      <c r="AL752" s="6" t="s">
        <v>57</v>
      </c>
      <c r="AM752" s="6" t="s">
        <v>57</v>
      </c>
      <c r="AN752" s="6" t="s">
        <v>57</v>
      </c>
      <c r="AO752" s="6" t="s">
        <v>57</v>
      </c>
      <c r="AP752" s="6" t="s">
        <v>57</v>
      </c>
      <c r="AQ752" s="6" t="s">
        <v>57</v>
      </c>
    </row>
    <row r="753" spans="1:43" ht="15">
      <c r="A753" s="2" t="s">
        <v>2658</v>
      </c>
      <c r="B753" s="5">
        <v>22924391</v>
      </c>
      <c r="C753" s="2" t="s">
        <v>23</v>
      </c>
      <c r="D753" s="2" t="s">
        <v>2659</v>
      </c>
      <c r="E753" s="2" t="s">
        <v>2660</v>
      </c>
      <c r="F753" s="2" t="s">
        <v>26</v>
      </c>
      <c r="G753" s="2" t="s">
        <v>26</v>
      </c>
      <c r="H753" s="2" t="s">
        <v>27</v>
      </c>
      <c r="I753" s="2" t="s">
        <v>28</v>
      </c>
      <c r="J753" s="6"/>
      <c r="K753" s="2" t="s">
        <v>55</v>
      </c>
      <c r="L753" s="2" t="s">
        <v>56</v>
      </c>
      <c r="M753" s="2" t="s">
        <v>55</v>
      </c>
      <c r="N753" s="2"/>
      <c r="O753" s="2"/>
      <c r="P753" s="6" t="s">
        <v>57</v>
      </c>
      <c r="Q753" s="6" t="s">
        <v>57</v>
      </c>
      <c r="R753" s="9">
        <v>0</v>
      </c>
      <c r="S753" s="2"/>
      <c r="T753" s="9">
        <v>0</v>
      </c>
      <c r="U753" s="9">
        <v>0</v>
      </c>
      <c r="V753" s="9">
        <v>0</v>
      </c>
      <c r="W753" s="9">
        <v>0</v>
      </c>
      <c r="X753" s="9">
        <v>0</v>
      </c>
      <c r="Y753" s="9">
        <v>0</v>
      </c>
      <c r="Z753" s="9">
        <v>0</v>
      </c>
      <c r="AA753" s="9">
        <v>0</v>
      </c>
      <c r="AB753" s="9">
        <v>0</v>
      </c>
      <c r="AC753" s="9">
        <v>0</v>
      </c>
      <c r="AD753" s="9">
        <v>0</v>
      </c>
      <c r="AE753" s="6" t="s">
        <v>57</v>
      </c>
      <c r="AF753" s="6" t="s">
        <v>57</v>
      </c>
      <c r="AG753" s="6" t="s">
        <v>57</v>
      </c>
      <c r="AH753" s="6" t="s">
        <v>57</v>
      </c>
      <c r="AI753" s="6" t="s">
        <v>57</v>
      </c>
      <c r="AJ753" s="6" t="s">
        <v>57</v>
      </c>
      <c r="AK753" s="6" t="s">
        <v>57</v>
      </c>
      <c r="AL753" s="6" t="s">
        <v>57</v>
      </c>
      <c r="AM753" s="6" t="s">
        <v>57</v>
      </c>
      <c r="AN753" s="6" t="s">
        <v>57</v>
      </c>
      <c r="AO753" s="6" t="s">
        <v>57</v>
      </c>
      <c r="AP753" s="6" t="s">
        <v>57</v>
      </c>
      <c r="AQ753" s="9">
        <v>0</v>
      </c>
    </row>
    <row r="754" spans="1:43" ht="15">
      <c r="A754" s="2" t="s">
        <v>2661</v>
      </c>
      <c r="B754" s="5">
        <v>135559948</v>
      </c>
      <c r="C754" s="2" t="s">
        <v>23</v>
      </c>
      <c r="D754" s="2" t="s">
        <v>2662</v>
      </c>
      <c r="E754" s="2" t="s">
        <v>2663</v>
      </c>
      <c r="F754" s="2" t="s">
        <v>26</v>
      </c>
      <c r="G754" s="2"/>
      <c r="H754" s="2"/>
      <c r="I754" s="2" t="s">
        <v>28</v>
      </c>
      <c r="J754" s="6"/>
      <c r="K754" s="2" t="s">
        <v>55</v>
      </c>
      <c r="L754" s="2" t="s">
        <v>56</v>
      </c>
      <c r="M754" s="2" t="s">
        <v>55</v>
      </c>
      <c r="N754" s="2"/>
      <c r="O754" s="2"/>
      <c r="P754" s="6" t="s">
        <v>57</v>
      </c>
      <c r="Q754" s="6" t="s">
        <v>57</v>
      </c>
      <c r="R754" s="6" t="s">
        <v>57</v>
      </c>
      <c r="S754" s="2"/>
      <c r="T754" s="6" t="s">
        <v>57</v>
      </c>
      <c r="U754" s="6" t="s">
        <v>57</v>
      </c>
      <c r="V754" s="6" t="s">
        <v>57</v>
      </c>
      <c r="W754" s="6" t="s">
        <v>57</v>
      </c>
      <c r="X754" s="6" t="s">
        <v>57</v>
      </c>
      <c r="Y754" s="6" t="s">
        <v>57</v>
      </c>
      <c r="Z754" s="6" t="s">
        <v>57</v>
      </c>
      <c r="AA754" s="6" t="s">
        <v>57</v>
      </c>
      <c r="AB754" s="6" t="s">
        <v>57</v>
      </c>
      <c r="AC754" s="6" t="s">
        <v>57</v>
      </c>
      <c r="AD754" s="6" t="s">
        <v>57</v>
      </c>
      <c r="AE754" s="6" t="s">
        <v>57</v>
      </c>
      <c r="AF754" s="6" t="s">
        <v>57</v>
      </c>
      <c r="AG754" s="6" t="s">
        <v>57</v>
      </c>
      <c r="AH754" s="6" t="s">
        <v>57</v>
      </c>
      <c r="AI754" s="6" t="s">
        <v>57</v>
      </c>
      <c r="AJ754" s="6" t="s">
        <v>57</v>
      </c>
      <c r="AK754" s="6" t="s">
        <v>57</v>
      </c>
      <c r="AL754" s="6" t="s">
        <v>57</v>
      </c>
      <c r="AM754" s="6" t="s">
        <v>57</v>
      </c>
      <c r="AN754" s="6" t="s">
        <v>57</v>
      </c>
      <c r="AO754" s="6" t="s">
        <v>57</v>
      </c>
      <c r="AP754" s="6" t="s">
        <v>57</v>
      </c>
      <c r="AQ754" s="6" t="s">
        <v>57</v>
      </c>
    </row>
    <row r="755" spans="1:43" ht="15">
      <c r="A755" s="2" t="s">
        <v>2664</v>
      </c>
      <c r="B755" s="5">
        <v>139132014</v>
      </c>
      <c r="C755" s="2" t="s">
        <v>23</v>
      </c>
      <c r="D755" s="2" t="s">
        <v>2665</v>
      </c>
      <c r="E755" s="2" t="s">
        <v>2666</v>
      </c>
      <c r="F755" s="2" t="s">
        <v>26</v>
      </c>
      <c r="G755" s="2"/>
      <c r="H755" s="2"/>
      <c r="I755" s="2" t="s">
        <v>28</v>
      </c>
      <c r="J755" s="6"/>
      <c r="K755" s="2" t="s">
        <v>55</v>
      </c>
      <c r="L755" s="2" t="s">
        <v>56</v>
      </c>
      <c r="M755" s="2" t="s">
        <v>55</v>
      </c>
      <c r="N755" s="2"/>
      <c r="O755" s="2"/>
      <c r="P755" s="6" t="s">
        <v>57</v>
      </c>
      <c r="Q755" s="6" t="s">
        <v>57</v>
      </c>
      <c r="R755" s="6" t="s">
        <v>57</v>
      </c>
      <c r="S755" s="2"/>
      <c r="T755" s="6" t="s">
        <v>57</v>
      </c>
      <c r="U755" s="6" t="s">
        <v>57</v>
      </c>
      <c r="V755" s="6" t="s">
        <v>57</v>
      </c>
      <c r="W755" s="6" t="s">
        <v>57</v>
      </c>
      <c r="X755" s="6" t="s">
        <v>57</v>
      </c>
      <c r="Y755" s="6" t="s">
        <v>57</v>
      </c>
      <c r="Z755" s="6" t="s">
        <v>57</v>
      </c>
      <c r="AA755" s="6" t="s">
        <v>57</v>
      </c>
      <c r="AB755" s="6" t="s">
        <v>57</v>
      </c>
      <c r="AC755" s="6" t="s">
        <v>57</v>
      </c>
      <c r="AD755" s="6" t="s">
        <v>57</v>
      </c>
      <c r="AE755" s="6" t="s">
        <v>57</v>
      </c>
      <c r="AF755" s="6" t="s">
        <v>57</v>
      </c>
      <c r="AG755" s="6" t="s">
        <v>57</v>
      </c>
      <c r="AH755" s="6" t="s">
        <v>57</v>
      </c>
      <c r="AI755" s="6" t="s">
        <v>57</v>
      </c>
      <c r="AJ755" s="6" t="s">
        <v>57</v>
      </c>
      <c r="AK755" s="6" t="s">
        <v>57</v>
      </c>
      <c r="AL755" s="6" t="s">
        <v>57</v>
      </c>
      <c r="AM755" s="6" t="s">
        <v>57</v>
      </c>
      <c r="AN755" s="6" t="s">
        <v>57</v>
      </c>
      <c r="AO755" s="6" t="s">
        <v>57</v>
      </c>
      <c r="AP755" s="6" t="s">
        <v>57</v>
      </c>
      <c r="AQ755" s="6" t="s">
        <v>57</v>
      </c>
    </row>
    <row r="756" spans="1:43" ht="15">
      <c r="A756" s="2" t="s">
        <v>2667</v>
      </c>
      <c r="B756" s="5">
        <v>138597625</v>
      </c>
      <c r="C756" s="2" t="s">
        <v>23</v>
      </c>
      <c r="D756" s="2" t="s">
        <v>2668</v>
      </c>
      <c r="E756" s="2" t="s">
        <v>2669</v>
      </c>
      <c r="F756" s="2" t="s">
        <v>26</v>
      </c>
      <c r="G756" s="2"/>
      <c r="H756" s="2"/>
      <c r="I756" s="2" t="s">
        <v>28</v>
      </c>
      <c r="J756" s="6"/>
      <c r="K756" s="2" t="s">
        <v>55</v>
      </c>
      <c r="L756" s="2" t="s">
        <v>56</v>
      </c>
      <c r="M756" s="2" t="s">
        <v>55</v>
      </c>
      <c r="N756" s="2"/>
      <c r="O756" s="2"/>
      <c r="P756" s="6" t="s">
        <v>57</v>
      </c>
      <c r="Q756" s="6" t="s">
        <v>57</v>
      </c>
      <c r="R756" s="9">
        <v>0</v>
      </c>
      <c r="S756" s="2"/>
      <c r="T756" s="9">
        <v>0</v>
      </c>
      <c r="U756" s="9">
        <v>0</v>
      </c>
      <c r="V756" s="9">
        <v>0</v>
      </c>
      <c r="W756" s="9">
        <v>256</v>
      </c>
      <c r="X756" s="9">
        <v>256</v>
      </c>
      <c r="Y756" s="9">
        <v>256</v>
      </c>
      <c r="Z756" s="9">
        <v>256</v>
      </c>
      <c r="AA756" s="9">
        <v>256</v>
      </c>
      <c r="AB756" s="9">
        <v>0</v>
      </c>
      <c r="AC756" s="9">
        <v>0</v>
      </c>
      <c r="AD756" s="9">
        <v>0</v>
      </c>
      <c r="AE756" s="6" t="s">
        <v>57</v>
      </c>
      <c r="AF756" s="6" t="s">
        <v>57</v>
      </c>
      <c r="AG756" s="6" t="s">
        <v>57</v>
      </c>
      <c r="AH756" s="6" t="s">
        <v>57</v>
      </c>
      <c r="AI756" s="6" t="s">
        <v>57</v>
      </c>
      <c r="AJ756" s="6" t="s">
        <v>57</v>
      </c>
      <c r="AK756" s="6" t="s">
        <v>57</v>
      </c>
      <c r="AL756" s="6" t="s">
        <v>57</v>
      </c>
      <c r="AM756" s="6" t="s">
        <v>57</v>
      </c>
      <c r="AN756" s="6" t="s">
        <v>57</v>
      </c>
      <c r="AO756" s="6" t="s">
        <v>57</v>
      </c>
      <c r="AP756" s="6" t="s">
        <v>57</v>
      </c>
      <c r="AQ756" s="9">
        <v>0</v>
      </c>
    </row>
    <row r="757" spans="1:43" ht="15">
      <c r="A757" s="2" t="s">
        <v>2670</v>
      </c>
      <c r="B757" s="5">
        <v>118819587</v>
      </c>
      <c r="C757" s="2" t="s">
        <v>23</v>
      </c>
      <c r="D757" s="2" t="s">
        <v>2671</v>
      </c>
      <c r="E757" s="2" t="s">
        <v>2672</v>
      </c>
      <c r="F757" s="2" t="s">
        <v>26</v>
      </c>
      <c r="G757" s="2" t="s">
        <v>26</v>
      </c>
      <c r="H757" s="2" t="s">
        <v>27</v>
      </c>
      <c r="I757" s="2" t="s">
        <v>28</v>
      </c>
      <c r="J757" s="6"/>
      <c r="K757" s="2" t="s">
        <v>55</v>
      </c>
      <c r="L757" s="2" t="s">
        <v>56</v>
      </c>
      <c r="M757" s="2" t="s">
        <v>55</v>
      </c>
      <c r="N757" s="2"/>
      <c r="O757" s="2"/>
      <c r="P757" s="6" t="s">
        <v>57</v>
      </c>
      <c r="Q757" s="6" t="s">
        <v>57</v>
      </c>
      <c r="R757" s="9">
        <v>0</v>
      </c>
      <c r="S757" s="2"/>
      <c r="T757" s="9">
        <v>0</v>
      </c>
      <c r="U757" s="9">
        <v>0</v>
      </c>
      <c r="V757" s="9">
        <v>0</v>
      </c>
      <c r="W757" s="9">
        <v>27</v>
      </c>
      <c r="X757" s="9">
        <v>27</v>
      </c>
      <c r="Y757" s="9">
        <v>157</v>
      </c>
      <c r="Z757" s="9">
        <v>157</v>
      </c>
      <c r="AA757" s="9">
        <v>157</v>
      </c>
      <c r="AB757" s="9">
        <v>0</v>
      </c>
      <c r="AC757" s="9">
        <v>0</v>
      </c>
      <c r="AD757" s="9">
        <v>0</v>
      </c>
      <c r="AE757" s="6" t="s">
        <v>57</v>
      </c>
      <c r="AF757" s="6" t="s">
        <v>57</v>
      </c>
      <c r="AG757" s="6" t="s">
        <v>57</v>
      </c>
      <c r="AH757" s="6" t="s">
        <v>57</v>
      </c>
      <c r="AI757" s="6" t="s">
        <v>57</v>
      </c>
      <c r="AJ757" s="6" t="s">
        <v>57</v>
      </c>
      <c r="AK757" s="6" t="s">
        <v>57</v>
      </c>
      <c r="AL757" s="6" t="s">
        <v>57</v>
      </c>
      <c r="AM757" s="6" t="s">
        <v>57</v>
      </c>
      <c r="AN757" s="6" t="s">
        <v>57</v>
      </c>
      <c r="AO757" s="6" t="s">
        <v>57</v>
      </c>
      <c r="AP757" s="6" t="s">
        <v>57</v>
      </c>
      <c r="AQ757" s="9">
        <v>0</v>
      </c>
    </row>
    <row r="758" spans="1:43" ht="15">
      <c r="A758" s="2" t="s">
        <v>2673</v>
      </c>
      <c r="B758" s="5">
        <v>10091470</v>
      </c>
      <c r="C758" s="2" t="s">
        <v>23</v>
      </c>
      <c r="D758" s="2" t="s">
        <v>2674</v>
      </c>
      <c r="E758" s="2" t="s">
        <v>2675</v>
      </c>
      <c r="F758" s="2" t="s">
        <v>26</v>
      </c>
      <c r="G758" s="2"/>
      <c r="H758" s="2"/>
      <c r="I758" s="2" t="s">
        <v>28</v>
      </c>
      <c r="J758" s="6"/>
      <c r="K758" s="2" t="s">
        <v>55</v>
      </c>
      <c r="L758" s="2" t="s">
        <v>56</v>
      </c>
      <c r="M758" s="2" t="s">
        <v>55</v>
      </c>
      <c r="N758" s="2"/>
      <c r="O758" s="2"/>
      <c r="P758" s="7">
        <v>2.22120153850569</v>
      </c>
      <c r="Q758" s="6" t="s">
        <v>57</v>
      </c>
      <c r="R758" s="9">
        <v>0</v>
      </c>
      <c r="S758" s="2"/>
      <c r="T758" s="9">
        <v>0</v>
      </c>
      <c r="U758" s="9">
        <v>87</v>
      </c>
      <c r="V758" s="9">
        <v>98</v>
      </c>
      <c r="W758" s="9">
        <v>26</v>
      </c>
      <c r="X758" s="9">
        <v>26</v>
      </c>
      <c r="Y758" s="9">
        <v>24</v>
      </c>
      <c r="Z758" s="9">
        <v>35</v>
      </c>
      <c r="AA758" s="9">
        <v>39</v>
      </c>
      <c r="AB758" s="9">
        <v>0</v>
      </c>
      <c r="AC758" s="9">
        <v>59</v>
      </c>
      <c r="AD758" s="9">
        <v>53</v>
      </c>
      <c r="AE758" s="6" t="s">
        <v>57</v>
      </c>
      <c r="AF758" s="6" t="s">
        <v>57</v>
      </c>
      <c r="AG758" s="6" t="s">
        <v>57</v>
      </c>
      <c r="AH758" s="6" t="s">
        <v>57</v>
      </c>
      <c r="AI758" s="6" t="s">
        <v>57</v>
      </c>
      <c r="AJ758" s="6" t="s">
        <v>57</v>
      </c>
      <c r="AK758" s="6" t="s">
        <v>57</v>
      </c>
      <c r="AL758" s="6" t="s">
        <v>57</v>
      </c>
      <c r="AM758" s="6" t="s">
        <v>57</v>
      </c>
      <c r="AN758" s="6" t="s">
        <v>57</v>
      </c>
      <c r="AO758" s="6" t="s">
        <v>57</v>
      </c>
      <c r="AP758" s="6" t="s">
        <v>57</v>
      </c>
      <c r="AQ758" s="9">
        <v>0</v>
      </c>
    </row>
    <row r="759" spans="1:43" ht="15">
      <c r="A759" s="2" t="s">
        <v>2676</v>
      </c>
      <c r="B759" s="5">
        <v>118864432</v>
      </c>
      <c r="C759" s="2" t="s">
        <v>23</v>
      </c>
      <c r="D759" s="2" t="s">
        <v>2677</v>
      </c>
      <c r="E759" s="2" t="s">
        <v>2678</v>
      </c>
      <c r="F759" s="2" t="s">
        <v>26</v>
      </c>
      <c r="G759" s="2"/>
      <c r="H759" s="2"/>
      <c r="I759" s="2" t="s">
        <v>28</v>
      </c>
      <c r="J759" s="6"/>
      <c r="K759" s="2" t="s">
        <v>55</v>
      </c>
      <c r="L759" s="2" t="s">
        <v>56</v>
      </c>
      <c r="M759" s="2" t="s">
        <v>55</v>
      </c>
      <c r="N759" s="2"/>
      <c r="O759" s="2"/>
      <c r="P759" s="6" t="s">
        <v>57</v>
      </c>
      <c r="Q759" s="6" t="s">
        <v>57</v>
      </c>
      <c r="R759" s="6" t="s">
        <v>57</v>
      </c>
      <c r="S759" s="2"/>
      <c r="T759" s="6" t="s">
        <v>57</v>
      </c>
      <c r="U759" s="6" t="s">
        <v>57</v>
      </c>
      <c r="V759" s="6" t="s">
        <v>57</v>
      </c>
      <c r="W759" s="6" t="s">
        <v>57</v>
      </c>
      <c r="X759" s="6" t="s">
        <v>57</v>
      </c>
      <c r="Y759" s="6" t="s">
        <v>57</v>
      </c>
      <c r="Z759" s="6" t="s">
        <v>57</v>
      </c>
      <c r="AA759" s="6" t="s">
        <v>57</v>
      </c>
      <c r="AB759" s="6" t="s">
        <v>57</v>
      </c>
      <c r="AC759" s="6" t="s">
        <v>57</v>
      </c>
      <c r="AD759" s="6" t="s">
        <v>57</v>
      </c>
      <c r="AE759" s="6" t="s">
        <v>57</v>
      </c>
      <c r="AF759" s="6" t="s">
        <v>57</v>
      </c>
      <c r="AG759" s="6" t="s">
        <v>57</v>
      </c>
      <c r="AH759" s="6" t="s">
        <v>57</v>
      </c>
      <c r="AI759" s="6" t="s">
        <v>57</v>
      </c>
      <c r="AJ759" s="6" t="s">
        <v>57</v>
      </c>
      <c r="AK759" s="6" t="s">
        <v>57</v>
      </c>
      <c r="AL759" s="6" t="s">
        <v>57</v>
      </c>
      <c r="AM759" s="6" t="s">
        <v>57</v>
      </c>
      <c r="AN759" s="6" t="s">
        <v>57</v>
      </c>
      <c r="AO759" s="6" t="s">
        <v>57</v>
      </c>
      <c r="AP759" s="6" t="s">
        <v>57</v>
      </c>
      <c r="AQ759" s="6" t="s">
        <v>57</v>
      </c>
    </row>
    <row r="760" spans="1:43" ht="15">
      <c r="A760" s="2" t="s">
        <v>2679</v>
      </c>
      <c r="B760" s="5">
        <v>9781456</v>
      </c>
      <c r="C760" s="2" t="s">
        <v>23</v>
      </c>
      <c r="D760" s="2" t="s">
        <v>2680</v>
      </c>
      <c r="E760" s="2" t="s">
        <v>2681</v>
      </c>
      <c r="F760" s="2" t="s">
        <v>26</v>
      </c>
      <c r="G760" s="2" t="s">
        <v>26</v>
      </c>
      <c r="H760" s="2" t="s">
        <v>27</v>
      </c>
      <c r="I760" s="2" t="s">
        <v>28</v>
      </c>
      <c r="J760" s="6"/>
      <c r="K760" s="2" t="s">
        <v>55</v>
      </c>
      <c r="L760" s="2" t="s">
        <v>56</v>
      </c>
      <c r="M760" s="2" t="s">
        <v>55</v>
      </c>
      <c r="N760" s="2"/>
      <c r="O760" s="2"/>
      <c r="P760" s="6" t="s">
        <v>57</v>
      </c>
      <c r="Q760" s="6" t="s">
        <v>57</v>
      </c>
      <c r="R760" s="9">
        <v>0</v>
      </c>
      <c r="S760" s="2"/>
      <c r="T760" s="9">
        <v>0</v>
      </c>
      <c r="U760" s="9">
        <v>0</v>
      </c>
      <c r="V760" s="9">
        <v>0</v>
      </c>
      <c r="W760" s="9">
        <v>0</v>
      </c>
      <c r="X760" s="9">
        <v>0</v>
      </c>
      <c r="Y760" s="9">
        <v>0</v>
      </c>
      <c r="Z760" s="9">
        <v>0</v>
      </c>
      <c r="AA760" s="9">
        <v>0</v>
      </c>
      <c r="AB760" s="9">
        <v>0</v>
      </c>
      <c r="AC760" s="9">
        <v>0</v>
      </c>
      <c r="AD760" s="9">
        <v>0</v>
      </c>
      <c r="AE760" s="6" t="s">
        <v>57</v>
      </c>
      <c r="AF760" s="6" t="s">
        <v>57</v>
      </c>
      <c r="AG760" s="6" t="s">
        <v>57</v>
      </c>
      <c r="AH760" s="6" t="s">
        <v>57</v>
      </c>
      <c r="AI760" s="6" t="s">
        <v>57</v>
      </c>
      <c r="AJ760" s="6" t="s">
        <v>57</v>
      </c>
      <c r="AK760" s="6" t="s">
        <v>57</v>
      </c>
      <c r="AL760" s="6" t="s">
        <v>57</v>
      </c>
      <c r="AM760" s="6" t="s">
        <v>57</v>
      </c>
      <c r="AN760" s="6" t="s">
        <v>57</v>
      </c>
      <c r="AO760" s="6" t="s">
        <v>57</v>
      </c>
      <c r="AP760" s="6" t="s">
        <v>57</v>
      </c>
      <c r="AQ760" s="9">
        <v>0</v>
      </c>
    </row>
    <row r="761" spans="1:43" ht="15">
      <c r="A761" s="2" t="s">
        <v>2682</v>
      </c>
      <c r="B761" s="5">
        <v>10688979</v>
      </c>
      <c r="C761" s="2" t="s">
        <v>23</v>
      </c>
      <c r="D761" s="2" t="s">
        <v>2683</v>
      </c>
      <c r="E761" s="2" t="s">
        <v>2684</v>
      </c>
      <c r="F761" s="2" t="s">
        <v>26</v>
      </c>
      <c r="G761" s="2" t="s">
        <v>26</v>
      </c>
      <c r="H761" s="2" t="s">
        <v>27</v>
      </c>
      <c r="I761" s="2" t="s">
        <v>28</v>
      </c>
      <c r="J761" s="6"/>
      <c r="K761" s="2" t="s">
        <v>55</v>
      </c>
      <c r="L761" s="2" t="s">
        <v>56</v>
      </c>
      <c r="M761" s="2" t="s">
        <v>55</v>
      </c>
      <c r="N761" s="2"/>
      <c r="O761" s="2"/>
      <c r="P761" s="6" t="s">
        <v>57</v>
      </c>
      <c r="Q761" s="6" t="s">
        <v>57</v>
      </c>
      <c r="R761" s="9">
        <v>0</v>
      </c>
      <c r="S761" s="2"/>
      <c r="T761" s="9">
        <v>0</v>
      </c>
      <c r="U761" s="9">
        <v>582</v>
      </c>
      <c r="V761" s="9">
        <v>218</v>
      </c>
      <c r="W761" s="9">
        <v>2345</v>
      </c>
      <c r="X761" s="9">
        <v>2336</v>
      </c>
      <c r="Y761" s="9">
        <v>2173</v>
      </c>
      <c r="Z761" s="9">
        <v>1608</v>
      </c>
      <c r="AA761" s="9">
        <v>964</v>
      </c>
      <c r="AB761" s="9">
        <v>665</v>
      </c>
      <c r="AC761" s="9">
        <v>229</v>
      </c>
      <c r="AD761" s="9">
        <v>113</v>
      </c>
      <c r="AE761" s="6" t="s">
        <v>57</v>
      </c>
      <c r="AF761" s="6" t="s">
        <v>57</v>
      </c>
      <c r="AG761" s="6" t="s">
        <v>57</v>
      </c>
      <c r="AH761" s="6" t="s">
        <v>57</v>
      </c>
      <c r="AI761" s="6" t="s">
        <v>57</v>
      </c>
      <c r="AJ761" s="6" t="s">
        <v>57</v>
      </c>
      <c r="AK761" s="6" t="s">
        <v>57</v>
      </c>
      <c r="AL761" s="6" t="s">
        <v>57</v>
      </c>
      <c r="AM761" s="6" t="s">
        <v>57</v>
      </c>
      <c r="AN761" s="6" t="s">
        <v>57</v>
      </c>
      <c r="AO761" s="6" t="s">
        <v>57</v>
      </c>
      <c r="AP761" s="6" t="s">
        <v>57</v>
      </c>
      <c r="AQ761" s="9">
        <v>0</v>
      </c>
    </row>
    <row r="762" spans="1:43" ht="15">
      <c r="A762" s="2" t="s">
        <v>2685</v>
      </c>
      <c r="B762" s="5">
        <v>25466786</v>
      </c>
      <c r="C762" s="2" t="s">
        <v>23</v>
      </c>
      <c r="D762" s="2" t="s">
        <v>2686</v>
      </c>
      <c r="E762" s="2" t="s">
        <v>2687</v>
      </c>
      <c r="F762" s="2" t="s">
        <v>26</v>
      </c>
      <c r="G762" s="2"/>
      <c r="H762" s="2"/>
      <c r="I762" s="2" t="s">
        <v>28</v>
      </c>
      <c r="J762" s="6"/>
      <c r="K762" s="2" t="s">
        <v>55</v>
      </c>
      <c r="L762" s="2" t="s">
        <v>56</v>
      </c>
      <c r="M762" s="2" t="s">
        <v>55</v>
      </c>
      <c r="N762" s="2"/>
      <c r="O762" s="2"/>
      <c r="P762" s="6" t="s">
        <v>57</v>
      </c>
      <c r="Q762" s="6" t="s">
        <v>57</v>
      </c>
      <c r="R762" s="9">
        <v>0</v>
      </c>
      <c r="S762" s="2"/>
      <c r="T762" s="9">
        <v>0</v>
      </c>
      <c r="U762" s="9">
        <v>0</v>
      </c>
      <c r="V762" s="9">
        <v>0</v>
      </c>
      <c r="W762" s="9">
        <v>0</v>
      </c>
      <c r="X762" s="9">
        <v>0</v>
      </c>
      <c r="Y762" s="9">
        <v>0</v>
      </c>
      <c r="Z762" s="9">
        <v>0</v>
      </c>
      <c r="AA762" s="9">
        <v>0</v>
      </c>
      <c r="AB762" s="9">
        <v>0</v>
      </c>
      <c r="AC762" s="9">
        <v>0</v>
      </c>
      <c r="AD762" s="9">
        <v>0</v>
      </c>
      <c r="AE762" s="6" t="s">
        <v>57</v>
      </c>
      <c r="AF762" s="6" t="s">
        <v>57</v>
      </c>
      <c r="AG762" s="6" t="s">
        <v>57</v>
      </c>
      <c r="AH762" s="6" t="s">
        <v>57</v>
      </c>
      <c r="AI762" s="6" t="s">
        <v>57</v>
      </c>
      <c r="AJ762" s="6" t="s">
        <v>57</v>
      </c>
      <c r="AK762" s="6" t="s">
        <v>57</v>
      </c>
      <c r="AL762" s="6" t="s">
        <v>57</v>
      </c>
      <c r="AM762" s="6" t="s">
        <v>57</v>
      </c>
      <c r="AN762" s="6" t="s">
        <v>57</v>
      </c>
      <c r="AO762" s="6" t="s">
        <v>57</v>
      </c>
      <c r="AP762" s="6" t="s">
        <v>57</v>
      </c>
      <c r="AQ762" s="9">
        <v>0</v>
      </c>
    </row>
    <row r="763" spans="1:43" ht="15">
      <c r="A763" s="2" t="s">
        <v>2688</v>
      </c>
      <c r="B763" s="5">
        <v>10997365</v>
      </c>
      <c r="C763" s="2" t="s">
        <v>23</v>
      </c>
      <c r="D763" s="2" t="s">
        <v>2689</v>
      </c>
      <c r="E763" s="2" t="s">
        <v>2690</v>
      </c>
      <c r="F763" s="2" t="s">
        <v>26</v>
      </c>
      <c r="G763" s="2"/>
      <c r="H763" s="2"/>
      <c r="I763" s="2" t="s">
        <v>28</v>
      </c>
      <c r="J763" s="6"/>
      <c r="K763" s="2" t="s">
        <v>55</v>
      </c>
      <c r="L763" s="2" t="s">
        <v>56</v>
      </c>
      <c r="M763" s="2" t="s">
        <v>55</v>
      </c>
      <c r="N763" s="2"/>
      <c r="O763" s="2"/>
      <c r="P763" s="6" t="s">
        <v>57</v>
      </c>
      <c r="Q763" s="6" t="s">
        <v>57</v>
      </c>
      <c r="R763" s="9">
        <v>0</v>
      </c>
      <c r="S763" s="2"/>
      <c r="T763" s="9">
        <v>0</v>
      </c>
      <c r="U763" s="9">
        <v>0</v>
      </c>
      <c r="V763" s="9">
        <v>146</v>
      </c>
      <c r="W763" s="9">
        <v>304</v>
      </c>
      <c r="X763" s="9">
        <v>302</v>
      </c>
      <c r="Y763" s="9">
        <v>360</v>
      </c>
      <c r="Z763" s="9">
        <v>1216</v>
      </c>
      <c r="AA763" s="9">
        <v>12654</v>
      </c>
      <c r="AB763" s="9">
        <v>0</v>
      </c>
      <c r="AC763" s="9">
        <v>0</v>
      </c>
      <c r="AD763" s="9">
        <v>391</v>
      </c>
      <c r="AE763" s="6" t="s">
        <v>57</v>
      </c>
      <c r="AF763" s="6" t="s">
        <v>57</v>
      </c>
      <c r="AG763" s="6" t="s">
        <v>57</v>
      </c>
      <c r="AH763" s="6" t="s">
        <v>57</v>
      </c>
      <c r="AI763" s="6" t="s">
        <v>57</v>
      </c>
      <c r="AJ763" s="6" t="s">
        <v>57</v>
      </c>
      <c r="AK763" s="6" t="s">
        <v>57</v>
      </c>
      <c r="AL763" s="6" t="s">
        <v>57</v>
      </c>
      <c r="AM763" s="6" t="s">
        <v>57</v>
      </c>
      <c r="AN763" s="6" t="s">
        <v>57</v>
      </c>
      <c r="AO763" s="6" t="s">
        <v>57</v>
      </c>
      <c r="AP763" s="6" t="s">
        <v>57</v>
      </c>
      <c r="AQ763" s="9">
        <v>0</v>
      </c>
    </row>
    <row r="764" spans="1:43" ht="15">
      <c r="A764" s="2" t="s">
        <v>2691</v>
      </c>
      <c r="B764" s="5">
        <v>110367418</v>
      </c>
      <c r="C764" s="2" t="s">
        <v>23</v>
      </c>
      <c r="D764" s="2" t="s">
        <v>2692</v>
      </c>
      <c r="E764" s="2" t="s">
        <v>2693</v>
      </c>
      <c r="F764" s="2" t="s">
        <v>26</v>
      </c>
      <c r="G764" s="2" t="s">
        <v>26</v>
      </c>
      <c r="H764" s="2" t="s">
        <v>27</v>
      </c>
      <c r="I764" s="2" t="s">
        <v>28</v>
      </c>
      <c r="J764" s="6"/>
      <c r="K764" s="2" t="s">
        <v>55</v>
      </c>
      <c r="L764" s="2" t="s">
        <v>56</v>
      </c>
      <c r="M764" s="2" t="s">
        <v>55</v>
      </c>
      <c r="N764" s="2"/>
      <c r="O764" s="2"/>
      <c r="P764" s="6" t="s">
        <v>57</v>
      </c>
      <c r="Q764" s="6" t="s">
        <v>57</v>
      </c>
      <c r="R764" s="9">
        <v>2426</v>
      </c>
      <c r="S764" s="2"/>
      <c r="T764" s="9">
        <v>809</v>
      </c>
      <c r="U764" s="9">
        <v>1208</v>
      </c>
      <c r="V764" s="9">
        <v>1221</v>
      </c>
      <c r="W764" s="9">
        <v>1613</v>
      </c>
      <c r="X764" s="9">
        <v>1607</v>
      </c>
      <c r="Y764" s="9">
        <v>7796</v>
      </c>
      <c r="Z764" s="9">
        <v>20372</v>
      </c>
      <c r="AA764" s="9">
        <v>19230</v>
      </c>
      <c r="AB764" s="9">
        <v>1380</v>
      </c>
      <c r="AC764" s="9">
        <v>1281</v>
      </c>
      <c r="AD764" s="9">
        <v>1464</v>
      </c>
      <c r="AE764" s="6" t="s">
        <v>57</v>
      </c>
      <c r="AF764" s="6" t="s">
        <v>57</v>
      </c>
      <c r="AG764" s="6" t="s">
        <v>57</v>
      </c>
      <c r="AH764" s="6" t="s">
        <v>57</v>
      </c>
      <c r="AI764" s="6" t="s">
        <v>57</v>
      </c>
      <c r="AJ764" s="6" t="s">
        <v>57</v>
      </c>
      <c r="AK764" s="6" t="s">
        <v>57</v>
      </c>
      <c r="AL764" s="6" t="s">
        <v>57</v>
      </c>
      <c r="AM764" s="6" t="s">
        <v>57</v>
      </c>
      <c r="AN764" s="6" t="s">
        <v>57</v>
      </c>
      <c r="AO764" s="6" t="s">
        <v>57</v>
      </c>
      <c r="AP764" s="6" t="s">
        <v>57</v>
      </c>
      <c r="AQ764" s="9">
        <v>4851</v>
      </c>
    </row>
    <row r="765" spans="1:43" ht="15">
      <c r="A765" s="2" t="s">
        <v>2694</v>
      </c>
      <c r="B765" s="5">
        <v>8508968</v>
      </c>
      <c r="C765" s="2" t="s">
        <v>23</v>
      </c>
      <c r="D765" s="2" t="s">
        <v>2695</v>
      </c>
      <c r="E765" s="2" t="s">
        <v>2696</v>
      </c>
      <c r="F765" s="2" t="s">
        <v>26</v>
      </c>
      <c r="G765" s="2" t="s">
        <v>26</v>
      </c>
      <c r="H765" s="2" t="s">
        <v>27</v>
      </c>
      <c r="I765" s="2" t="s">
        <v>28</v>
      </c>
      <c r="J765" s="6"/>
      <c r="K765" s="2" t="s">
        <v>55</v>
      </c>
      <c r="L765" s="2" t="s">
        <v>56</v>
      </c>
      <c r="M765" s="2" t="s">
        <v>55</v>
      </c>
      <c r="N765" s="2"/>
      <c r="O765" s="2"/>
      <c r="P765" s="7">
        <v>1.6891170488282301</v>
      </c>
      <c r="Q765" s="6" t="s">
        <v>57</v>
      </c>
      <c r="R765" s="9">
        <v>18000</v>
      </c>
      <c r="S765" s="2"/>
      <c r="T765" s="9">
        <v>6000</v>
      </c>
      <c r="U765" s="9">
        <v>2329</v>
      </c>
      <c r="V765" s="9">
        <v>1030</v>
      </c>
      <c r="W765" s="9">
        <v>2940</v>
      </c>
      <c r="X765" s="9">
        <v>3923</v>
      </c>
      <c r="Y765" s="9">
        <v>3004</v>
      </c>
      <c r="Z765" s="9">
        <v>2571</v>
      </c>
      <c r="AA765" s="9">
        <v>3113</v>
      </c>
      <c r="AB765" s="9">
        <v>1826</v>
      </c>
      <c r="AC765" s="9">
        <v>1081</v>
      </c>
      <c r="AD765" s="9">
        <v>1313</v>
      </c>
      <c r="AE765" s="6" t="s">
        <v>57</v>
      </c>
      <c r="AF765" s="6" t="s">
        <v>57</v>
      </c>
      <c r="AG765" s="6" t="s">
        <v>57</v>
      </c>
      <c r="AH765" s="6" t="s">
        <v>57</v>
      </c>
      <c r="AI765" s="6" t="s">
        <v>57</v>
      </c>
      <c r="AJ765" s="6" t="s">
        <v>57</v>
      </c>
      <c r="AK765" s="6" t="s">
        <v>57</v>
      </c>
      <c r="AL765" s="6" t="s">
        <v>57</v>
      </c>
      <c r="AM765" s="6" t="s">
        <v>57</v>
      </c>
      <c r="AN765" s="6" t="s">
        <v>57</v>
      </c>
      <c r="AO765" s="6" t="s">
        <v>57</v>
      </c>
      <c r="AP765" s="6" t="s">
        <v>57</v>
      </c>
      <c r="AQ765" s="9">
        <v>36000</v>
      </c>
    </row>
    <row r="766" spans="1:43" ht="15">
      <c r="A766" s="2" t="s">
        <v>2697</v>
      </c>
      <c r="B766" s="5">
        <v>118388246</v>
      </c>
      <c r="C766" s="2" t="s">
        <v>23</v>
      </c>
      <c r="D766" s="2" t="s">
        <v>2698</v>
      </c>
      <c r="E766" s="2" t="s">
        <v>2699</v>
      </c>
      <c r="F766" s="2" t="s">
        <v>26</v>
      </c>
      <c r="G766" s="2"/>
      <c r="H766" s="2"/>
      <c r="I766" s="2" t="s">
        <v>28</v>
      </c>
      <c r="J766" s="6"/>
      <c r="K766" s="2" t="s">
        <v>55</v>
      </c>
      <c r="L766" s="2" t="s">
        <v>56</v>
      </c>
      <c r="M766" s="2" t="s">
        <v>55</v>
      </c>
      <c r="N766" s="2"/>
      <c r="O766" s="2"/>
      <c r="P766" s="6" t="s">
        <v>57</v>
      </c>
      <c r="Q766" s="6" t="s">
        <v>57</v>
      </c>
      <c r="R766" s="6" t="s">
        <v>57</v>
      </c>
      <c r="S766" s="2"/>
      <c r="T766" s="6" t="s">
        <v>57</v>
      </c>
      <c r="U766" s="6" t="s">
        <v>57</v>
      </c>
      <c r="V766" s="6" t="s">
        <v>57</v>
      </c>
      <c r="W766" s="6" t="s">
        <v>57</v>
      </c>
      <c r="X766" s="6" t="s">
        <v>57</v>
      </c>
      <c r="Y766" s="6" t="s">
        <v>57</v>
      </c>
      <c r="Z766" s="6" t="s">
        <v>57</v>
      </c>
      <c r="AA766" s="6" t="s">
        <v>57</v>
      </c>
      <c r="AB766" s="6" t="s">
        <v>57</v>
      </c>
      <c r="AC766" s="6" t="s">
        <v>57</v>
      </c>
      <c r="AD766" s="6" t="s">
        <v>57</v>
      </c>
      <c r="AE766" s="6" t="s">
        <v>57</v>
      </c>
      <c r="AF766" s="6" t="s">
        <v>57</v>
      </c>
      <c r="AG766" s="6" t="s">
        <v>57</v>
      </c>
      <c r="AH766" s="6" t="s">
        <v>57</v>
      </c>
      <c r="AI766" s="6" t="s">
        <v>57</v>
      </c>
      <c r="AJ766" s="6" t="s">
        <v>57</v>
      </c>
      <c r="AK766" s="6" t="s">
        <v>57</v>
      </c>
      <c r="AL766" s="6" t="s">
        <v>57</v>
      </c>
      <c r="AM766" s="6" t="s">
        <v>57</v>
      </c>
      <c r="AN766" s="6" t="s">
        <v>57</v>
      </c>
      <c r="AO766" s="6" t="s">
        <v>57</v>
      </c>
      <c r="AP766" s="6" t="s">
        <v>57</v>
      </c>
      <c r="AQ766" s="6" t="s">
        <v>57</v>
      </c>
    </row>
    <row r="767" spans="1:43" ht="15">
      <c r="A767" s="2" t="s">
        <v>2700</v>
      </c>
      <c r="B767" s="5">
        <v>109778563</v>
      </c>
      <c r="C767" s="2" t="s">
        <v>23</v>
      </c>
      <c r="D767" s="2" t="s">
        <v>2701</v>
      </c>
      <c r="E767" s="2" t="s">
        <v>2702</v>
      </c>
      <c r="F767" s="2" t="s">
        <v>26</v>
      </c>
      <c r="G767" s="2" t="s">
        <v>26</v>
      </c>
      <c r="H767" s="2" t="s">
        <v>27</v>
      </c>
      <c r="I767" s="2" t="s">
        <v>28</v>
      </c>
      <c r="J767" s="6"/>
      <c r="K767" s="2" t="s">
        <v>55</v>
      </c>
      <c r="L767" s="2" t="s">
        <v>56</v>
      </c>
      <c r="M767" s="2" t="s">
        <v>55</v>
      </c>
      <c r="N767" s="2"/>
      <c r="O767" s="2"/>
      <c r="P767" s="6" t="s">
        <v>57</v>
      </c>
      <c r="Q767" s="6" t="s">
        <v>57</v>
      </c>
      <c r="R767" s="9">
        <v>0</v>
      </c>
      <c r="S767" s="2"/>
      <c r="T767" s="9">
        <v>0</v>
      </c>
      <c r="U767" s="9">
        <v>0</v>
      </c>
      <c r="V767" s="9">
        <v>0</v>
      </c>
      <c r="W767" s="9">
        <v>0</v>
      </c>
      <c r="X767" s="9">
        <v>0</v>
      </c>
      <c r="Y767" s="9">
        <v>3</v>
      </c>
      <c r="Z767" s="9">
        <v>4</v>
      </c>
      <c r="AA767" s="9">
        <v>69</v>
      </c>
      <c r="AB767" s="9">
        <v>0</v>
      </c>
      <c r="AC767" s="9">
        <v>0</v>
      </c>
      <c r="AD767" s="9">
        <v>0</v>
      </c>
      <c r="AE767" s="6" t="s">
        <v>57</v>
      </c>
      <c r="AF767" s="6" t="s">
        <v>57</v>
      </c>
      <c r="AG767" s="6" t="s">
        <v>57</v>
      </c>
      <c r="AH767" s="6" t="s">
        <v>57</v>
      </c>
      <c r="AI767" s="6" t="s">
        <v>57</v>
      </c>
      <c r="AJ767" s="6" t="s">
        <v>57</v>
      </c>
      <c r="AK767" s="6" t="s">
        <v>57</v>
      </c>
      <c r="AL767" s="6" t="s">
        <v>57</v>
      </c>
      <c r="AM767" s="6" t="s">
        <v>57</v>
      </c>
      <c r="AN767" s="6" t="s">
        <v>57</v>
      </c>
      <c r="AO767" s="6" t="s">
        <v>57</v>
      </c>
      <c r="AP767" s="6" t="s">
        <v>57</v>
      </c>
      <c r="AQ767" s="9">
        <v>0</v>
      </c>
    </row>
    <row r="768" spans="1:43" ht="15">
      <c r="A768" s="2" t="s">
        <v>2703</v>
      </c>
      <c r="B768" s="5">
        <v>7075306</v>
      </c>
      <c r="C768" s="2" t="s">
        <v>23</v>
      </c>
      <c r="D768" s="2" t="s">
        <v>2704</v>
      </c>
      <c r="E768" s="2" t="s">
        <v>2705</v>
      </c>
      <c r="F768" s="2" t="s">
        <v>26</v>
      </c>
      <c r="G768" s="2"/>
      <c r="H768" s="2"/>
      <c r="I768" s="2" t="s">
        <v>28</v>
      </c>
      <c r="J768" s="6"/>
      <c r="K768" s="2" t="s">
        <v>55</v>
      </c>
      <c r="L768" s="2" t="s">
        <v>56</v>
      </c>
      <c r="M768" s="2" t="s">
        <v>55</v>
      </c>
      <c r="N768" s="2"/>
      <c r="O768" s="2"/>
      <c r="P768" s="7">
        <v>4.0665539444671701</v>
      </c>
      <c r="Q768" s="6" t="s">
        <v>57</v>
      </c>
      <c r="R768" s="9">
        <v>0</v>
      </c>
      <c r="S768" s="2"/>
      <c r="T768" s="9">
        <v>0</v>
      </c>
      <c r="U768" s="9">
        <v>0</v>
      </c>
      <c r="V768" s="9">
        <v>308</v>
      </c>
      <c r="W768" s="9">
        <v>79</v>
      </c>
      <c r="X768" s="9">
        <v>79</v>
      </c>
      <c r="Y768" s="9">
        <v>40</v>
      </c>
      <c r="Z768" s="9">
        <v>26</v>
      </c>
      <c r="AA768" s="9">
        <v>16</v>
      </c>
      <c r="AB768" s="9">
        <v>0</v>
      </c>
      <c r="AC768" s="9">
        <v>324</v>
      </c>
      <c r="AD768" s="9">
        <v>159</v>
      </c>
      <c r="AE768" s="6" t="s">
        <v>57</v>
      </c>
      <c r="AF768" s="6" t="s">
        <v>57</v>
      </c>
      <c r="AG768" s="6" t="s">
        <v>57</v>
      </c>
      <c r="AH768" s="6" t="s">
        <v>57</v>
      </c>
      <c r="AI768" s="6" t="s">
        <v>57</v>
      </c>
      <c r="AJ768" s="6" t="s">
        <v>57</v>
      </c>
      <c r="AK768" s="6" t="s">
        <v>57</v>
      </c>
      <c r="AL768" s="6" t="s">
        <v>57</v>
      </c>
      <c r="AM768" s="6" t="s">
        <v>57</v>
      </c>
      <c r="AN768" s="6" t="s">
        <v>57</v>
      </c>
      <c r="AO768" s="6" t="s">
        <v>57</v>
      </c>
      <c r="AP768" s="6" t="s">
        <v>57</v>
      </c>
      <c r="AQ768" s="9">
        <v>0</v>
      </c>
    </row>
    <row r="769" spans="1:43" ht="15">
      <c r="A769" s="2" t="s">
        <v>2706</v>
      </c>
      <c r="B769" s="5">
        <v>7031385</v>
      </c>
      <c r="C769" s="2" t="s">
        <v>23</v>
      </c>
      <c r="D769" s="2" t="s">
        <v>2707</v>
      </c>
      <c r="E769" s="2" t="s">
        <v>2708</v>
      </c>
      <c r="F769" s="2" t="s">
        <v>26</v>
      </c>
      <c r="G769" s="2" t="s">
        <v>26</v>
      </c>
      <c r="H769" s="2" t="s">
        <v>27</v>
      </c>
      <c r="I769" s="2" t="s">
        <v>28</v>
      </c>
      <c r="J769" s="6"/>
      <c r="K769" s="2" t="s">
        <v>55</v>
      </c>
      <c r="L769" s="2" t="s">
        <v>56</v>
      </c>
      <c r="M769" s="2" t="s">
        <v>55</v>
      </c>
      <c r="N769" s="2"/>
      <c r="O769" s="2"/>
      <c r="P769" s="6" t="s">
        <v>57</v>
      </c>
      <c r="Q769" s="6" t="s">
        <v>57</v>
      </c>
      <c r="R769" s="9">
        <v>0</v>
      </c>
      <c r="S769" s="2"/>
      <c r="T769" s="9">
        <v>0</v>
      </c>
      <c r="U769" s="9">
        <v>0</v>
      </c>
      <c r="V769" s="9">
        <v>0</v>
      </c>
      <c r="W769" s="9">
        <v>0</v>
      </c>
      <c r="X769" s="9">
        <v>0</v>
      </c>
      <c r="Y769" s="9">
        <v>194</v>
      </c>
      <c r="Z769" s="9">
        <v>255</v>
      </c>
      <c r="AA769" s="9">
        <v>210</v>
      </c>
      <c r="AB769" s="9">
        <v>0</v>
      </c>
      <c r="AC769" s="9">
        <v>0</v>
      </c>
      <c r="AD769" s="9">
        <v>0</v>
      </c>
      <c r="AE769" s="6" t="s">
        <v>57</v>
      </c>
      <c r="AF769" s="6" t="s">
        <v>57</v>
      </c>
      <c r="AG769" s="6" t="s">
        <v>57</v>
      </c>
      <c r="AH769" s="6" t="s">
        <v>57</v>
      </c>
      <c r="AI769" s="6" t="s">
        <v>57</v>
      </c>
      <c r="AJ769" s="6" t="s">
        <v>57</v>
      </c>
      <c r="AK769" s="6" t="s">
        <v>57</v>
      </c>
      <c r="AL769" s="6" t="s">
        <v>57</v>
      </c>
      <c r="AM769" s="6" t="s">
        <v>57</v>
      </c>
      <c r="AN769" s="6" t="s">
        <v>57</v>
      </c>
      <c r="AO769" s="6" t="s">
        <v>57</v>
      </c>
      <c r="AP769" s="6" t="s">
        <v>57</v>
      </c>
      <c r="AQ769" s="9">
        <v>0</v>
      </c>
    </row>
    <row r="770" spans="1:43" ht="15">
      <c r="A770" s="2" t="s">
        <v>2709</v>
      </c>
      <c r="B770" s="5">
        <v>112789871</v>
      </c>
      <c r="C770" s="2" t="s">
        <v>23</v>
      </c>
      <c r="D770" s="2" t="s">
        <v>2710</v>
      </c>
      <c r="E770" s="2" t="s">
        <v>2711</v>
      </c>
      <c r="F770" s="2" t="s">
        <v>26</v>
      </c>
      <c r="G770" s="2" t="s">
        <v>26</v>
      </c>
      <c r="H770" s="2" t="s">
        <v>27</v>
      </c>
      <c r="I770" s="2" t="s">
        <v>28</v>
      </c>
      <c r="J770" s="6"/>
      <c r="K770" s="2" t="s">
        <v>55</v>
      </c>
      <c r="L770" s="2" t="s">
        <v>56</v>
      </c>
      <c r="M770" s="2" t="s">
        <v>55</v>
      </c>
      <c r="N770" s="2"/>
      <c r="O770" s="2"/>
      <c r="P770" s="6" t="s">
        <v>57</v>
      </c>
      <c r="Q770" s="6" t="s">
        <v>57</v>
      </c>
      <c r="R770" s="9">
        <v>0</v>
      </c>
      <c r="S770" s="2"/>
      <c r="T770" s="9">
        <v>0</v>
      </c>
      <c r="U770" s="9">
        <v>0</v>
      </c>
      <c r="V770" s="9">
        <v>0</v>
      </c>
      <c r="W770" s="9">
        <v>0</v>
      </c>
      <c r="X770" s="9">
        <v>0</v>
      </c>
      <c r="Y770" s="9">
        <v>0</v>
      </c>
      <c r="Z770" s="9">
        <v>0</v>
      </c>
      <c r="AA770" s="9">
        <v>0</v>
      </c>
      <c r="AB770" s="9">
        <v>0</v>
      </c>
      <c r="AC770" s="9">
        <v>0</v>
      </c>
      <c r="AD770" s="9">
        <v>0</v>
      </c>
      <c r="AE770" s="6" t="s">
        <v>57</v>
      </c>
      <c r="AF770" s="6" t="s">
        <v>57</v>
      </c>
      <c r="AG770" s="6" t="s">
        <v>57</v>
      </c>
      <c r="AH770" s="6" t="s">
        <v>57</v>
      </c>
      <c r="AI770" s="6" t="s">
        <v>57</v>
      </c>
      <c r="AJ770" s="6" t="s">
        <v>57</v>
      </c>
      <c r="AK770" s="6" t="s">
        <v>57</v>
      </c>
      <c r="AL770" s="6" t="s">
        <v>57</v>
      </c>
      <c r="AM770" s="6" t="s">
        <v>57</v>
      </c>
      <c r="AN770" s="6" t="s">
        <v>57</v>
      </c>
      <c r="AO770" s="6" t="s">
        <v>57</v>
      </c>
      <c r="AP770" s="6" t="s">
        <v>57</v>
      </c>
      <c r="AQ770" s="9">
        <v>0</v>
      </c>
    </row>
    <row r="771" spans="1:43" ht="15">
      <c r="A771" s="2" t="s">
        <v>2712</v>
      </c>
      <c r="B771" s="5">
        <v>110367333</v>
      </c>
      <c r="C771" s="2" t="s">
        <v>23</v>
      </c>
      <c r="D771" s="2" t="s">
        <v>2713</v>
      </c>
      <c r="E771" s="2" t="s">
        <v>2714</v>
      </c>
      <c r="F771" s="2" t="s">
        <v>26</v>
      </c>
      <c r="G771" s="2"/>
      <c r="H771" s="2"/>
      <c r="I771" s="2" t="s">
        <v>28</v>
      </c>
      <c r="J771" s="6"/>
      <c r="K771" s="2" t="s">
        <v>55</v>
      </c>
      <c r="L771" s="2" t="s">
        <v>56</v>
      </c>
      <c r="M771" s="2" t="s">
        <v>55</v>
      </c>
      <c r="N771" s="2"/>
      <c r="O771" s="2"/>
      <c r="P771" s="6" t="s">
        <v>57</v>
      </c>
      <c r="Q771" s="6" t="s">
        <v>57</v>
      </c>
      <c r="R771" s="9">
        <v>0</v>
      </c>
      <c r="S771" s="2"/>
      <c r="T771" s="9">
        <v>0</v>
      </c>
      <c r="U771" s="9">
        <v>0</v>
      </c>
      <c r="V771" s="9">
        <v>0</v>
      </c>
      <c r="W771" s="9">
        <v>0</v>
      </c>
      <c r="X771" s="9">
        <v>0</v>
      </c>
      <c r="Y771" s="9">
        <v>0</v>
      </c>
      <c r="Z771" s="9">
        <v>0</v>
      </c>
      <c r="AA771" s="9">
        <v>0</v>
      </c>
      <c r="AB771" s="9">
        <v>0</v>
      </c>
      <c r="AC771" s="9">
        <v>0</v>
      </c>
      <c r="AD771" s="9">
        <v>0</v>
      </c>
      <c r="AE771" s="6" t="s">
        <v>57</v>
      </c>
      <c r="AF771" s="6" t="s">
        <v>57</v>
      </c>
      <c r="AG771" s="6" t="s">
        <v>57</v>
      </c>
      <c r="AH771" s="6" t="s">
        <v>57</v>
      </c>
      <c r="AI771" s="6" t="s">
        <v>57</v>
      </c>
      <c r="AJ771" s="6" t="s">
        <v>57</v>
      </c>
      <c r="AK771" s="6" t="s">
        <v>57</v>
      </c>
      <c r="AL771" s="6" t="s">
        <v>57</v>
      </c>
      <c r="AM771" s="6" t="s">
        <v>57</v>
      </c>
      <c r="AN771" s="6" t="s">
        <v>57</v>
      </c>
      <c r="AO771" s="6" t="s">
        <v>57</v>
      </c>
      <c r="AP771" s="6" t="s">
        <v>57</v>
      </c>
      <c r="AQ771" s="9">
        <v>0</v>
      </c>
    </row>
    <row r="772" spans="1:43" ht="15">
      <c r="A772" s="2" t="s">
        <v>2715</v>
      </c>
      <c r="B772" s="5">
        <v>110367630</v>
      </c>
      <c r="C772" s="2" t="s">
        <v>23</v>
      </c>
      <c r="D772" s="2" t="s">
        <v>2716</v>
      </c>
      <c r="E772" s="2" t="s">
        <v>2717</v>
      </c>
      <c r="F772" s="2" t="s">
        <v>26</v>
      </c>
      <c r="G772" s="2" t="s">
        <v>26</v>
      </c>
      <c r="H772" s="2" t="s">
        <v>27</v>
      </c>
      <c r="I772" s="2" t="s">
        <v>28</v>
      </c>
      <c r="J772" s="6"/>
      <c r="K772" s="2" t="s">
        <v>55</v>
      </c>
      <c r="L772" s="2" t="s">
        <v>56</v>
      </c>
      <c r="M772" s="2" t="s">
        <v>55</v>
      </c>
      <c r="N772" s="2"/>
      <c r="O772" s="2"/>
      <c r="P772" s="6" t="s">
        <v>57</v>
      </c>
      <c r="Q772" s="6" t="s">
        <v>57</v>
      </c>
      <c r="R772" s="9">
        <v>0</v>
      </c>
      <c r="S772" s="2"/>
      <c r="T772" s="9">
        <v>0</v>
      </c>
      <c r="U772" s="9">
        <v>0</v>
      </c>
      <c r="V772" s="9">
        <v>0</v>
      </c>
      <c r="W772" s="9">
        <v>0</v>
      </c>
      <c r="X772" s="9">
        <v>0</v>
      </c>
      <c r="Y772" s="9">
        <v>0</v>
      </c>
      <c r="Z772" s="9">
        <v>0</v>
      </c>
      <c r="AA772" s="9">
        <v>0</v>
      </c>
      <c r="AB772" s="9">
        <v>0</v>
      </c>
      <c r="AC772" s="9">
        <v>0</v>
      </c>
      <c r="AD772" s="9">
        <v>0</v>
      </c>
      <c r="AE772" s="6" t="s">
        <v>57</v>
      </c>
      <c r="AF772" s="6" t="s">
        <v>57</v>
      </c>
      <c r="AG772" s="6" t="s">
        <v>57</v>
      </c>
      <c r="AH772" s="6" t="s">
        <v>57</v>
      </c>
      <c r="AI772" s="6" t="s">
        <v>57</v>
      </c>
      <c r="AJ772" s="6" t="s">
        <v>57</v>
      </c>
      <c r="AK772" s="6" t="s">
        <v>57</v>
      </c>
      <c r="AL772" s="6" t="s">
        <v>57</v>
      </c>
      <c r="AM772" s="6" t="s">
        <v>57</v>
      </c>
      <c r="AN772" s="6" t="s">
        <v>57</v>
      </c>
      <c r="AO772" s="6" t="s">
        <v>57</v>
      </c>
      <c r="AP772" s="6" t="s">
        <v>57</v>
      </c>
      <c r="AQ772" s="9">
        <v>0</v>
      </c>
    </row>
    <row r="773" spans="1:43" ht="15">
      <c r="A773" s="2" t="s">
        <v>2718</v>
      </c>
      <c r="B773" s="5">
        <v>27652601</v>
      </c>
      <c r="C773" s="2" t="s">
        <v>23</v>
      </c>
      <c r="D773" s="2" t="s">
        <v>2719</v>
      </c>
      <c r="E773" s="2" t="s">
        <v>2720</v>
      </c>
      <c r="F773" s="2" t="s">
        <v>26</v>
      </c>
      <c r="G773" s="2" t="s">
        <v>26</v>
      </c>
      <c r="H773" s="2" t="s">
        <v>27</v>
      </c>
      <c r="I773" s="2" t="s">
        <v>28</v>
      </c>
      <c r="J773" s="6"/>
      <c r="K773" s="2" t="s">
        <v>55</v>
      </c>
      <c r="L773" s="2" t="s">
        <v>56</v>
      </c>
      <c r="M773" s="2" t="s">
        <v>55</v>
      </c>
      <c r="N773" s="2"/>
      <c r="O773" s="2"/>
      <c r="P773" s="6" t="s">
        <v>57</v>
      </c>
      <c r="Q773" s="6" t="s">
        <v>57</v>
      </c>
      <c r="R773" s="9">
        <v>0</v>
      </c>
      <c r="S773" s="2"/>
      <c r="T773" s="9">
        <v>0</v>
      </c>
      <c r="U773" s="9">
        <v>0</v>
      </c>
      <c r="V773" s="9">
        <v>0</v>
      </c>
      <c r="W773" s="9">
        <v>797</v>
      </c>
      <c r="X773" s="9">
        <v>794</v>
      </c>
      <c r="Y773" s="9">
        <v>1650</v>
      </c>
      <c r="Z773" s="9">
        <v>1104</v>
      </c>
      <c r="AA773" s="9">
        <v>766</v>
      </c>
      <c r="AB773" s="9">
        <v>0</v>
      </c>
      <c r="AC773" s="9">
        <v>0</v>
      </c>
      <c r="AD773" s="9">
        <v>429</v>
      </c>
      <c r="AE773" s="6" t="s">
        <v>57</v>
      </c>
      <c r="AF773" s="6" t="s">
        <v>57</v>
      </c>
      <c r="AG773" s="6" t="s">
        <v>57</v>
      </c>
      <c r="AH773" s="6" t="s">
        <v>57</v>
      </c>
      <c r="AI773" s="6" t="s">
        <v>57</v>
      </c>
      <c r="AJ773" s="6" t="s">
        <v>57</v>
      </c>
      <c r="AK773" s="6" t="s">
        <v>57</v>
      </c>
      <c r="AL773" s="6" t="s">
        <v>57</v>
      </c>
      <c r="AM773" s="6" t="s">
        <v>57</v>
      </c>
      <c r="AN773" s="6" t="s">
        <v>57</v>
      </c>
      <c r="AO773" s="6" t="s">
        <v>57</v>
      </c>
      <c r="AP773" s="6" t="s">
        <v>57</v>
      </c>
      <c r="AQ773" s="9">
        <v>0</v>
      </c>
    </row>
    <row r="774" spans="1:43" ht="15">
      <c r="A774" s="2" t="s">
        <v>2721</v>
      </c>
      <c r="B774" s="5">
        <v>13585823</v>
      </c>
      <c r="C774" s="2" t="s">
        <v>23</v>
      </c>
      <c r="D774" s="2" t="s">
        <v>2722</v>
      </c>
      <c r="E774" s="2" t="s">
        <v>2723</v>
      </c>
      <c r="F774" s="2" t="s">
        <v>26</v>
      </c>
      <c r="G774" s="2" t="s">
        <v>26</v>
      </c>
      <c r="H774" s="2" t="s">
        <v>27</v>
      </c>
      <c r="I774" s="2" t="s">
        <v>28</v>
      </c>
      <c r="J774" s="6"/>
      <c r="K774" s="2" t="s">
        <v>55</v>
      </c>
      <c r="L774" s="2" t="s">
        <v>56</v>
      </c>
      <c r="M774" s="2" t="s">
        <v>55</v>
      </c>
      <c r="N774" s="2"/>
      <c r="O774" s="2"/>
      <c r="P774" s="6" t="s">
        <v>57</v>
      </c>
      <c r="Q774" s="6" t="s">
        <v>57</v>
      </c>
      <c r="R774" s="9">
        <v>0</v>
      </c>
      <c r="S774" s="2"/>
      <c r="T774" s="9">
        <v>0</v>
      </c>
      <c r="U774" s="9">
        <v>0</v>
      </c>
      <c r="V774" s="9">
        <v>0</v>
      </c>
      <c r="W774" s="9">
        <v>0</v>
      </c>
      <c r="X774" s="9">
        <v>0</v>
      </c>
      <c r="Y774" s="9">
        <v>0</v>
      </c>
      <c r="Z774" s="9">
        <v>0</v>
      </c>
      <c r="AA774" s="9">
        <v>0</v>
      </c>
      <c r="AB774" s="9">
        <v>0</v>
      </c>
      <c r="AC774" s="9">
        <v>0</v>
      </c>
      <c r="AD774" s="9">
        <v>0</v>
      </c>
      <c r="AE774" s="6" t="s">
        <v>57</v>
      </c>
      <c r="AF774" s="6" t="s">
        <v>57</v>
      </c>
      <c r="AG774" s="6" t="s">
        <v>57</v>
      </c>
      <c r="AH774" s="6" t="s">
        <v>57</v>
      </c>
      <c r="AI774" s="6" t="s">
        <v>57</v>
      </c>
      <c r="AJ774" s="6" t="s">
        <v>57</v>
      </c>
      <c r="AK774" s="6" t="s">
        <v>57</v>
      </c>
      <c r="AL774" s="6" t="s">
        <v>57</v>
      </c>
      <c r="AM774" s="6" t="s">
        <v>57</v>
      </c>
      <c r="AN774" s="6" t="s">
        <v>57</v>
      </c>
      <c r="AO774" s="6" t="s">
        <v>57</v>
      </c>
      <c r="AP774" s="6" t="s">
        <v>57</v>
      </c>
      <c r="AQ774" s="9">
        <v>0</v>
      </c>
    </row>
    <row r="775" spans="1:43" ht="15">
      <c r="A775" s="2" t="s">
        <v>2724</v>
      </c>
      <c r="B775" s="5">
        <v>13771994</v>
      </c>
      <c r="C775" s="2" t="s">
        <v>23</v>
      </c>
      <c r="D775" s="2" t="s">
        <v>2725</v>
      </c>
      <c r="E775" s="2" t="s">
        <v>2726</v>
      </c>
      <c r="F775" s="2" t="s">
        <v>26</v>
      </c>
      <c r="G775" s="2" t="s">
        <v>26</v>
      </c>
      <c r="H775" s="2" t="s">
        <v>27</v>
      </c>
      <c r="I775" s="2" t="s">
        <v>28</v>
      </c>
      <c r="J775" s="6"/>
      <c r="K775" s="2" t="s">
        <v>55</v>
      </c>
      <c r="L775" s="2" t="s">
        <v>56</v>
      </c>
      <c r="M775" s="2" t="s">
        <v>55</v>
      </c>
      <c r="N775" s="2"/>
      <c r="O775" s="2"/>
      <c r="P775" s="6" t="s">
        <v>57</v>
      </c>
      <c r="Q775" s="6" t="s">
        <v>57</v>
      </c>
      <c r="R775" s="9">
        <v>0</v>
      </c>
      <c r="S775" s="2"/>
      <c r="T775" s="9">
        <v>0</v>
      </c>
      <c r="U775" s="9">
        <v>0</v>
      </c>
      <c r="V775" s="9">
        <v>0</v>
      </c>
      <c r="W775" s="9">
        <v>0</v>
      </c>
      <c r="X775" s="9">
        <v>0</v>
      </c>
      <c r="Y775" s="9">
        <v>0</v>
      </c>
      <c r="Z775" s="9">
        <v>0</v>
      </c>
      <c r="AA775" s="9">
        <v>0</v>
      </c>
      <c r="AB775" s="9">
        <v>0</v>
      </c>
      <c r="AC775" s="9">
        <v>0</v>
      </c>
      <c r="AD775" s="9">
        <v>0</v>
      </c>
      <c r="AE775" s="6" t="s">
        <v>57</v>
      </c>
      <c r="AF775" s="6" t="s">
        <v>57</v>
      </c>
      <c r="AG775" s="6" t="s">
        <v>57</v>
      </c>
      <c r="AH775" s="6" t="s">
        <v>57</v>
      </c>
      <c r="AI775" s="6" t="s">
        <v>57</v>
      </c>
      <c r="AJ775" s="6" t="s">
        <v>57</v>
      </c>
      <c r="AK775" s="6" t="s">
        <v>57</v>
      </c>
      <c r="AL775" s="6" t="s">
        <v>57</v>
      </c>
      <c r="AM775" s="6" t="s">
        <v>57</v>
      </c>
      <c r="AN775" s="6" t="s">
        <v>57</v>
      </c>
      <c r="AO775" s="6" t="s">
        <v>57</v>
      </c>
      <c r="AP775" s="6" t="s">
        <v>57</v>
      </c>
      <c r="AQ775" s="9">
        <v>0</v>
      </c>
    </row>
    <row r="776" spans="1:43" ht="15">
      <c r="A776" s="2" t="s">
        <v>2727</v>
      </c>
      <c r="B776" s="5">
        <v>13579292</v>
      </c>
      <c r="C776" s="2" t="s">
        <v>23</v>
      </c>
      <c r="D776" s="2" t="s">
        <v>2728</v>
      </c>
      <c r="E776" s="2" t="s">
        <v>2729</v>
      </c>
      <c r="F776" s="2" t="s">
        <v>26</v>
      </c>
      <c r="G776" s="2" t="s">
        <v>26</v>
      </c>
      <c r="H776" s="2" t="s">
        <v>27</v>
      </c>
      <c r="I776" s="2" t="s">
        <v>28</v>
      </c>
      <c r="J776" s="6"/>
      <c r="K776" s="2" t="s">
        <v>55</v>
      </c>
      <c r="L776" s="2" t="s">
        <v>56</v>
      </c>
      <c r="M776" s="2" t="s">
        <v>55</v>
      </c>
      <c r="N776" s="2"/>
      <c r="O776" s="2"/>
      <c r="P776" s="6" t="s">
        <v>57</v>
      </c>
      <c r="Q776" s="6" t="s">
        <v>57</v>
      </c>
      <c r="R776" s="9">
        <v>0</v>
      </c>
      <c r="S776" s="2"/>
      <c r="T776" s="9">
        <v>0</v>
      </c>
      <c r="U776" s="9">
        <v>0</v>
      </c>
      <c r="V776" s="9">
        <v>0</v>
      </c>
      <c r="W776" s="9">
        <v>0</v>
      </c>
      <c r="X776" s="9">
        <v>0</v>
      </c>
      <c r="Y776" s="9">
        <v>0</v>
      </c>
      <c r="Z776" s="9">
        <v>25</v>
      </c>
      <c r="AA776" s="9">
        <v>82</v>
      </c>
      <c r="AB776" s="9">
        <v>0</v>
      </c>
      <c r="AC776" s="9">
        <v>0</v>
      </c>
      <c r="AD776" s="9">
        <v>0</v>
      </c>
      <c r="AE776" s="6" t="s">
        <v>57</v>
      </c>
      <c r="AF776" s="6" t="s">
        <v>57</v>
      </c>
      <c r="AG776" s="6" t="s">
        <v>57</v>
      </c>
      <c r="AH776" s="6" t="s">
        <v>57</v>
      </c>
      <c r="AI776" s="6" t="s">
        <v>57</v>
      </c>
      <c r="AJ776" s="6" t="s">
        <v>57</v>
      </c>
      <c r="AK776" s="6" t="s">
        <v>57</v>
      </c>
      <c r="AL776" s="6" t="s">
        <v>57</v>
      </c>
      <c r="AM776" s="6" t="s">
        <v>57</v>
      </c>
      <c r="AN776" s="6" t="s">
        <v>57</v>
      </c>
      <c r="AO776" s="6" t="s">
        <v>57</v>
      </c>
      <c r="AP776" s="6" t="s">
        <v>57</v>
      </c>
      <c r="AQ776" s="9">
        <v>0</v>
      </c>
    </row>
    <row r="777" spans="1:43" ht="15">
      <c r="A777" s="2" t="s">
        <v>2730</v>
      </c>
      <c r="B777" s="5">
        <v>109512234</v>
      </c>
      <c r="C777" s="2" t="s">
        <v>23</v>
      </c>
      <c r="D777" s="2" t="s">
        <v>2731</v>
      </c>
      <c r="E777" s="2" t="s">
        <v>2732</v>
      </c>
      <c r="F777" s="2" t="s">
        <v>26</v>
      </c>
      <c r="G777" s="2"/>
      <c r="H777" s="2"/>
      <c r="I777" s="2" t="s">
        <v>28</v>
      </c>
      <c r="J777" s="6"/>
      <c r="K777" s="2" t="s">
        <v>55</v>
      </c>
      <c r="L777" s="2" t="s">
        <v>56</v>
      </c>
      <c r="M777" s="2" t="s">
        <v>55</v>
      </c>
      <c r="N777" s="2"/>
      <c r="O777" s="2"/>
      <c r="P777" s="6" t="s">
        <v>57</v>
      </c>
      <c r="Q777" s="6" t="s">
        <v>57</v>
      </c>
      <c r="R777" s="9">
        <v>0</v>
      </c>
      <c r="S777" s="2"/>
      <c r="T777" s="9">
        <v>0</v>
      </c>
      <c r="U777" s="9">
        <v>0</v>
      </c>
      <c r="V777" s="9">
        <v>0</v>
      </c>
      <c r="W777" s="9">
        <v>150</v>
      </c>
      <c r="X777" s="9">
        <v>150</v>
      </c>
      <c r="Y777" s="9">
        <v>75</v>
      </c>
      <c r="Z777" s="9">
        <v>69</v>
      </c>
      <c r="AA777" s="9">
        <v>69</v>
      </c>
      <c r="AB777" s="9">
        <v>0</v>
      </c>
      <c r="AC777" s="9">
        <v>0</v>
      </c>
      <c r="AD777" s="9">
        <v>302</v>
      </c>
      <c r="AE777" s="6" t="s">
        <v>57</v>
      </c>
      <c r="AF777" s="6" t="s">
        <v>57</v>
      </c>
      <c r="AG777" s="6" t="s">
        <v>57</v>
      </c>
      <c r="AH777" s="6" t="s">
        <v>57</v>
      </c>
      <c r="AI777" s="6" t="s">
        <v>57</v>
      </c>
      <c r="AJ777" s="6" t="s">
        <v>57</v>
      </c>
      <c r="AK777" s="6" t="s">
        <v>57</v>
      </c>
      <c r="AL777" s="6" t="s">
        <v>57</v>
      </c>
      <c r="AM777" s="6" t="s">
        <v>57</v>
      </c>
      <c r="AN777" s="6" t="s">
        <v>57</v>
      </c>
      <c r="AO777" s="6" t="s">
        <v>57</v>
      </c>
      <c r="AP777" s="6" t="s">
        <v>57</v>
      </c>
      <c r="AQ777" s="9">
        <v>0</v>
      </c>
    </row>
    <row r="778" spans="1:43" ht="15">
      <c r="A778" s="2" t="s">
        <v>2733</v>
      </c>
      <c r="B778" s="5">
        <v>110367425</v>
      </c>
      <c r="C778" s="2" t="s">
        <v>23</v>
      </c>
      <c r="D778" s="2" t="s">
        <v>2734</v>
      </c>
      <c r="E778" s="2" t="s">
        <v>2735</v>
      </c>
      <c r="F778" s="2" t="s">
        <v>26</v>
      </c>
      <c r="G778" s="2"/>
      <c r="H778" s="2"/>
      <c r="I778" s="2" t="s">
        <v>28</v>
      </c>
      <c r="J778" s="6"/>
      <c r="K778" s="2" t="s">
        <v>55</v>
      </c>
      <c r="L778" s="2" t="s">
        <v>56</v>
      </c>
      <c r="M778" s="2" t="s">
        <v>55</v>
      </c>
      <c r="N778" s="2"/>
      <c r="O778" s="2"/>
      <c r="P778" s="6" t="s">
        <v>57</v>
      </c>
      <c r="Q778" s="6" t="s">
        <v>57</v>
      </c>
      <c r="R778" s="9">
        <v>0</v>
      </c>
      <c r="S778" s="2"/>
      <c r="T778" s="9">
        <v>0</v>
      </c>
      <c r="U778" s="9">
        <v>0</v>
      </c>
      <c r="V778" s="9">
        <v>0</v>
      </c>
      <c r="W778" s="9">
        <v>0</v>
      </c>
      <c r="X778" s="9">
        <v>0</v>
      </c>
      <c r="Y778" s="9">
        <v>0</v>
      </c>
      <c r="Z778" s="9">
        <v>0</v>
      </c>
      <c r="AA778" s="9">
        <v>2798209</v>
      </c>
      <c r="AB778" s="9">
        <v>0</v>
      </c>
      <c r="AC778" s="9">
        <v>0</v>
      </c>
      <c r="AD778" s="9">
        <v>0</v>
      </c>
      <c r="AE778" s="6" t="s">
        <v>57</v>
      </c>
      <c r="AF778" s="6" t="s">
        <v>57</v>
      </c>
      <c r="AG778" s="6" t="s">
        <v>57</v>
      </c>
      <c r="AH778" s="6" t="s">
        <v>57</v>
      </c>
      <c r="AI778" s="6" t="s">
        <v>57</v>
      </c>
      <c r="AJ778" s="6" t="s">
        <v>57</v>
      </c>
      <c r="AK778" s="6" t="s">
        <v>57</v>
      </c>
      <c r="AL778" s="6" t="s">
        <v>57</v>
      </c>
      <c r="AM778" s="6" t="s">
        <v>57</v>
      </c>
      <c r="AN778" s="6" t="s">
        <v>57</v>
      </c>
      <c r="AO778" s="6" t="s">
        <v>57</v>
      </c>
      <c r="AP778" s="6" t="s">
        <v>57</v>
      </c>
      <c r="AQ778" s="9">
        <v>0</v>
      </c>
    </row>
    <row r="779" spans="1:43" ht="15">
      <c r="A779" s="2" t="s">
        <v>2736</v>
      </c>
      <c r="B779" s="5">
        <v>105926835</v>
      </c>
      <c r="C779" s="2" t="s">
        <v>23</v>
      </c>
      <c r="D779" s="2" t="s">
        <v>2737</v>
      </c>
      <c r="E779" s="2" t="s">
        <v>2738</v>
      </c>
      <c r="F779" s="2" t="s">
        <v>26</v>
      </c>
      <c r="G779" s="2" t="s">
        <v>26</v>
      </c>
      <c r="H779" s="2" t="s">
        <v>27</v>
      </c>
      <c r="I779" s="2" t="s">
        <v>28</v>
      </c>
      <c r="J779" s="6"/>
      <c r="K779" s="2" t="s">
        <v>55</v>
      </c>
      <c r="L779" s="2" t="s">
        <v>56</v>
      </c>
      <c r="M779" s="2" t="s">
        <v>55</v>
      </c>
      <c r="N779" s="2"/>
      <c r="O779" s="2"/>
      <c r="P779" s="6" t="s">
        <v>57</v>
      </c>
      <c r="Q779" s="6" t="s">
        <v>57</v>
      </c>
      <c r="R779" s="9">
        <v>0</v>
      </c>
      <c r="S779" s="2"/>
      <c r="T779" s="9">
        <v>0</v>
      </c>
      <c r="U779" s="9">
        <v>6</v>
      </c>
      <c r="V779" s="9">
        <v>5090</v>
      </c>
      <c r="W779" s="9">
        <v>6516</v>
      </c>
      <c r="X779" s="9">
        <v>6490</v>
      </c>
      <c r="Y779" s="9">
        <v>18842</v>
      </c>
      <c r="Z779" s="9">
        <v>66684</v>
      </c>
      <c r="AA779" s="9">
        <v>95222</v>
      </c>
      <c r="AB779" s="9">
        <v>7</v>
      </c>
      <c r="AC779" s="9">
        <v>5340</v>
      </c>
      <c r="AD779" s="9">
        <v>5674</v>
      </c>
      <c r="AE779" s="6" t="s">
        <v>57</v>
      </c>
      <c r="AF779" s="6" t="s">
        <v>57</v>
      </c>
      <c r="AG779" s="6" t="s">
        <v>57</v>
      </c>
      <c r="AH779" s="6" t="s">
        <v>57</v>
      </c>
      <c r="AI779" s="6" t="s">
        <v>57</v>
      </c>
      <c r="AJ779" s="6" t="s">
        <v>57</v>
      </c>
      <c r="AK779" s="6" t="s">
        <v>57</v>
      </c>
      <c r="AL779" s="6" t="s">
        <v>57</v>
      </c>
      <c r="AM779" s="6" t="s">
        <v>57</v>
      </c>
      <c r="AN779" s="6" t="s">
        <v>57</v>
      </c>
      <c r="AO779" s="6" t="s">
        <v>57</v>
      </c>
      <c r="AP779" s="6" t="s">
        <v>57</v>
      </c>
      <c r="AQ779" s="9">
        <v>0</v>
      </c>
    </row>
    <row r="780" spans="1:43" ht="15">
      <c r="A780" s="2" t="s">
        <v>2739</v>
      </c>
      <c r="B780" s="5">
        <v>19739582</v>
      </c>
      <c r="C780" s="2" t="s">
        <v>23</v>
      </c>
      <c r="D780" s="2" t="s">
        <v>2740</v>
      </c>
      <c r="E780" s="2" t="s">
        <v>2741</v>
      </c>
      <c r="F780" s="2" t="s">
        <v>26</v>
      </c>
      <c r="G780" s="2" t="s">
        <v>26</v>
      </c>
      <c r="H780" s="2" t="s">
        <v>27</v>
      </c>
      <c r="I780" s="2" t="s">
        <v>28</v>
      </c>
      <c r="J780" s="6"/>
      <c r="K780" s="2" t="s">
        <v>55</v>
      </c>
      <c r="L780" s="2" t="s">
        <v>56</v>
      </c>
      <c r="M780" s="2" t="s">
        <v>55</v>
      </c>
      <c r="N780" s="2"/>
      <c r="O780" s="2"/>
      <c r="P780" s="6" t="s">
        <v>57</v>
      </c>
      <c r="Q780" s="6" t="s">
        <v>57</v>
      </c>
      <c r="R780" s="9">
        <v>0</v>
      </c>
      <c r="S780" s="2" t="s">
        <v>2742</v>
      </c>
      <c r="T780" s="9">
        <v>0</v>
      </c>
      <c r="U780" s="9">
        <v>0</v>
      </c>
      <c r="V780" s="9">
        <v>0</v>
      </c>
      <c r="W780" s="9">
        <v>0</v>
      </c>
      <c r="X780" s="9">
        <v>0</v>
      </c>
      <c r="Y780" s="9">
        <v>0</v>
      </c>
      <c r="Z780" s="9">
        <v>15</v>
      </c>
      <c r="AA780" s="9">
        <v>10</v>
      </c>
      <c r="AB780" s="9">
        <v>0</v>
      </c>
      <c r="AC780" s="9">
        <v>0</v>
      </c>
      <c r="AD780" s="9">
        <v>0</v>
      </c>
      <c r="AE780" s="6" t="s">
        <v>57</v>
      </c>
      <c r="AF780" s="6" t="s">
        <v>57</v>
      </c>
      <c r="AG780" s="6" t="s">
        <v>57</v>
      </c>
      <c r="AH780" s="6" t="s">
        <v>57</v>
      </c>
      <c r="AI780" s="6" t="s">
        <v>57</v>
      </c>
      <c r="AJ780" s="6" t="s">
        <v>57</v>
      </c>
      <c r="AK780" s="6" t="s">
        <v>57</v>
      </c>
      <c r="AL780" s="6" t="s">
        <v>57</v>
      </c>
      <c r="AM780" s="6" t="s">
        <v>57</v>
      </c>
      <c r="AN780" s="6" t="s">
        <v>57</v>
      </c>
      <c r="AO780" s="6" t="s">
        <v>57</v>
      </c>
      <c r="AP780" s="6" t="s">
        <v>57</v>
      </c>
      <c r="AQ780" s="9">
        <v>0</v>
      </c>
    </row>
    <row r="781" spans="1:43" ht="15">
      <c r="A781" s="2" t="s">
        <v>2743</v>
      </c>
      <c r="B781" s="5">
        <v>119064308</v>
      </c>
      <c r="C781" s="2" t="s">
        <v>23</v>
      </c>
      <c r="D781" s="2" t="s">
        <v>2744</v>
      </c>
      <c r="E781" s="2" t="s">
        <v>2672</v>
      </c>
      <c r="F781" s="2" t="s">
        <v>26</v>
      </c>
      <c r="G781" s="2" t="s">
        <v>26</v>
      </c>
      <c r="H781" s="2" t="s">
        <v>27</v>
      </c>
      <c r="I781" s="2" t="s">
        <v>28</v>
      </c>
      <c r="J781" s="6"/>
      <c r="K781" s="2" t="s">
        <v>55</v>
      </c>
      <c r="L781" s="2" t="s">
        <v>56</v>
      </c>
      <c r="M781" s="2" t="s">
        <v>55</v>
      </c>
      <c r="N781" s="2"/>
      <c r="O781" s="2"/>
      <c r="P781" s="6" t="s">
        <v>57</v>
      </c>
      <c r="Q781" s="6" t="s">
        <v>57</v>
      </c>
      <c r="R781" s="9">
        <v>99</v>
      </c>
      <c r="S781" s="2"/>
      <c r="T781" s="9">
        <v>33</v>
      </c>
      <c r="U781" s="9">
        <v>48</v>
      </c>
      <c r="V781" s="9">
        <v>77</v>
      </c>
      <c r="W781" s="9">
        <v>285</v>
      </c>
      <c r="X781" s="9">
        <v>285</v>
      </c>
      <c r="Y781" s="9">
        <v>285</v>
      </c>
      <c r="Z781" s="9">
        <v>285</v>
      </c>
      <c r="AA781" s="9">
        <v>285</v>
      </c>
      <c r="AB781" s="9">
        <v>55</v>
      </c>
      <c r="AC781" s="9">
        <v>81</v>
      </c>
      <c r="AD781" s="9">
        <v>370</v>
      </c>
      <c r="AE781" s="6" t="s">
        <v>57</v>
      </c>
      <c r="AF781" s="6" t="s">
        <v>57</v>
      </c>
      <c r="AG781" s="6" t="s">
        <v>57</v>
      </c>
      <c r="AH781" s="6" t="s">
        <v>57</v>
      </c>
      <c r="AI781" s="6" t="s">
        <v>57</v>
      </c>
      <c r="AJ781" s="6" t="s">
        <v>57</v>
      </c>
      <c r="AK781" s="6" t="s">
        <v>57</v>
      </c>
      <c r="AL781" s="6" t="s">
        <v>57</v>
      </c>
      <c r="AM781" s="6" t="s">
        <v>57</v>
      </c>
      <c r="AN781" s="6" t="s">
        <v>57</v>
      </c>
      <c r="AO781" s="6" t="s">
        <v>57</v>
      </c>
      <c r="AP781" s="6" t="s">
        <v>57</v>
      </c>
      <c r="AQ781" s="9">
        <v>0</v>
      </c>
    </row>
    <row r="782" spans="1:43" ht="15">
      <c r="A782" s="2" t="s">
        <v>2745</v>
      </c>
      <c r="B782" s="5">
        <v>6046679</v>
      </c>
      <c r="C782" s="2" t="s">
        <v>23</v>
      </c>
      <c r="D782" s="2" t="s">
        <v>2746</v>
      </c>
      <c r="E782" s="2" t="s">
        <v>2747</v>
      </c>
      <c r="F782" s="2" t="s">
        <v>26</v>
      </c>
      <c r="G782" s="2" t="s">
        <v>26</v>
      </c>
      <c r="H782" s="2" t="s">
        <v>27</v>
      </c>
      <c r="I782" s="2" t="s">
        <v>28</v>
      </c>
      <c r="J782" s="6"/>
      <c r="K782" s="2" t="s">
        <v>55</v>
      </c>
      <c r="L782" s="2" t="s">
        <v>56</v>
      </c>
      <c r="M782" s="2" t="s">
        <v>55</v>
      </c>
      <c r="N782" s="2"/>
      <c r="O782" s="2"/>
      <c r="P782" s="7">
        <v>133.51759869561801</v>
      </c>
      <c r="Q782" s="6" t="s">
        <v>57</v>
      </c>
      <c r="R782" s="9">
        <v>1949</v>
      </c>
      <c r="S782" s="2"/>
      <c r="T782" s="9">
        <v>2257</v>
      </c>
      <c r="U782" s="9">
        <v>4428</v>
      </c>
      <c r="V782" s="9">
        <v>6415</v>
      </c>
      <c r="W782" s="9">
        <v>6040</v>
      </c>
      <c r="X782" s="9">
        <v>6036</v>
      </c>
      <c r="Y782" s="9">
        <v>5196</v>
      </c>
      <c r="Z782" s="9">
        <v>4553</v>
      </c>
      <c r="AA782" s="9">
        <v>3675</v>
      </c>
      <c r="AB782" s="9">
        <v>3480</v>
      </c>
      <c r="AC782" s="9">
        <v>6420</v>
      </c>
      <c r="AD782" s="9">
        <v>6334</v>
      </c>
      <c r="AE782" s="6" t="s">
        <v>57</v>
      </c>
      <c r="AF782" s="6" t="s">
        <v>57</v>
      </c>
      <c r="AG782" s="6" t="s">
        <v>57</v>
      </c>
      <c r="AH782" s="6" t="s">
        <v>57</v>
      </c>
      <c r="AI782" s="6" t="s">
        <v>57</v>
      </c>
      <c r="AJ782" s="6" t="s">
        <v>57</v>
      </c>
      <c r="AK782" s="6" t="s">
        <v>57</v>
      </c>
      <c r="AL782" s="6" t="s">
        <v>57</v>
      </c>
      <c r="AM782" s="6" t="s">
        <v>57</v>
      </c>
      <c r="AN782" s="6" t="s">
        <v>57</v>
      </c>
      <c r="AO782" s="6" t="s">
        <v>57</v>
      </c>
      <c r="AP782" s="6" t="s">
        <v>57</v>
      </c>
      <c r="AQ782" s="9">
        <v>1692</v>
      </c>
    </row>
    <row r="783" spans="1:43" ht="15">
      <c r="A783" s="2" t="s">
        <v>2748</v>
      </c>
      <c r="B783" s="5">
        <v>5738516</v>
      </c>
      <c r="C783" s="2" t="s">
        <v>23</v>
      </c>
      <c r="D783" s="2" t="s">
        <v>2749</v>
      </c>
      <c r="E783" s="2" t="s">
        <v>2750</v>
      </c>
      <c r="F783" s="2" t="s">
        <v>26</v>
      </c>
      <c r="G783" s="2"/>
      <c r="H783" s="2"/>
      <c r="I783" s="2" t="s">
        <v>28</v>
      </c>
      <c r="J783" s="6"/>
      <c r="K783" s="2" t="s">
        <v>55</v>
      </c>
      <c r="L783" s="2" t="s">
        <v>56</v>
      </c>
      <c r="M783" s="2" t="s">
        <v>55</v>
      </c>
      <c r="N783" s="2"/>
      <c r="O783" s="2"/>
      <c r="P783" s="6" t="s">
        <v>57</v>
      </c>
      <c r="Q783" s="6" t="s">
        <v>57</v>
      </c>
      <c r="R783" s="9">
        <v>0</v>
      </c>
      <c r="S783" s="2"/>
      <c r="T783" s="9">
        <v>0</v>
      </c>
      <c r="U783" s="9">
        <v>0</v>
      </c>
      <c r="V783" s="9">
        <v>0</v>
      </c>
      <c r="W783" s="9">
        <v>0</v>
      </c>
      <c r="X783" s="9">
        <v>0</v>
      </c>
      <c r="Y783" s="9">
        <v>0</v>
      </c>
      <c r="Z783" s="9">
        <v>0</v>
      </c>
      <c r="AA783" s="9">
        <v>0</v>
      </c>
      <c r="AB783" s="9">
        <v>0</v>
      </c>
      <c r="AC783" s="9">
        <v>0</v>
      </c>
      <c r="AD783" s="9">
        <v>0</v>
      </c>
      <c r="AE783" s="6" t="s">
        <v>57</v>
      </c>
      <c r="AF783" s="6" t="s">
        <v>57</v>
      </c>
      <c r="AG783" s="6" t="s">
        <v>57</v>
      </c>
      <c r="AH783" s="6" t="s">
        <v>57</v>
      </c>
      <c r="AI783" s="6" t="s">
        <v>57</v>
      </c>
      <c r="AJ783" s="6" t="s">
        <v>57</v>
      </c>
      <c r="AK783" s="6" t="s">
        <v>57</v>
      </c>
      <c r="AL783" s="6" t="s">
        <v>57</v>
      </c>
      <c r="AM783" s="6" t="s">
        <v>57</v>
      </c>
      <c r="AN783" s="6" t="s">
        <v>57</v>
      </c>
      <c r="AO783" s="6" t="s">
        <v>57</v>
      </c>
      <c r="AP783" s="6" t="s">
        <v>57</v>
      </c>
      <c r="AQ783" s="9">
        <v>0</v>
      </c>
    </row>
    <row r="784" spans="1:43" ht="15">
      <c r="A784" s="2" t="s">
        <v>2751</v>
      </c>
      <c r="B784" s="5">
        <v>5738513</v>
      </c>
      <c r="C784" s="2" t="s">
        <v>23</v>
      </c>
      <c r="D784" s="2" t="s">
        <v>2752</v>
      </c>
      <c r="E784" s="2" t="s">
        <v>2753</v>
      </c>
      <c r="F784" s="2" t="s">
        <v>26</v>
      </c>
      <c r="G784" s="2" t="s">
        <v>26</v>
      </c>
      <c r="H784" s="2" t="s">
        <v>27</v>
      </c>
      <c r="I784" s="2" t="s">
        <v>28</v>
      </c>
      <c r="J784" s="6"/>
      <c r="K784" s="2" t="s">
        <v>55</v>
      </c>
      <c r="L784" s="2" t="s">
        <v>56</v>
      </c>
      <c r="M784" s="2" t="s">
        <v>55</v>
      </c>
      <c r="N784" s="2"/>
      <c r="O784" s="2"/>
      <c r="P784" s="6" t="s">
        <v>57</v>
      </c>
      <c r="Q784" s="6" t="s">
        <v>57</v>
      </c>
      <c r="R784" s="9">
        <v>0</v>
      </c>
      <c r="S784" s="2"/>
      <c r="T784" s="9">
        <v>0</v>
      </c>
      <c r="U784" s="9">
        <v>0</v>
      </c>
      <c r="V784" s="9">
        <v>0</v>
      </c>
      <c r="W784" s="9">
        <v>0</v>
      </c>
      <c r="X784" s="9">
        <v>0</v>
      </c>
      <c r="Y784" s="9">
        <v>0</v>
      </c>
      <c r="Z784" s="9">
        <v>0</v>
      </c>
      <c r="AA784" s="9">
        <v>0</v>
      </c>
      <c r="AB784" s="9">
        <v>0</v>
      </c>
      <c r="AC784" s="9">
        <v>0</v>
      </c>
      <c r="AD784" s="9">
        <v>0</v>
      </c>
      <c r="AE784" s="6" t="s">
        <v>57</v>
      </c>
      <c r="AF784" s="6" t="s">
        <v>57</v>
      </c>
      <c r="AG784" s="6" t="s">
        <v>57</v>
      </c>
      <c r="AH784" s="6" t="s">
        <v>57</v>
      </c>
      <c r="AI784" s="6" t="s">
        <v>57</v>
      </c>
      <c r="AJ784" s="6" t="s">
        <v>57</v>
      </c>
      <c r="AK784" s="6" t="s">
        <v>57</v>
      </c>
      <c r="AL784" s="6" t="s">
        <v>57</v>
      </c>
      <c r="AM784" s="6" t="s">
        <v>57</v>
      </c>
      <c r="AN784" s="6" t="s">
        <v>57</v>
      </c>
      <c r="AO784" s="6" t="s">
        <v>57</v>
      </c>
      <c r="AP784" s="6" t="s">
        <v>57</v>
      </c>
      <c r="AQ784" s="9">
        <v>0</v>
      </c>
    </row>
    <row r="785" spans="1:43" ht="15">
      <c r="A785" s="2" t="s">
        <v>2754</v>
      </c>
      <c r="B785" s="5">
        <v>106477952</v>
      </c>
      <c r="C785" s="2" t="s">
        <v>23</v>
      </c>
      <c r="D785" s="2" t="s">
        <v>2755</v>
      </c>
      <c r="E785" s="2" t="s">
        <v>2756</v>
      </c>
      <c r="F785" s="2" t="s">
        <v>26</v>
      </c>
      <c r="G785" s="2" t="s">
        <v>26</v>
      </c>
      <c r="H785" s="2" t="s">
        <v>27</v>
      </c>
      <c r="I785" s="2" t="s">
        <v>28</v>
      </c>
      <c r="J785" s="6"/>
      <c r="K785" s="2" t="s">
        <v>55</v>
      </c>
      <c r="L785" s="2" t="s">
        <v>56</v>
      </c>
      <c r="M785" s="2" t="s">
        <v>55</v>
      </c>
      <c r="N785" s="2"/>
      <c r="O785" s="2"/>
      <c r="P785" s="6" t="s">
        <v>57</v>
      </c>
      <c r="Q785" s="6" t="s">
        <v>57</v>
      </c>
      <c r="R785" s="9">
        <v>0</v>
      </c>
      <c r="S785" s="2"/>
      <c r="T785" s="9">
        <v>0</v>
      </c>
      <c r="U785" s="9">
        <v>0</v>
      </c>
      <c r="V785" s="9">
        <v>32</v>
      </c>
      <c r="W785" s="9">
        <v>41</v>
      </c>
      <c r="X785" s="9">
        <v>41</v>
      </c>
      <c r="Y785" s="9">
        <v>1342</v>
      </c>
      <c r="Z785" s="9">
        <v>1389</v>
      </c>
      <c r="AA785" s="9">
        <v>1389</v>
      </c>
      <c r="AB785" s="9">
        <v>0</v>
      </c>
      <c r="AC785" s="9">
        <v>33</v>
      </c>
      <c r="AD785" s="9">
        <v>16</v>
      </c>
      <c r="AE785" s="6" t="s">
        <v>57</v>
      </c>
      <c r="AF785" s="6" t="s">
        <v>57</v>
      </c>
      <c r="AG785" s="6" t="s">
        <v>57</v>
      </c>
      <c r="AH785" s="6" t="s">
        <v>57</v>
      </c>
      <c r="AI785" s="6" t="s">
        <v>57</v>
      </c>
      <c r="AJ785" s="6" t="s">
        <v>57</v>
      </c>
      <c r="AK785" s="6" t="s">
        <v>57</v>
      </c>
      <c r="AL785" s="6" t="s">
        <v>57</v>
      </c>
      <c r="AM785" s="6" t="s">
        <v>57</v>
      </c>
      <c r="AN785" s="6" t="s">
        <v>57</v>
      </c>
      <c r="AO785" s="6" t="s">
        <v>57</v>
      </c>
      <c r="AP785" s="6" t="s">
        <v>57</v>
      </c>
      <c r="AQ785" s="9">
        <v>0</v>
      </c>
    </row>
    <row r="786" spans="1:43" ht="15">
      <c r="A786" s="2" t="s">
        <v>2757</v>
      </c>
      <c r="B786" s="5">
        <v>25021048</v>
      </c>
      <c r="C786" s="2" t="s">
        <v>23</v>
      </c>
      <c r="D786" s="2" t="s">
        <v>2758</v>
      </c>
      <c r="E786" s="2" t="s">
        <v>2759</v>
      </c>
      <c r="F786" s="2" t="s">
        <v>26</v>
      </c>
      <c r="G786" s="2" t="s">
        <v>26</v>
      </c>
      <c r="H786" s="2" t="s">
        <v>27</v>
      </c>
      <c r="I786" s="2" t="s">
        <v>28</v>
      </c>
      <c r="J786" s="6"/>
      <c r="K786" s="2" t="s">
        <v>55</v>
      </c>
      <c r="L786" s="2" t="s">
        <v>56</v>
      </c>
      <c r="M786" s="2" t="s">
        <v>55</v>
      </c>
      <c r="N786" s="2"/>
      <c r="O786" s="2"/>
      <c r="P786" s="6" t="s">
        <v>57</v>
      </c>
      <c r="Q786" s="6" t="s">
        <v>57</v>
      </c>
      <c r="R786" s="9">
        <v>0</v>
      </c>
      <c r="S786" s="2"/>
      <c r="T786" s="9">
        <v>0</v>
      </c>
      <c r="U786" s="9">
        <v>0</v>
      </c>
      <c r="V786" s="9">
        <v>0</v>
      </c>
      <c r="W786" s="9">
        <v>0</v>
      </c>
      <c r="X786" s="9">
        <v>0</v>
      </c>
      <c r="Y786" s="9">
        <v>0</v>
      </c>
      <c r="Z786" s="9">
        <v>0</v>
      </c>
      <c r="AA786" s="9">
        <v>0</v>
      </c>
      <c r="AB786" s="9">
        <v>0</v>
      </c>
      <c r="AC786" s="9">
        <v>0</v>
      </c>
      <c r="AD786" s="9">
        <v>0</v>
      </c>
      <c r="AE786" s="6" t="s">
        <v>57</v>
      </c>
      <c r="AF786" s="6" t="s">
        <v>57</v>
      </c>
      <c r="AG786" s="6" t="s">
        <v>57</v>
      </c>
      <c r="AH786" s="6" t="s">
        <v>57</v>
      </c>
      <c r="AI786" s="6" t="s">
        <v>57</v>
      </c>
      <c r="AJ786" s="6" t="s">
        <v>57</v>
      </c>
      <c r="AK786" s="6" t="s">
        <v>57</v>
      </c>
      <c r="AL786" s="6" t="s">
        <v>57</v>
      </c>
      <c r="AM786" s="6" t="s">
        <v>57</v>
      </c>
      <c r="AN786" s="6" t="s">
        <v>57</v>
      </c>
      <c r="AO786" s="6" t="s">
        <v>57</v>
      </c>
      <c r="AP786" s="6" t="s">
        <v>57</v>
      </c>
      <c r="AQ786" s="9">
        <v>0</v>
      </c>
    </row>
    <row r="787" spans="1:43" ht="15">
      <c r="A787" s="2" t="s">
        <v>2760</v>
      </c>
      <c r="B787" s="5">
        <v>100455877</v>
      </c>
      <c r="C787" s="2" t="s">
        <v>23</v>
      </c>
      <c r="D787" s="2" t="s">
        <v>2761</v>
      </c>
      <c r="E787" s="2" t="s">
        <v>2762</v>
      </c>
      <c r="F787" s="2" t="s">
        <v>26</v>
      </c>
      <c r="G787" s="2" t="s">
        <v>26</v>
      </c>
      <c r="H787" s="2" t="s">
        <v>27</v>
      </c>
      <c r="I787" s="2" t="s">
        <v>28</v>
      </c>
      <c r="J787" s="6"/>
      <c r="K787" s="2" t="s">
        <v>55</v>
      </c>
      <c r="L787" s="2" t="s">
        <v>56</v>
      </c>
      <c r="M787" s="2" t="s">
        <v>55</v>
      </c>
      <c r="N787" s="2"/>
      <c r="O787" s="2"/>
      <c r="P787" s="6" t="s">
        <v>57</v>
      </c>
      <c r="Q787" s="6" t="s">
        <v>57</v>
      </c>
      <c r="R787" s="9">
        <v>121</v>
      </c>
      <c r="S787" s="2"/>
      <c r="T787" s="9">
        <v>125</v>
      </c>
      <c r="U787" s="9">
        <v>309</v>
      </c>
      <c r="V787" s="9">
        <v>448</v>
      </c>
      <c r="W787" s="9">
        <v>351</v>
      </c>
      <c r="X787" s="9">
        <v>350</v>
      </c>
      <c r="Y787" s="9">
        <v>176</v>
      </c>
      <c r="Z787" s="9">
        <v>119</v>
      </c>
      <c r="AA787" s="9">
        <v>113</v>
      </c>
      <c r="AB787" s="9">
        <v>324</v>
      </c>
      <c r="AC787" s="9">
        <v>464</v>
      </c>
      <c r="AD787" s="9">
        <v>581</v>
      </c>
      <c r="AE787" s="6" t="s">
        <v>57</v>
      </c>
      <c r="AF787" s="6" t="s">
        <v>57</v>
      </c>
      <c r="AG787" s="6" t="s">
        <v>57</v>
      </c>
      <c r="AH787" s="6" t="s">
        <v>57</v>
      </c>
      <c r="AI787" s="6" t="s">
        <v>57</v>
      </c>
      <c r="AJ787" s="6" t="s">
        <v>57</v>
      </c>
      <c r="AK787" s="6" t="s">
        <v>57</v>
      </c>
      <c r="AL787" s="6" t="s">
        <v>57</v>
      </c>
      <c r="AM787" s="6" t="s">
        <v>57</v>
      </c>
      <c r="AN787" s="6" t="s">
        <v>57</v>
      </c>
      <c r="AO787" s="6" t="s">
        <v>57</v>
      </c>
      <c r="AP787" s="6" t="s">
        <v>57</v>
      </c>
      <c r="AQ787" s="9">
        <v>241</v>
      </c>
    </row>
    <row r="788" spans="1:43" ht="15">
      <c r="A788" s="2" t="s">
        <v>2763</v>
      </c>
      <c r="B788" s="5">
        <v>9037061</v>
      </c>
      <c r="C788" s="2" t="s">
        <v>23</v>
      </c>
      <c r="D788" s="2" t="s">
        <v>2764</v>
      </c>
      <c r="E788" s="2" t="s">
        <v>2765</v>
      </c>
      <c r="F788" s="2" t="s">
        <v>26</v>
      </c>
      <c r="G788" s="2"/>
      <c r="H788" s="2"/>
      <c r="I788" s="2" t="s">
        <v>28</v>
      </c>
      <c r="J788" s="6"/>
      <c r="K788" s="2" t="s">
        <v>55</v>
      </c>
      <c r="L788" s="2" t="s">
        <v>56</v>
      </c>
      <c r="M788" s="2" t="s">
        <v>55</v>
      </c>
      <c r="N788" s="2"/>
      <c r="O788" s="2"/>
      <c r="P788" s="7">
        <v>28.8901246126788</v>
      </c>
      <c r="Q788" s="6" t="s">
        <v>57</v>
      </c>
      <c r="R788" s="9">
        <v>32768</v>
      </c>
      <c r="S788" s="2"/>
      <c r="T788" s="9">
        <v>31635</v>
      </c>
      <c r="U788" s="9">
        <v>33832</v>
      </c>
      <c r="V788" s="9">
        <v>41223</v>
      </c>
      <c r="W788" s="9">
        <v>37421</v>
      </c>
      <c r="X788" s="9">
        <v>37484</v>
      </c>
      <c r="Y788" s="9">
        <v>35362</v>
      </c>
      <c r="Z788" s="9">
        <v>35635</v>
      </c>
      <c r="AA788" s="9">
        <v>21875</v>
      </c>
      <c r="AB788" s="9">
        <v>30892</v>
      </c>
      <c r="AC788" s="9">
        <v>42852</v>
      </c>
      <c r="AD788" s="9">
        <v>32403</v>
      </c>
      <c r="AE788" s="6" t="s">
        <v>57</v>
      </c>
      <c r="AF788" s="6" t="s">
        <v>57</v>
      </c>
      <c r="AG788" s="6" t="s">
        <v>57</v>
      </c>
      <c r="AH788" s="6" t="s">
        <v>57</v>
      </c>
      <c r="AI788" s="6" t="s">
        <v>57</v>
      </c>
      <c r="AJ788" s="6" t="s">
        <v>57</v>
      </c>
      <c r="AK788" s="6" t="s">
        <v>57</v>
      </c>
      <c r="AL788" s="6" t="s">
        <v>57</v>
      </c>
      <c r="AM788" s="6" t="s">
        <v>57</v>
      </c>
      <c r="AN788" s="6" t="s">
        <v>57</v>
      </c>
      <c r="AO788" s="6" t="s">
        <v>57</v>
      </c>
      <c r="AP788" s="6" t="s">
        <v>57</v>
      </c>
      <c r="AQ788" s="9">
        <v>11526</v>
      </c>
    </row>
    <row r="789" spans="1:43" ht="15">
      <c r="A789" s="2" t="s">
        <v>2766</v>
      </c>
      <c r="B789" s="5">
        <v>20146117</v>
      </c>
      <c r="C789" s="2" t="s">
        <v>23</v>
      </c>
      <c r="D789" s="2" t="s">
        <v>2767</v>
      </c>
      <c r="E789" s="2" t="s">
        <v>2768</v>
      </c>
      <c r="F789" s="2" t="s">
        <v>26</v>
      </c>
      <c r="G789" s="2" t="s">
        <v>26</v>
      </c>
      <c r="H789" s="2" t="s">
        <v>27</v>
      </c>
      <c r="I789" s="2" t="s">
        <v>28</v>
      </c>
      <c r="J789" s="6"/>
      <c r="K789" s="2" t="s">
        <v>55</v>
      </c>
      <c r="L789" s="2" t="s">
        <v>56</v>
      </c>
      <c r="M789" s="2" t="s">
        <v>55</v>
      </c>
      <c r="N789" s="2"/>
      <c r="O789" s="2"/>
      <c r="P789" s="6" t="s">
        <v>57</v>
      </c>
      <c r="Q789" s="6" t="s">
        <v>57</v>
      </c>
      <c r="R789" s="9">
        <v>0</v>
      </c>
      <c r="S789" s="2"/>
      <c r="T789" s="9">
        <v>0</v>
      </c>
      <c r="U789" s="9">
        <v>0</v>
      </c>
      <c r="V789" s="9">
        <v>0</v>
      </c>
      <c r="W789" s="9">
        <v>29</v>
      </c>
      <c r="X789" s="9">
        <v>29</v>
      </c>
      <c r="Y789" s="9">
        <v>1288</v>
      </c>
      <c r="Z789" s="9">
        <v>2149</v>
      </c>
      <c r="AA789" s="9">
        <v>6071</v>
      </c>
      <c r="AB789" s="9">
        <v>0</v>
      </c>
      <c r="AC789" s="9">
        <v>0</v>
      </c>
      <c r="AD789" s="9">
        <v>14</v>
      </c>
      <c r="AE789" s="6" t="s">
        <v>57</v>
      </c>
      <c r="AF789" s="6" t="s">
        <v>57</v>
      </c>
      <c r="AG789" s="6" t="s">
        <v>57</v>
      </c>
      <c r="AH789" s="6" t="s">
        <v>57</v>
      </c>
      <c r="AI789" s="6" t="s">
        <v>57</v>
      </c>
      <c r="AJ789" s="6" t="s">
        <v>57</v>
      </c>
      <c r="AK789" s="6" t="s">
        <v>57</v>
      </c>
      <c r="AL789" s="6" t="s">
        <v>57</v>
      </c>
      <c r="AM789" s="6" t="s">
        <v>57</v>
      </c>
      <c r="AN789" s="6" t="s">
        <v>57</v>
      </c>
      <c r="AO789" s="6" t="s">
        <v>57</v>
      </c>
      <c r="AP789" s="6" t="s">
        <v>57</v>
      </c>
      <c r="AQ789" s="9">
        <v>0</v>
      </c>
    </row>
    <row r="790" spans="1:43" ht="15">
      <c r="A790" s="2" t="s">
        <v>2769</v>
      </c>
      <c r="B790" s="5">
        <v>110942506</v>
      </c>
      <c r="C790" s="2" t="s">
        <v>23</v>
      </c>
      <c r="D790" s="2" t="s">
        <v>2770</v>
      </c>
      <c r="E790" s="2" t="s">
        <v>2771</v>
      </c>
      <c r="F790" s="2" t="s">
        <v>26</v>
      </c>
      <c r="G790" s="2" t="s">
        <v>26</v>
      </c>
      <c r="H790" s="2" t="s">
        <v>27</v>
      </c>
      <c r="I790" s="2" t="s">
        <v>28</v>
      </c>
      <c r="J790" s="6"/>
      <c r="K790" s="2" t="s">
        <v>55</v>
      </c>
      <c r="L790" s="2" t="s">
        <v>56</v>
      </c>
      <c r="M790" s="2" t="s">
        <v>55</v>
      </c>
      <c r="N790" s="2"/>
      <c r="O790" s="2"/>
      <c r="P790" s="6" t="s">
        <v>57</v>
      </c>
      <c r="Q790" s="6" t="s">
        <v>57</v>
      </c>
      <c r="R790" s="9">
        <v>0</v>
      </c>
      <c r="S790" s="2"/>
      <c r="T790" s="9">
        <v>0</v>
      </c>
      <c r="U790" s="9">
        <v>0</v>
      </c>
      <c r="V790" s="9">
        <v>0</v>
      </c>
      <c r="W790" s="9">
        <v>91</v>
      </c>
      <c r="X790" s="9">
        <v>100</v>
      </c>
      <c r="Y790" s="9">
        <v>553</v>
      </c>
      <c r="Z790" s="9">
        <v>414</v>
      </c>
      <c r="AA790" s="9">
        <v>410</v>
      </c>
      <c r="AB790" s="9">
        <v>0</v>
      </c>
      <c r="AC790" s="9">
        <v>0</v>
      </c>
      <c r="AD790" s="9">
        <v>13</v>
      </c>
      <c r="AE790" s="6" t="s">
        <v>57</v>
      </c>
      <c r="AF790" s="6" t="s">
        <v>57</v>
      </c>
      <c r="AG790" s="6" t="s">
        <v>57</v>
      </c>
      <c r="AH790" s="6" t="s">
        <v>57</v>
      </c>
      <c r="AI790" s="6" t="s">
        <v>57</v>
      </c>
      <c r="AJ790" s="6" t="s">
        <v>57</v>
      </c>
      <c r="AK790" s="6" t="s">
        <v>57</v>
      </c>
      <c r="AL790" s="6" t="s">
        <v>57</v>
      </c>
      <c r="AM790" s="6" t="s">
        <v>57</v>
      </c>
      <c r="AN790" s="6" t="s">
        <v>57</v>
      </c>
      <c r="AO790" s="6" t="s">
        <v>57</v>
      </c>
      <c r="AP790" s="6" t="s">
        <v>57</v>
      </c>
      <c r="AQ790" s="9">
        <v>0</v>
      </c>
    </row>
    <row r="791" spans="1:43" ht="15">
      <c r="A791" s="2" t="s">
        <v>2772</v>
      </c>
      <c r="B791" s="5">
        <v>28751403</v>
      </c>
      <c r="C791" s="2" t="s">
        <v>23</v>
      </c>
      <c r="D791" s="2" t="s">
        <v>2773</v>
      </c>
      <c r="E791" s="2" t="s">
        <v>2774</v>
      </c>
      <c r="F791" s="2" t="s">
        <v>26</v>
      </c>
      <c r="G791" s="2" t="s">
        <v>26</v>
      </c>
      <c r="H791" s="2" t="s">
        <v>27</v>
      </c>
      <c r="I791" s="2" t="s">
        <v>28</v>
      </c>
      <c r="J791" s="6"/>
      <c r="K791" s="2" t="s">
        <v>55</v>
      </c>
      <c r="L791" s="2" t="s">
        <v>56</v>
      </c>
      <c r="M791" s="2" t="s">
        <v>55</v>
      </c>
      <c r="N791" s="2"/>
      <c r="O791" s="2"/>
      <c r="P791" s="6" t="s">
        <v>57</v>
      </c>
      <c r="Q791" s="6" t="s">
        <v>57</v>
      </c>
      <c r="R791" s="9">
        <v>339</v>
      </c>
      <c r="S791" s="2"/>
      <c r="T791" s="9">
        <v>113</v>
      </c>
      <c r="U791" s="9">
        <v>28</v>
      </c>
      <c r="V791" s="9">
        <v>101</v>
      </c>
      <c r="W791" s="9">
        <v>42</v>
      </c>
      <c r="X791" s="9">
        <v>42</v>
      </c>
      <c r="Y791" s="9">
        <v>245</v>
      </c>
      <c r="Z791" s="9">
        <v>471</v>
      </c>
      <c r="AA791" s="9">
        <v>802</v>
      </c>
      <c r="AB791" s="9">
        <v>32</v>
      </c>
      <c r="AC791" s="9">
        <v>106</v>
      </c>
      <c r="AD791" s="9">
        <v>70</v>
      </c>
      <c r="AE791" s="6" t="s">
        <v>57</v>
      </c>
      <c r="AF791" s="6" t="s">
        <v>57</v>
      </c>
      <c r="AG791" s="6" t="s">
        <v>57</v>
      </c>
      <c r="AH791" s="6" t="s">
        <v>57</v>
      </c>
      <c r="AI791" s="6" t="s">
        <v>57</v>
      </c>
      <c r="AJ791" s="6" t="s">
        <v>57</v>
      </c>
      <c r="AK791" s="6" t="s">
        <v>57</v>
      </c>
      <c r="AL791" s="6" t="s">
        <v>57</v>
      </c>
      <c r="AM791" s="6" t="s">
        <v>57</v>
      </c>
      <c r="AN791" s="6" t="s">
        <v>57</v>
      </c>
      <c r="AO791" s="6" t="s">
        <v>57</v>
      </c>
      <c r="AP791" s="6" t="s">
        <v>57</v>
      </c>
      <c r="AQ791" s="9">
        <v>678</v>
      </c>
    </row>
    <row r="792" spans="1:43" ht="15">
      <c r="A792" s="2" t="s">
        <v>2775</v>
      </c>
      <c r="B792" s="5">
        <v>26234048</v>
      </c>
      <c r="C792" s="2" t="s">
        <v>23</v>
      </c>
      <c r="D792" s="2" t="s">
        <v>2776</v>
      </c>
      <c r="E792" s="2" t="s">
        <v>2777</v>
      </c>
      <c r="F792" s="2" t="s">
        <v>26</v>
      </c>
      <c r="G792" s="2" t="s">
        <v>26</v>
      </c>
      <c r="H792" s="2" t="s">
        <v>27</v>
      </c>
      <c r="I792" s="2" t="s">
        <v>28</v>
      </c>
      <c r="J792" s="6"/>
      <c r="K792" s="2" t="s">
        <v>55</v>
      </c>
      <c r="L792" s="2" t="s">
        <v>56</v>
      </c>
      <c r="M792" s="2" t="s">
        <v>55</v>
      </c>
      <c r="N792" s="2"/>
      <c r="O792" s="2"/>
      <c r="P792" s="6" t="s">
        <v>57</v>
      </c>
      <c r="Q792" s="6" t="s">
        <v>57</v>
      </c>
      <c r="R792" s="9">
        <v>0</v>
      </c>
      <c r="S792" s="2"/>
      <c r="T792" s="9">
        <v>0</v>
      </c>
      <c r="U792" s="9">
        <v>0</v>
      </c>
      <c r="V792" s="9">
        <v>0</v>
      </c>
      <c r="W792" s="9">
        <v>0</v>
      </c>
      <c r="X792" s="9">
        <v>0</v>
      </c>
      <c r="Y792" s="9">
        <v>0</v>
      </c>
      <c r="Z792" s="9">
        <v>7</v>
      </c>
      <c r="AA792" s="9">
        <v>113</v>
      </c>
      <c r="AB792" s="9">
        <v>0</v>
      </c>
      <c r="AC792" s="9">
        <v>0</v>
      </c>
      <c r="AD792" s="9">
        <v>0</v>
      </c>
      <c r="AE792" s="6" t="s">
        <v>57</v>
      </c>
      <c r="AF792" s="6" t="s">
        <v>57</v>
      </c>
      <c r="AG792" s="6" t="s">
        <v>57</v>
      </c>
      <c r="AH792" s="6" t="s">
        <v>57</v>
      </c>
      <c r="AI792" s="6" t="s">
        <v>57</v>
      </c>
      <c r="AJ792" s="6" t="s">
        <v>57</v>
      </c>
      <c r="AK792" s="6" t="s">
        <v>57</v>
      </c>
      <c r="AL792" s="6" t="s">
        <v>57</v>
      </c>
      <c r="AM792" s="6" t="s">
        <v>57</v>
      </c>
      <c r="AN792" s="6" t="s">
        <v>57</v>
      </c>
      <c r="AO792" s="6" t="s">
        <v>57</v>
      </c>
      <c r="AP792" s="6" t="s">
        <v>57</v>
      </c>
      <c r="AQ792" s="9">
        <v>0</v>
      </c>
    </row>
    <row r="793" spans="1:43" ht="15">
      <c r="A793" s="2" t="s">
        <v>2778</v>
      </c>
      <c r="B793" s="5">
        <v>114831386</v>
      </c>
      <c r="C793" s="2" t="s">
        <v>23</v>
      </c>
      <c r="D793" s="2" t="s">
        <v>2779</v>
      </c>
      <c r="E793" s="2" t="s">
        <v>2780</v>
      </c>
      <c r="F793" s="2" t="s">
        <v>26</v>
      </c>
      <c r="G793" s="2" t="s">
        <v>26</v>
      </c>
      <c r="H793" s="2" t="s">
        <v>27</v>
      </c>
      <c r="I793" s="2" t="s">
        <v>28</v>
      </c>
      <c r="J793" s="6"/>
      <c r="K793" s="2" t="s">
        <v>55</v>
      </c>
      <c r="L793" s="2" t="s">
        <v>56</v>
      </c>
      <c r="M793" s="2" t="s">
        <v>55</v>
      </c>
      <c r="N793" s="2"/>
      <c r="O793" s="2"/>
      <c r="P793" s="6" t="s">
        <v>57</v>
      </c>
      <c r="Q793" s="6" t="s">
        <v>57</v>
      </c>
      <c r="R793" s="9">
        <v>0</v>
      </c>
      <c r="S793" s="2"/>
      <c r="T793" s="9">
        <v>0</v>
      </c>
      <c r="U793" s="9">
        <v>102</v>
      </c>
      <c r="V793" s="9">
        <v>38</v>
      </c>
      <c r="W793" s="9">
        <v>20</v>
      </c>
      <c r="X793" s="9">
        <v>20</v>
      </c>
      <c r="Y793" s="9">
        <v>20</v>
      </c>
      <c r="Z793" s="9">
        <v>20</v>
      </c>
      <c r="AA793" s="9">
        <v>20</v>
      </c>
      <c r="AB793" s="9">
        <v>117</v>
      </c>
      <c r="AC793" s="9">
        <v>40</v>
      </c>
      <c r="AD793" s="9">
        <v>20</v>
      </c>
      <c r="AE793" s="6" t="s">
        <v>57</v>
      </c>
      <c r="AF793" s="6" t="s">
        <v>57</v>
      </c>
      <c r="AG793" s="6" t="s">
        <v>57</v>
      </c>
      <c r="AH793" s="6" t="s">
        <v>57</v>
      </c>
      <c r="AI793" s="6" t="s">
        <v>57</v>
      </c>
      <c r="AJ793" s="6" t="s">
        <v>57</v>
      </c>
      <c r="AK793" s="6" t="s">
        <v>57</v>
      </c>
      <c r="AL793" s="6" t="s">
        <v>57</v>
      </c>
      <c r="AM793" s="6" t="s">
        <v>57</v>
      </c>
      <c r="AN793" s="6" t="s">
        <v>57</v>
      </c>
      <c r="AO793" s="6" t="s">
        <v>57</v>
      </c>
      <c r="AP793" s="6" t="s">
        <v>57</v>
      </c>
      <c r="AQ793" s="9">
        <v>0</v>
      </c>
    </row>
    <row r="794" spans="1:43" ht="15">
      <c r="A794" s="2" t="s">
        <v>2781</v>
      </c>
      <c r="B794" s="5">
        <v>114831159</v>
      </c>
      <c r="C794" s="2" t="s">
        <v>23</v>
      </c>
      <c r="D794" s="2" t="s">
        <v>2782</v>
      </c>
      <c r="E794" s="2" t="s">
        <v>2783</v>
      </c>
      <c r="F794" s="2" t="s">
        <v>26</v>
      </c>
      <c r="G794" s="2" t="s">
        <v>26</v>
      </c>
      <c r="H794" s="2" t="s">
        <v>27</v>
      </c>
      <c r="I794" s="2" t="s">
        <v>28</v>
      </c>
      <c r="J794" s="6"/>
      <c r="K794" s="2" t="s">
        <v>55</v>
      </c>
      <c r="L794" s="2" t="s">
        <v>56</v>
      </c>
      <c r="M794" s="2" t="s">
        <v>55</v>
      </c>
      <c r="N794" s="2"/>
      <c r="O794" s="2"/>
      <c r="P794" s="6" t="s">
        <v>57</v>
      </c>
      <c r="Q794" s="6" t="s">
        <v>57</v>
      </c>
      <c r="R794" s="9">
        <v>0</v>
      </c>
      <c r="S794" s="2"/>
      <c r="T794" s="9">
        <v>0</v>
      </c>
      <c r="U794" s="9">
        <v>0</v>
      </c>
      <c r="V794" s="9">
        <v>0</v>
      </c>
      <c r="W794" s="9">
        <v>0</v>
      </c>
      <c r="X794" s="9">
        <v>0</v>
      </c>
      <c r="Y794" s="9">
        <v>0</v>
      </c>
      <c r="Z794" s="9">
        <v>0</v>
      </c>
      <c r="AA794" s="9">
        <v>0</v>
      </c>
      <c r="AB794" s="9">
        <v>0</v>
      </c>
      <c r="AC794" s="9">
        <v>0</v>
      </c>
      <c r="AD794" s="9">
        <v>0</v>
      </c>
      <c r="AE794" s="6" t="s">
        <v>57</v>
      </c>
      <c r="AF794" s="6" t="s">
        <v>57</v>
      </c>
      <c r="AG794" s="6" t="s">
        <v>57</v>
      </c>
      <c r="AH794" s="6" t="s">
        <v>57</v>
      </c>
      <c r="AI794" s="6" t="s">
        <v>57</v>
      </c>
      <c r="AJ794" s="6" t="s">
        <v>57</v>
      </c>
      <c r="AK794" s="6" t="s">
        <v>57</v>
      </c>
      <c r="AL794" s="6" t="s">
        <v>57</v>
      </c>
      <c r="AM794" s="6" t="s">
        <v>57</v>
      </c>
      <c r="AN794" s="6" t="s">
        <v>57</v>
      </c>
      <c r="AO794" s="6" t="s">
        <v>57</v>
      </c>
      <c r="AP794" s="6" t="s">
        <v>57</v>
      </c>
      <c r="AQ794" s="9">
        <v>0</v>
      </c>
    </row>
    <row r="795" spans="1:43" ht="15">
      <c r="A795" s="2" t="s">
        <v>2784</v>
      </c>
      <c r="B795" s="5">
        <v>19126501</v>
      </c>
      <c r="C795" s="2" t="s">
        <v>23</v>
      </c>
      <c r="D795" s="2" t="s">
        <v>2785</v>
      </c>
      <c r="E795" s="2" t="s">
        <v>2786</v>
      </c>
      <c r="F795" s="2" t="s">
        <v>26</v>
      </c>
      <c r="G795" s="2" t="s">
        <v>26</v>
      </c>
      <c r="H795" s="2" t="s">
        <v>27</v>
      </c>
      <c r="I795" s="2" t="s">
        <v>28</v>
      </c>
      <c r="J795" s="6"/>
      <c r="K795" s="2" t="s">
        <v>55</v>
      </c>
      <c r="L795" s="2" t="s">
        <v>56</v>
      </c>
      <c r="M795" s="2" t="s">
        <v>55</v>
      </c>
      <c r="N795" s="2"/>
      <c r="O795" s="2"/>
      <c r="P795" s="6" t="s">
        <v>57</v>
      </c>
      <c r="Q795" s="6" t="s">
        <v>57</v>
      </c>
      <c r="R795" s="9">
        <v>0</v>
      </c>
      <c r="S795" s="2"/>
      <c r="T795" s="9">
        <v>0</v>
      </c>
      <c r="U795" s="9">
        <v>0</v>
      </c>
      <c r="V795" s="9">
        <v>0</v>
      </c>
      <c r="W795" s="9">
        <v>0</v>
      </c>
      <c r="X795" s="9">
        <v>0</v>
      </c>
      <c r="Y795" s="9">
        <v>0</v>
      </c>
      <c r="Z795" s="9">
        <v>634</v>
      </c>
      <c r="AA795" s="9">
        <v>8428</v>
      </c>
      <c r="AB795" s="9">
        <v>0</v>
      </c>
      <c r="AC795" s="9">
        <v>0</v>
      </c>
      <c r="AD795" s="9">
        <v>0</v>
      </c>
      <c r="AE795" s="6" t="s">
        <v>57</v>
      </c>
      <c r="AF795" s="6" t="s">
        <v>57</v>
      </c>
      <c r="AG795" s="6" t="s">
        <v>57</v>
      </c>
      <c r="AH795" s="6" t="s">
        <v>57</v>
      </c>
      <c r="AI795" s="6" t="s">
        <v>57</v>
      </c>
      <c r="AJ795" s="6" t="s">
        <v>57</v>
      </c>
      <c r="AK795" s="6" t="s">
        <v>57</v>
      </c>
      <c r="AL795" s="6" t="s">
        <v>57</v>
      </c>
      <c r="AM795" s="6" t="s">
        <v>57</v>
      </c>
      <c r="AN795" s="6" t="s">
        <v>57</v>
      </c>
      <c r="AO795" s="6" t="s">
        <v>57</v>
      </c>
      <c r="AP795" s="6" t="s">
        <v>57</v>
      </c>
      <c r="AQ795" s="9">
        <v>0</v>
      </c>
    </row>
    <row r="796" spans="1:43" ht="15">
      <c r="A796" s="2" t="s">
        <v>2787</v>
      </c>
      <c r="B796" s="5">
        <v>19126495</v>
      </c>
      <c r="C796" s="2" t="s">
        <v>23</v>
      </c>
      <c r="D796" s="2" t="s">
        <v>2785</v>
      </c>
      <c r="E796" s="2" t="s">
        <v>2788</v>
      </c>
      <c r="F796" s="2" t="s">
        <v>26</v>
      </c>
      <c r="G796" s="2" t="s">
        <v>26</v>
      </c>
      <c r="H796" s="2" t="s">
        <v>27</v>
      </c>
      <c r="I796" s="2" t="s">
        <v>28</v>
      </c>
      <c r="J796" s="6"/>
      <c r="K796" s="2" t="s">
        <v>55</v>
      </c>
      <c r="L796" s="2" t="s">
        <v>56</v>
      </c>
      <c r="M796" s="2" t="s">
        <v>55</v>
      </c>
      <c r="N796" s="2"/>
      <c r="O796" s="2"/>
      <c r="P796" s="6" t="s">
        <v>57</v>
      </c>
      <c r="Q796" s="6" t="s">
        <v>57</v>
      </c>
      <c r="R796" s="9">
        <v>0</v>
      </c>
      <c r="S796" s="2"/>
      <c r="T796" s="9">
        <v>0</v>
      </c>
      <c r="U796" s="9">
        <v>0</v>
      </c>
      <c r="V796" s="9">
        <v>0</v>
      </c>
      <c r="W796" s="9">
        <v>0</v>
      </c>
      <c r="X796" s="9">
        <v>0</v>
      </c>
      <c r="Y796" s="9">
        <v>0</v>
      </c>
      <c r="Z796" s="9">
        <v>0</v>
      </c>
      <c r="AA796" s="9">
        <v>0</v>
      </c>
      <c r="AB796" s="9">
        <v>0</v>
      </c>
      <c r="AC796" s="9">
        <v>0</v>
      </c>
      <c r="AD796" s="9">
        <v>0</v>
      </c>
      <c r="AE796" s="6" t="s">
        <v>57</v>
      </c>
      <c r="AF796" s="6" t="s">
        <v>57</v>
      </c>
      <c r="AG796" s="6" t="s">
        <v>57</v>
      </c>
      <c r="AH796" s="6" t="s">
        <v>57</v>
      </c>
      <c r="AI796" s="6" t="s">
        <v>57</v>
      </c>
      <c r="AJ796" s="6" t="s">
        <v>57</v>
      </c>
      <c r="AK796" s="6" t="s">
        <v>57</v>
      </c>
      <c r="AL796" s="6" t="s">
        <v>57</v>
      </c>
      <c r="AM796" s="6" t="s">
        <v>57</v>
      </c>
      <c r="AN796" s="6" t="s">
        <v>57</v>
      </c>
      <c r="AO796" s="6" t="s">
        <v>57</v>
      </c>
      <c r="AP796" s="6" t="s">
        <v>57</v>
      </c>
      <c r="AQ796" s="9">
        <v>0</v>
      </c>
    </row>
    <row r="797" spans="1:43" ht="15">
      <c r="A797" s="2" t="s">
        <v>2789</v>
      </c>
      <c r="B797" s="5">
        <v>124629202</v>
      </c>
      <c r="C797" s="2" t="s">
        <v>23</v>
      </c>
      <c r="D797" s="2" t="s">
        <v>2790</v>
      </c>
      <c r="E797" s="2" t="s">
        <v>2791</v>
      </c>
      <c r="F797" s="2" t="s">
        <v>26</v>
      </c>
      <c r="G797" s="2" t="s">
        <v>26</v>
      </c>
      <c r="H797" s="2" t="s">
        <v>27</v>
      </c>
      <c r="I797" s="2" t="s">
        <v>28</v>
      </c>
      <c r="J797" s="6"/>
      <c r="K797" s="2" t="s">
        <v>55</v>
      </c>
      <c r="L797" s="2" t="s">
        <v>56</v>
      </c>
      <c r="M797" s="2" t="s">
        <v>55</v>
      </c>
      <c r="N797" s="2"/>
      <c r="O797" s="2"/>
      <c r="P797" s="6" t="s">
        <v>57</v>
      </c>
      <c r="Q797" s="6" t="s">
        <v>57</v>
      </c>
      <c r="R797" s="9">
        <v>0</v>
      </c>
      <c r="S797" s="2"/>
      <c r="T797" s="9">
        <v>0</v>
      </c>
      <c r="U797" s="9">
        <v>0</v>
      </c>
      <c r="V797" s="9">
        <v>0</v>
      </c>
      <c r="W797" s="9">
        <v>261025</v>
      </c>
      <c r="X797" s="9">
        <v>261025</v>
      </c>
      <c r="Y797" s="9">
        <v>261025</v>
      </c>
      <c r="Z797" s="9">
        <v>261025</v>
      </c>
      <c r="AA797" s="9">
        <v>261025</v>
      </c>
      <c r="AB797" s="9">
        <v>0</v>
      </c>
      <c r="AC797" s="9">
        <v>0</v>
      </c>
      <c r="AD797" s="9">
        <v>153812</v>
      </c>
      <c r="AE797" s="6" t="s">
        <v>57</v>
      </c>
      <c r="AF797" s="6" t="s">
        <v>57</v>
      </c>
      <c r="AG797" s="6" t="s">
        <v>57</v>
      </c>
      <c r="AH797" s="6" t="s">
        <v>57</v>
      </c>
      <c r="AI797" s="6" t="s">
        <v>57</v>
      </c>
      <c r="AJ797" s="6" t="s">
        <v>57</v>
      </c>
      <c r="AK797" s="6" t="s">
        <v>57</v>
      </c>
      <c r="AL797" s="6" t="s">
        <v>57</v>
      </c>
      <c r="AM797" s="6" t="s">
        <v>57</v>
      </c>
      <c r="AN797" s="6" t="s">
        <v>57</v>
      </c>
      <c r="AO797" s="6" t="s">
        <v>57</v>
      </c>
      <c r="AP797" s="6" t="s">
        <v>57</v>
      </c>
      <c r="AQ797" s="9">
        <v>0</v>
      </c>
    </row>
    <row r="798" spans="1:43" ht="15">
      <c r="A798" s="2" t="s">
        <v>2792</v>
      </c>
      <c r="B798" s="5">
        <v>6873673</v>
      </c>
      <c r="C798" s="2" t="s">
        <v>23</v>
      </c>
      <c r="D798" s="2" t="s">
        <v>2793</v>
      </c>
      <c r="E798" s="2" t="s">
        <v>2794</v>
      </c>
      <c r="F798" s="2" t="s">
        <v>26</v>
      </c>
      <c r="G798" s="2"/>
      <c r="H798" s="2"/>
      <c r="I798" s="2" t="s">
        <v>28</v>
      </c>
      <c r="J798" s="6"/>
      <c r="K798" s="2" t="s">
        <v>55</v>
      </c>
      <c r="L798" s="2" t="s">
        <v>56</v>
      </c>
      <c r="M798" s="2" t="s">
        <v>55</v>
      </c>
      <c r="N798" s="2"/>
      <c r="O798" s="2"/>
      <c r="P798" s="7">
        <v>21.2304872230211</v>
      </c>
      <c r="Q798" s="6" t="s">
        <v>57</v>
      </c>
      <c r="R798" s="9">
        <v>7327</v>
      </c>
      <c r="S798" s="2"/>
      <c r="T798" s="9">
        <v>7049</v>
      </c>
      <c r="U798" s="9">
        <v>17409</v>
      </c>
      <c r="V798" s="9">
        <v>28546</v>
      </c>
      <c r="W798" s="9">
        <v>30677</v>
      </c>
      <c r="X798" s="9">
        <v>30662</v>
      </c>
      <c r="Y798" s="9">
        <v>34446</v>
      </c>
      <c r="Z798" s="9">
        <v>37281</v>
      </c>
      <c r="AA798" s="9">
        <v>78530</v>
      </c>
      <c r="AB798" s="9">
        <v>10349</v>
      </c>
      <c r="AC798" s="9">
        <v>28529</v>
      </c>
      <c r="AD798" s="9">
        <v>25123</v>
      </c>
      <c r="AE798" s="6" t="s">
        <v>57</v>
      </c>
      <c r="AF798" s="6" t="s">
        <v>57</v>
      </c>
      <c r="AG798" s="6" t="s">
        <v>57</v>
      </c>
      <c r="AH798" s="6" t="s">
        <v>57</v>
      </c>
      <c r="AI798" s="6" t="s">
        <v>57</v>
      </c>
      <c r="AJ798" s="6" t="s">
        <v>57</v>
      </c>
      <c r="AK798" s="6" t="s">
        <v>57</v>
      </c>
      <c r="AL798" s="6" t="s">
        <v>57</v>
      </c>
      <c r="AM798" s="6" t="s">
        <v>57</v>
      </c>
      <c r="AN798" s="6" t="s">
        <v>57</v>
      </c>
      <c r="AO798" s="6" t="s">
        <v>57</v>
      </c>
      <c r="AP798" s="6" t="s">
        <v>57</v>
      </c>
      <c r="AQ798" s="9">
        <v>14653</v>
      </c>
    </row>
    <row r="799" spans="1:43" ht="15">
      <c r="A799" s="2" t="s">
        <v>2795</v>
      </c>
      <c r="B799" s="5">
        <v>28746605</v>
      </c>
      <c r="C799" s="2" t="s">
        <v>23</v>
      </c>
      <c r="D799" s="2" t="s">
        <v>2793</v>
      </c>
      <c r="E799" s="2" t="s">
        <v>2796</v>
      </c>
      <c r="F799" s="2" t="s">
        <v>26</v>
      </c>
      <c r="G799" s="2" t="s">
        <v>26</v>
      </c>
      <c r="H799" s="2" t="s">
        <v>27</v>
      </c>
      <c r="I799" s="2" t="s">
        <v>28</v>
      </c>
      <c r="J799" s="6"/>
      <c r="K799" s="2" t="s">
        <v>55</v>
      </c>
      <c r="L799" s="2" t="s">
        <v>56</v>
      </c>
      <c r="M799" s="2" t="s">
        <v>55</v>
      </c>
      <c r="N799" s="2"/>
      <c r="O799" s="2"/>
      <c r="P799" s="6" t="s">
        <v>57</v>
      </c>
      <c r="Q799" s="6" t="s">
        <v>57</v>
      </c>
      <c r="R799" s="9">
        <v>0</v>
      </c>
      <c r="S799" s="2"/>
      <c r="T799" s="9">
        <v>0</v>
      </c>
      <c r="U799" s="9">
        <v>0</v>
      </c>
      <c r="V799" s="9">
        <v>0</v>
      </c>
      <c r="W799" s="9">
        <v>33</v>
      </c>
      <c r="X799" s="9">
        <v>33</v>
      </c>
      <c r="Y799" s="9">
        <v>29</v>
      </c>
      <c r="Z799" s="9">
        <v>43</v>
      </c>
      <c r="AA799" s="9">
        <v>719</v>
      </c>
      <c r="AB799" s="9">
        <v>0</v>
      </c>
      <c r="AC799" s="9">
        <v>0</v>
      </c>
      <c r="AD799" s="9">
        <v>0</v>
      </c>
      <c r="AE799" s="6" t="s">
        <v>57</v>
      </c>
      <c r="AF799" s="6" t="s">
        <v>57</v>
      </c>
      <c r="AG799" s="6" t="s">
        <v>57</v>
      </c>
      <c r="AH799" s="6" t="s">
        <v>57</v>
      </c>
      <c r="AI799" s="6" t="s">
        <v>57</v>
      </c>
      <c r="AJ799" s="6" t="s">
        <v>57</v>
      </c>
      <c r="AK799" s="6" t="s">
        <v>57</v>
      </c>
      <c r="AL799" s="6" t="s">
        <v>57</v>
      </c>
      <c r="AM799" s="6" t="s">
        <v>57</v>
      </c>
      <c r="AN799" s="6" t="s">
        <v>57</v>
      </c>
      <c r="AO799" s="6" t="s">
        <v>57</v>
      </c>
      <c r="AP799" s="6" t="s">
        <v>57</v>
      </c>
      <c r="AQ799" s="9">
        <v>0</v>
      </c>
    </row>
    <row r="800" spans="1:43" ht="15">
      <c r="A800" s="2" t="s">
        <v>2797</v>
      </c>
      <c r="B800" s="5">
        <v>19825632</v>
      </c>
      <c r="C800" s="2" t="s">
        <v>23</v>
      </c>
      <c r="D800" s="2" t="s">
        <v>2793</v>
      </c>
      <c r="E800" s="2" t="s">
        <v>2798</v>
      </c>
      <c r="F800" s="2" t="s">
        <v>26</v>
      </c>
      <c r="G800" s="2" t="s">
        <v>26</v>
      </c>
      <c r="H800" s="2" t="s">
        <v>27</v>
      </c>
      <c r="I800" s="2" t="s">
        <v>28</v>
      </c>
      <c r="J800" s="6"/>
      <c r="K800" s="2" t="s">
        <v>55</v>
      </c>
      <c r="L800" s="2" t="s">
        <v>56</v>
      </c>
      <c r="M800" s="2" t="s">
        <v>55</v>
      </c>
      <c r="N800" s="2"/>
      <c r="O800" s="2"/>
      <c r="P800" s="7">
        <v>26.977648197289799</v>
      </c>
      <c r="Q800" s="6" t="s">
        <v>57</v>
      </c>
      <c r="R800" s="9">
        <v>0</v>
      </c>
      <c r="S800" s="2"/>
      <c r="T800" s="9">
        <v>976</v>
      </c>
      <c r="U800" s="9">
        <v>278</v>
      </c>
      <c r="V800" s="9">
        <v>123</v>
      </c>
      <c r="W800" s="9">
        <v>73</v>
      </c>
      <c r="X800" s="9">
        <v>73</v>
      </c>
      <c r="Y800" s="9">
        <v>160</v>
      </c>
      <c r="Z800" s="9">
        <v>232</v>
      </c>
      <c r="AA800" s="9">
        <v>1500</v>
      </c>
      <c r="AB800" s="9">
        <v>279</v>
      </c>
      <c r="AC800" s="9">
        <v>129</v>
      </c>
      <c r="AD800" s="9">
        <v>102</v>
      </c>
      <c r="AE800" s="6" t="s">
        <v>57</v>
      </c>
      <c r="AF800" s="6" t="s">
        <v>57</v>
      </c>
      <c r="AG800" s="6" t="s">
        <v>57</v>
      </c>
      <c r="AH800" s="6" t="s">
        <v>57</v>
      </c>
      <c r="AI800" s="6" t="s">
        <v>57</v>
      </c>
      <c r="AJ800" s="6" t="s">
        <v>57</v>
      </c>
      <c r="AK800" s="6" t="s">
        <v>57</v>
      </c>
      <c r="AL800" s="6" t="s">
        <v>57</v>
      </c>
      <c r="AM800" s="6" t="s">
        <v>57</v>
      </c>
      <c r="AN800" s="6" t="s">
        <v>57</v>
      </c>
      <c r="AO800" s="6" t="s">
        <v>57</v>
      </c>
      <c r="AP800" s="6" t="s">
        <v>57</v>
      </c>
      <c r="AQ800" s="9">
        <v>0</v>
      </c>
    </row>
    <row r="801" spans="1:43" ht="15">
      <c r="A801" s="2" t="s">
        <v>2799</v>
      </c>
      <c r="B801" s="5">
        <v>5738717</v>
      </c>
      <c r="C801" s="2" t="s">
        <v>23</v>
      </c>
      <c r="D801" s="2" t="s">
        <v>2800</v>
      </c>
      <c r="E801" s="2" t="s">
        <v>2801</v>
      </c>
      <c r="F801" s="2" t="s">
        <v>26</v>
      </c>
      <c r="G801" s="2" t="s">
        <v>26</v>
      </c>
      <c r="H801" s="2" t="s">
        <v>27</v>
      </c>
      <c r="I801" s="2" t="s">
        <v>28</v>
      </c>
      <c r="J801" s="6"/>
      <c r="K801" s="2" t="s">
        <v>55</v>
      </c>
      <c r="L801" s="2" t="s">
        <v>56</v>
      </c>
      <c r="M801" s="2" t="s">
        <v>55</v>
      </c>
      <c r="N801" s="2"/>
      <c r="O801" s="2"/>
      <c r="P801" s="6" t="s">
        <v>57</v>
      </c>
      <c r="Q801" s="6" t="s">
        <v>57</v>
      </c>
      <c r="R801" s="9">
        <v>0</v>
      </c>
      <c r="S801" s="2"/>
      <c r="T801" s="9">
        <v>0</v>
      </c>
      <c r="U801" s="9">
        <v>0</v>
      </c>
      <c r="V801" s="9">
        <v>0</v>
      </c>
      <c r="W801" s="9">
        <v>0</v>
      </c>
      <c r="X801" s="9">
        <v>0</v>
      </c>
      <c r="Y801" s="9">
        <v>0</v>
      </c>
      <c r="Z801" s="9">
        <v>0</v>
      </c>
      <c r="AA801" s="9">
        <v>83</v>
      </c>
      <c r="AB801" s="9">
        <v>0</v>
      </c>
      <c r="AC801" s="9">
        <v>0</v>
      </c>
      <c r="AD801" s="9">
        <v>0</v>
      </c>
      <c r="AE801" s="6" t="s">
        <v>57</v>
      </c>
      <c r="AF801" s="6" t="s">
        <v>57</v>
      </c>
      <c r="AG801" s="6" t="s">
        <v>57</v>
      </c>
      <c r="AH801" s="6" t="s">
        <v>57</v>
      </c>
      <c r="AI801" s="6" t="s">
        <v>57</v>
      </c>
      <c r="AJ801" s="6" t="s">
        <v>57</v>
      </c>
      <c r="AK801" s="6" t="s">
        <v>57</v>
      </c>
      <c r="AL801" s="6" t="s">
        <v>57</v>
      </c>
      <c r="AM801" s="6" t="s">
        <v>57</v>
      </c>
      <c r="AN801" s="6" t="s">
        <v>57</v>
      </c>
      <c r="AO801" s="6" t="s">
        <v>57</v>
      </c>
      <c r="AP801" s="6" t="s">
        <v>57</v>
      </c>
      <c r="AQ801" s="9">
        <v>0</v>
      </c>
    </row>
    <row r="802" spans="1:43" ht="15">
      <c r="A802" s="2" t="s">
        <v>2802</v>
      </c>
      <c r="B802" s="5">
        <v>113235636</v>
      </c>
      <c r="C802" s="2" t="s">
        <v>23</v>
      </c>
      <c r="D802" s="2" t="s">
        <v>2803</v>
      </c>
      <c r="E802" s="2" t="s">
        <v>2804</v>
      </c>
      <c r="F802" s="2" t="s">
        <v>26</v>
      </c>
      <c r="G802" s="2" t="s">
        <v>26</v>
      </c>
      <c r="H802" s="2" t="s">
        <v>27</v>
      </c>
      <c r="I802" s="2" t="s">
        <v>28</v>
      </c>
      <c r="J802" s="6"/>
      <c r="K802" s="2" t="s">
        <v>55</v>
      </c>
      <c r="L802" s="2" t="s">
        <v>56</v>
      </c>
      <c r="M802" s="2" t="s">
        <v>55</v>
      </c>
      <c r="N802" s="2"/>
      <c r="O802" s="2"/>
      <c r="P802" s="6" t="s">
        <v>57</v>
      </c>
      <c r="Q802" s="6" t="s">
        <v>57</v>
      </c>
      <c r="R802" s="9">
        <v>25442</v>
      </c>
      <c r="S802" s="2"/>
      <c r="T802" s="9">
        <v>29398</v>
      </c>
      <c r="U802" s="9">
        <v>7593</v>
      </c>
      <c r="V802" s="9">
        <v>3152</v>
      </c>
      <c r="W802" s="9">
        <v>2042</v>
      </c>
      <c r="X802" s="9">
        <v>2033</v>
      </c>
      <c r="Y802" s="9">
        <v>1505</v>
      </c>
      <c r="Z802" s="9">
        <v>1408</v>
      </c>
      <c r="AA802" s="9">
        <v>1408</v>
      </c>
      <c r="AB802" s="9">
        <v>8678</v>
      </c>
      <c r="AC802" s="9">
        <v>3307</v>
      </c>
      <c r="AD802" s="9">
        <v>1832</v>
      </c>
      <c r="AE802" s="6" t="s">
        <v>57</v>
      </c>
      <c r="AF802" s="6" t="s">
        <v>57</v>
      </c>
      <c r="AG802" s="6" t="s">
        <v>57</v>
      </c>
      <c r="AH802" s="6" t="s">
        <v>57</v>
      </c>
      <c r="AI802" s="6" t="s">
        <v>57</v>
      </c>
      <c r="AJ802" s="6" t="s">
        <v>57</v>
      </c>
      <c r="AK802" s="6" t="s">
        <v>57</v>
      </c>
      <c r="AL802" s="6" t="s">
        <v>57</v>
      </c>
      <c r="AM802" s="6" t="s">
        <v>57</v>
      </c>
      <c r="AN802" s="6" t="s">
        <v>57</v>
      </c>
      <c r="AO802" s="6" t="s">
        <v>57</v>
      </c>
      <c r="AP802" s="6" t="s">
        <v>57</v>
      </c>
      <c r="AQ802" s="9">
        <v>50052</v>
      </c>
    </row>
    <row r="803" spans="1:43" ht="15">
      <c r="A803" s="2" t="s">
        <v>2805</v>
      </c>
      <c r="B803" s="5">
        <v>118371215</v>
      </c>
      <c r="C803" s="2" t="s">
        <v>23</v>
      </c>
      <c r="D803" s="2" t="s">
        <v>2806</v>
      </c>
      <c r="E803" s="2" t="s">
        <v>2807</v>
      </c>
      <c r="F803" s="2" t="s">
        <v>26</v>
      </c>
      <c r="G803" s="2"/>
      <c r="H803" s="2"/>
      <c r="I803" s="2" t="s">
        <v>28</v>
      </c>
      <c r="J803" s="6"/>
      <c r="K803" s="2" t="s">
        <v>55</v>
      </c>
      <c r="L803" s="2" t="s">
        <v>56</v>
      </c>
      <c r="M803" s="2" t="s">
        <v>55</v>
      </c>
      <c r="N803" s="2"/>
      <c r="O803" s="2"/>
      <c r="P803" s="6" t="s">
        <v>57</v>
      </c>
      <c r="Q803" s="6" t="s">
        <v>57</v>
      </c>
      <c r="R803" s="9">
        <v>0</v>
      </c>
      <c r="S803" s="2"/>
      <c r="T803" s="9">
        <v>0</v>
      </c>
      <c r="U803" s="9">
        <v>0</v>
      </c>
      <c r="V803" s="9">
        <v>0</v>
      </c>
      <c r="W803" s="9">
        <v>0</v>
      </c>
      <c r="X803" s="9">
        <v>0</v>
      </c>
      <c r="Y803" s="9">
        <v>27921</v>
      </c>
      <c r="Z803" s="9">
        <v>27699</v>
      </c>
      <c r="AA803" s="9">
        <v>27699</v>
      </c>
      <c r="AB803" s="9">
        <v>0</v>
      </c>
      <c r="AC803" s="9">
        <v>0</v>
      </c>
      <c r="AD803" s="9">
        <v>0</v>
      </c>
      <c r="AE803" s="6" t="s">
        <v>57</v>
      </c>
      <c r="AF803" s="6" t="s">
        <v>57</v>
      </c>
      <c r="AG803" s="6" t="s">
        <v>57</v>
      </c>
      <c r="AH803" s="6" t="s">
        <v>57</v>
      </c>
      <c r="AI803" s="6" t="s">
        <v>57</v>
      </c>
      <c r="AJ803" s="6" t="s">
        <v>57</v>
      </c>
      <c r="AK803" s="6" t="s">
        <v>57</v>
      </c>
      <c r="AL803" s="6" t="s">
        <v>57</v>
      </c>
      <c r="AM803" s="6" t="s">
        <v>57</v>
      </c>
      <c r="AN803" s="6" t="s">
        <v>57</v>
      </c>
      <c r="AO803" s="6" t="s">
        <v>57</v>
      </c>
      <c r="AP803" s="6" t="s">
        <v>57</v>
      </c>
      <c r="AQ803" s="9">
        <v>0</v>
      </c>
    </row>
    <row r="804" spans="1:43" ht="15">
      <c r="A804" s="2" t="s">
        <v>2808</v>
      </c>
      <c r="B804" s="5">
        <v>124982647</v>
      </c>
      <c r="C804" s="2" t="s">
        <v>23</v>
      </c>
      <c r="D804" s="2" t="s">
        <v>2809</v>
      </c>
      <c r="E804" s="2" t="s">
        <v>2810</v>
      </c>
      <c r="F804" s="2" t="s">
        <v>26</v>
      </c>
      <c r="G804" s="2"/>
      <c r="H804" s="2"/>
      <c r="I804" s="2" t="s">
        <v>28</v>
      </c>
      <c r="J804" s="6"/>
      <c r="K804" s="2" t="s">
        <v>55</v>
      </c>
      <c r="L804" s="2" t="s">
        <v>56</v>
      </c>
      <c r="M804" s="2" t="s">
        <v>55</v>
      </c>
      <c r="N804" s="2"/>
      <c r="O804" s="2"/>
      <c r="P804" s="6" t="s">
        <v>57</v>
      </c>
      <c r="Q804" s="6" t="s">
        <v>57</v>
      </c>
      <c r="R804" s="9">
        <v>0</v>
      </c>
      <c r="S804" s="2"/>
      <c r="T804" s="9">
        <v>0</v>
      </c>
      <c r="U804" s="9">
        <v>0</v>
      </c>
      <c r="V804" s="9">
        <v>0</v>
      </c>
      <c r="W804" s="9">
        <v>1</v>
      </c>
      <c r="X804" s="9">
        <v>1</v>
      </c>
      <c r="Y804" s="9">
        <v>2</v>
      </c>
      <c r="Z804" s="9">
        <v>2</v>
      </c>
      <c r="AA804" s="9">
        <v>2</v>
      </c>
      <c r="AB804" s="9">
        <v>0</v>
      </c>
      <c r="AC804" s="9">
        <v>0</v>
      </c>
      <c r="AD804" s="9">
        <v>0</v>
      </c>
      <c r="AE804" s="6" t="s">
        <v>57</v>
      </c>
      <c r="AF804" s="6" t="s">
        <v>57</v>
      </c>
      <c r="AG804" s="6" t="s">
        <v>57</v>
      </c>
      <c r="AH804" s="6" t="s">
        <v>57</v>
      </c>
      <c r="AI804" s="6" t="s">
        <v>57</v>
      </c>
      <c r="AJ804" s="6" t="s">
        <v>57</v>
      </c>
      <c r="AK804" s="6" t="s">
        <v>57</v>
      </c>
      <c r="AL804" s="6" t="s">
        <v>57</v>
      </c>
      <c r="AM804" s="6" t="s">
        <v>57</v>
      </c>
      <c r="AN804" s="6" t="s">
        <v>57</v>
      </c>
      <c r="AO804" s="6" t="s">
        <v>57</v>
      </c>
      <c r="AP804" s="6" t="s">
        <v>57</v>
      </c>
      <c r="AQ804" s="9">
        <v>0</v>
      </c>
    </row>
    <row r="805" spans="1:43" ht="15">
      <c r="A805" s="2" t="s">
        <v>2811</v>
      </c>
      <c r="B805" s="5">
        <v>142945425</v>
      </c>
      <c r="C805" s="2" t="s">
        <v>23</v>
      </c>
      <c r="D805" s="2" t="s">
        <v>2812</v>
      </c>
      <c r="E805" s="2" t="s">
        <v>2813</v>
      </c>
      <c r="F805" s="2" t="s">
        <v>26</v>
      </c>
      <c r="G805" s="2"/>
      <c r="H805" s="2"/>
      <c r="I805" s="2" t="s">
        <v>28</v>
      </c>
      <c r="J805" s="6"/>
      <c r="K805" s="2" t="s">
        <v>55</v>
      </c>
      <c r="L805" s="2" t="s">
        <v>56</v>
      </c>
      <c r="M805" s="2" t="s">
        <v>55</v>
      </c>
      <c r="N805" s="2"/>
      <c r="O805" s="2"/>
      <c r="P805" s="6" t="s">
        <v>57</v>
      </c>
      <c r="Q805" s="6" t="s">
        <v>57</v>
      </c>
      <c r="R805" s="6" t="s">
        <v>57</v>
      </c>
      <c r="S805" s="2"/>
      <c r="T805" s="6" t="s">
        <v>57</v>
      </c>
      <c r="U805" s="6" t="s">
        <v>57</v>
      </c>
      <c r="V805" s="6" t="s">
        <v>57</v>
      </c>
      <c r="W805" s="6" t="s">
        <v>57</v>
      </c>
      <c r="X805" s="6" t="s">
        <v>57</v>
      </c>
      <c r="Y805" s="6" t="s">
        <v>57</v>
      </c>
      <c r="Z805" s="6" t="s">
        <v>57</v>
      </c>
      <c r="AA805" s="6" t="s">
        <v>57</v>
      </c>
      <c r="AB805" s="6" t="s">
        <v>57</v>
      </c>
      <c r="AC805" s="6" t="s">
        <v>57</v>
      </c>
      <c r="AD805" s="6" t="s">
        <v>57</v>
      </c>
      <c r="AE805" s="6" t="s">
        <v>57</v>
      </c>
      <c r="AF805" s="6" t="s">
        <v>57</v>
      </c>
      <c r="AG805" s="6" t="s">
        <v>57</v>
      </c>
      <c r="AH805" s="6" t="s">
        <v>57</v>
      </c>
      <c r="AI805" s="6" t="s">
        <v>57</v>
      </c>
      <c r="AJ805" s="6" t="s">
        <v>57</v>
      </c>
      <c r="AK805" s="6" t="s">
        <v>57</v>
      </c>
      <c r="AL805" s="6" t="s">
        <v>57</v>
      </c>
      <c r="AM805" s="6" t="s">
        <v>57</v>
      </c>
      <c r="AN805" s="6" t="s">
        <v>57</v>
      </c>
      <c r="AO805" s="6" t="s">
        <v>57</v>
      </c>
      <c r="AP805" s="6" t="s">
        <v>57</v>
      </c>
      <c r="AQ805" s="6" t="s">
        <v>57</v>
      </c>
    </row>
    <row r="806" spans="1:43" ht="15">
      <c r="A806" s="2" t="s">
        <v>2814</v>
      </c>
      <c r="B806" s="5">
        <v>135528842</v>
      </c>
      <c r="C806" s="2" t="s">
        <v>23</v>
      </c>
      <c r="D806" s="2" t="s">
        <v>2815</v>
      </c>
      <c r="E806" s="2" t="s">
        <v>2816</v>
      </c>
      <c r="F806" s="2" t="s">
        <v>26</v>
      </c>
      <c r="G806" s="2" t="s">
        <v>26</v>
      </c>
      <c r="H806" s="2" t="s">
        <v>27</v>
      </c>
      <c r="I806" s="2" t="s">
        <v>28</v>
      </c>
      <c r="J806" s="6"/>
      <c r="K806" s="2" t="s">
        <v>55</v>
      </c>
      <c r="L806" s="2" t="s">
        <v>56</v>
      </c>
      <c r="M806" s="2" t="s">
        <v>55</v>
      </c>
      <c r="N806" s="2"/>
      <c r="O806" s="2"/>
      <c r="P806" s="6" t="s">
        <v>57</v>
      </c>
      <c r="Q806" s="6" t="s">
        <v>57</v>
      </c>
      <c r="R806" s="9">
        <v>243483</v>
      </c>
      <c r="S806" s="2"/>
      <c r="T806" s="9">
        <v>142088</v>
      </c>
      <c r="U806" s="9">
        <v>239359</v>
      </c>
      <c r="V806" s="9">
        <v>197242</v>
      </c>
      <c r="W806" s="9">
        <v>265753</v>
      </c>
      <c r="X806" s="9">
        <v>264690</v>
      </c>
      <c r="Y806" s="9">
        <v>258283</v>
      </c>
      <c r="Z806" s="9">
        <v>258283</v>
      </c>
      <c r="AA806" s="9">
        <v>258283</v>
      </c>
      <c r="AB806" s="9">
        <v>186293</v>
      </c>
      <c r="AC806" s="9">
        <v>181333</v>
      </c>
      <c r="AD806" s="9">
        <v>185333</v>
      </c>
      <c r="AE806" s="6" t="s">
        <v>57</v>
      </c>
      <c r="AF806" s="6" t="s">
        <v>57</v>
      </c>
      <c r="AG806" s="6" t="s">
        <v>57</v>
      </c>
      <c r="AH806" s="6" t="s">
        <v>57</v>
      </c>
      <c r="AI806" s="6" t="s">
        <v>57</v>
      </c>
      <c r="AJ806" s="6" t="s">
        <v>57</v>
      </c>
      <c r="AK806" s="6" t="s">
        <v>57</v>
      </c>
      <c r="AL806" s="6" t="s">
        <v>57</v>
      </c>
      <c r="AM806" s="6" t="s">
        <v>57</v>
      </c>
      <c r="AN806" s="6" t="s">
        <v>57</v>
      </c>
      <c r="AO806" s="6" t="s">
        <v>57</v>
      </c>
      <c r="AP806" s="6" t="s">
        <v>57</v>
      </c>
      <c r="AQ806" s="9">
        <v>482406</v>
      </c>
    </row>
    <row r="807" spans="1:43" ht="15">
      <c r="A807" s="2" t="s">
        <v>2817</v>
      </c>
      <c r="B807" s="5">
        <v>113235437</v>
      </c>
      <c r="C807" s="2" t="s">
        <v>23</v>
      </c>
      <c r="D807" s="2" t="s">
        <v>2818</v>
      </c>
      <c r="E807" s="2" t="s">
        <v>2819</v>
      </c>
      <c r="F807" s="2" t="s">
        <v>26</v>
      </c>
      <c r="G807" s="2" t="s">
        <v>26</v>
      </c>
      <c r="H807" s="2" t="s">
        <v>27</v>
      </c>
      <c r="I807" s="2" t="s">
        <v>28</v>
      </c>
      <c r="J807" s="6"/>
      <c r="K807" s="2" t="s">
        <v>55</v>
      </c>
      <c r="L807" s="2" t="s">
        <v>56</v>
      </c>
      <c r="M807" s="2" t="s">
        <v>55</v>
      </c>
      <c r="N807" s="2"/>
      <c r="O807" s="2"/>
      <c r="P807" s="6" t="s">
        <v>57</v>
      </c>
      <c r="Q807" s="6" t="s">
        <v>57</v>
      </c>
      <c r="R807" s="6" t="s">
        <v>57</v>
      </c>
      <c r="S807" s="2"/>
      <c r="T807" s="6" t="s">
        <v>57</v>
      </c>
      <c r="U807" s="6" t="s">
        <v>57</v>
      </c>
      <c r="V807" s="6" t="s">
        <v>57</v>
      </c>
      <c r="W807" s="6" t="s">
        <v>57</v>
      </c>
      <c r="X807" s="6" t="s">
        <v>57</v>
      </c>
      <c r="Y807" s="6" t="s">
        <v>57</v>
      </c>
      <c r="Z807" s="6" t="s">
        <v>57</v>
      </c>
      <c r="AA807" s="6" t="s">
        <v>57</v>
      </c>
      <c r="AB807" s="6" t="s">
        <v>57</v>
      </c>
      <c r="AC807" s="6" t="s">
        <v>57</v>
      </c>
      <c r="AD807" s="6" t="s">
        <v>57</v>
      </c>
      <c r="AE807" s="6" t="s">
        <v>57</v>
      </c>
      <c r="AF807" s="6" t="s">
        <v>57</v>
      </c>
      <c r="AG807" s="6" t="s">
        <v>57</v>
      </c>
      <c r="AH807" s="6" t="s">
        <v>57</v>
      </c>
      <c r="AI807" s="6" t="s">
        <v>57</v>
      </c>
      <c r="AJ807" s="6" t="s">
        <v>57</v>
      </c>
      <c r="AK807" s="6" t="s">
        <v>57</v>
      </c>
      <c r="AL807" s="6" t="s">
        <v>57</v>
      </c>
      <c r="AM807" s="6" t="s">
        <v>57</v>
      </c>
      <c r="AN807" s="6" t="s">
        <v>57</v>
      </c>
      <c r="AO807" s="6" t="s">
        <v>57</v>
      </c>
      <c r="AP807" s="6" t="s">
        <v>57</v>
      </c>
      <c r="AQ807" s="6" t="s">
        <v>57</v>
      </c>
    </row>
    <row r="808" spans="1:43" ht="15">
      <c r="A808" s="2" t="s">
        <v>2820</v>
      </c>
      <c r="B808" s="5">
        <v>5724363</v>
      </c>
      <c r="C808" s="2" t="s">
        <v>23</v>
      </c>
      <c r="D808" s="2" t="s">
        <v>2821</v>
      </c>
      <c r="E808" s="2" t="s">
        <v>2822</v>
      </c>
      <c r="F808" s="2" t="s">
        <v>26</v>
      </c>
      <c r="G808" s="2" t="s">
        <v>26</v>
      </c>
      <c r="H808" s="2" t="s">
        <v>27</v>
      </c>
      <c r="I808" s="2" t="s">
        <v>28</v>
      </c>
      <c r="J808" s="6"/>
      <c r="K808" s="2" t="s">
        <v>55</v>
      </c>
      <c r="L808" s="2" t="s">
        <v>56</v>
      </c>
      <c r="M808" s="2" t="s">
        <v>55</v>
      </c>
      <c r="N808" s="2"/>
      <c r="O808" s="2"/>
      <c r="P808" s="7">
        <v>25.010084256658502</v>
      </c>
      <c r="Q808" s="6" t="s">
        <v>57</v>
      </c>
      <c r="R808" s="9">
        <v>0</v>
      </c>
      <c r="S808" s="2"/>
      <c r="T808" s="9">
        <v>0</v>
      </c>
      <c r="U808" s="9">
        <v>0</v>
      </c>
      <c r="V808" s="9">
        <v>0</v>
      </c>
      <c r="W808" s="9">
        <v>0</v>
      </c>
      <c r="X808" s="9">
        <v>0</v>
      </c>
      <c r="Y808" s="9">
        <v>0</v>
      </c>
      <c r="Z808" s="9">
        <v>0</v>
      </c>
      <c r="AA808" s="9">
        <v>0</v>
      </c>
      <c r="AB808" s="9">
        <v>0</v>
      </c>
      <c r="AC808" s="9">
        <v>0</v>
      </c>
      <c r="AD808" s="9">
        <v>0</v>
      </c>
      <c r="AE808" s="6" t="s">
        <v>57</v>
      </c>
      <c r="AF808" s="6" t="s">
        <v>57</v>
      </c>
      <c r="AG808" s="6" t="s">
        <v>57</v>
      </c>
      <c r="AH808" s="6" t="s">
        <v>57</v>
      </c>
      <c r="AI808" s="6" t="s">
        <v>57</v>
      </c>
      <c r="AJ808" s="6" t="s">
        <v>57</v>
      </c>
      <c r="AK808" s="6" t="s">
        <v>57</v>
      </c>
      <c r="AL808" s="6" t="s">
        <v>57</v>
      </c>
      <c r="AM808" s="6" t="s">
        <v>57</v>
      </c>
      <c r="AN808" s="6" t="s">
        <v>57</v>
      </c>
      <c r="AO808" s="6" t="s">
        <v>57</v>
      </c>
      <c r="AP808" s="6" t="s">
        <v>57</v>
      </c>
      <c r="AQ808" s="9">
        <v>0</v>
      </c>
    </row>
    <row r="809" spans="1:43" ht="15">
      <c r="A809" s="2" t="s">
        <v>2823</v>
      </c>
      <c r="B809" s="5">
        <v>4994512</v>
      </c>
      <c r="C809" s="2" t="s">
        <v>23</v>
      </c>
      <c r="D809" s="2" t="s">
        <v>2824</v>
      </c>
      <c r="E809" s="2" t="s">
        <v>2825</v>
      </c>
      <c r="F809" s="2" t="s">
        <v>26</v>
      </c>
      <c r="G809" s="2" t="s">
        <v>26</v>
      </c>
      <c r="H809" s="2" t="s">
        <v>27</v>
      </c>
      <c r="I809" s="2" t="s">
        <v>28</v>
      </c>
      <c r="J809" s="10">
        <v>35740</v>
      </c>
      <c r="K809" s="2" t="s">
        <v>2826</v>
      </c>
      <c r="L809" s="2" t="s">
        <v>182</v>
      </c>
      <c r="M809" s="2" t="s">
        <v>430</v>
      </c>
      <c r="N809" s="2" t="s">
        <v>2826</v>
      </c>
      <c r="O809" s="2"/>
      <c r="P809" s="7">
        <v>16786.7365503609</v>
      </c>
      <c r="Q809" s="8">
        <v>22683.884416685902</v>
      </c>
      <c r="R809" s="9">
        <v>1091943756</v>
      </c>
      <c r="S809" s="2" t="s">
        <v>2827</v>
      </c>
      <c r="T809" s="9">
        <v>944560913</v>
      </c>
      <c r="U809" s="9">
        <v>1020931317</v>
      </c>
      <c r="V809" s="9">
        <v>1019449652</v>
      </c>
      <c r="W809" s="9">
        <v>1665030843</v>
      </c>
      <c r="X809" s="9">
        <v>1664895363</v>
      </c>
      <c r="Y809" s="9">
        <v>1453482820</v>
      </c>
      <c r="Z809" s="9">
        <v>1305687284</v>
      </c>
      <c r="AA809" s="9">
        <v>833414127</v>
      </c>
      <c r="AB809" s="9">
        <v>1062581405</v>
      </c>
      <c r="AC809" s="9">
        <v>1016599344</v>
      </c>
      <c r="AD809" s="9">
        <v>1225437894</v>
      </c>
      <c r="AE809" s="7">
        <v>0.95081274901725199</v>
      </c>
      <c r="AF809" s="7">
        <v>0.82247877116915602</v>
      </c>
      <c r="AG809" s="7">
        <v>0.88897849075060398</v>
      </c>
      <c r="AH809" s="7">
        <v>0.88768832691620903</v>
      </c>
      <c r="AI809" s="7">
        <v>1.44982975922089</v>
      </c>
      <c r="AJ809" s="7">
        <v>1.4497117902204999</v>
      </c>
      <c r="AK809" s="7">
        <v>1.2656237905871299</v>
      </c>
      <c r="AL809" s="7">
        <v>1.1369304592431</v>
      </c>
      <c r="AM809" s="7">
        <v>0.72569742953005101</v>
      </c>
      <c r="AN809" s="7">
        <v>0.92524540889844598</v>
      </c>
      <c r="AO809" s="7">
        <v>0.88520641473279904</v>
      </c>
      <c r="AP809" s="7">
        <v>1.0670531023202301</v>
      </c>
      <c r="AQ809" s="9">
        <v>1416541834</v>
      </c>
    </row>
    <row r="810" spans="1:43" ht="15">
      <c r="A810" s="2" t="s">
        <v>2828</v>
      </c>
      <c r="B810" s="5">
        <v>4916948</v>
      </c>
      <c r="C810" s="2" t="s">
        <v>46</v>
      </c>
      <c r="D810" s="2" t="s">
        <v>2829</v>
      </c>
      <c r="E810" s="2" t="s">
        <v>2830</v>
      </c>
      <c r="F810" s="2" t="s">
        <v>49</v>
      </c>
      <c r="G810" s="2" t="s">
        <v>49</v>
      </c>
      <c r="H810" s="2" t="s">
        <v>50</v>
      </c>
      <c r="I810" s="2" t="s">
        <v>40</v>
      </c>
      <c r="J810" s="6"/>
      <c r="K810" s="2" t="s">
        <v>211</v>
      </c>
      <c r="L810" s="2" t="s">
        <v>30</v>
      </c>
      <c r="M810" s="2" t="s">
        <v>189</v>
      </c>
      <c r="N810" s="2" t="s">
        <v>211</v>
      </c>
      <c r="O810" s="2"/>
      <c r="P810" s="7">
        <v>1382.9083076681</v>
      </c>
      <c r="Q810" s="8">
        <v>1863.82753062348</v>
      </c>
      <c r="R810" s="9">
        <v>589</v>
      </c>
      <c r="S810" s="2" t="s">
        <v>2831</v>
      </c>
      <c r="T810" s="9">
        <v>988</v>
      </c>
      <c r="U810" s="9">
        <v>4100</v>
      </c>
      <c r="V810" s="9">
        <v>2159</v>
      </c>
      <c r="W810" s="9">
        <v>1069</v>
      </c>
      <c r="X810" s="9">
        <v>1065</v>
      </c>
      <c r="Y810" s="9">
        <v>802</v>
      </c>
      <c r="Z810" s="9">
        <v>684</v>
      </c>
      <c r="AA810" s="9">
        <v>1269</v>
      </c>
      <c r="AB810" s="9">
        <v>4640</v>
      </c>
      <c r="AC810" s="9">
        <v>2248</v>
      </c>
      <c r="AD810" s="9">
        <v>1685</v>
      </c>
      <c r="AE810" s="7">
        <v>0.0076553158305172897</v>
      </c>
      <c r="AF810" s="7">
        <v>0.012834676371198299</v>
      </c>
      <c r="AG810" s="7">
        <v>0.053286651936574003</v>
      </c>
      <c r="AH810" s="7">
        <v>0.028057374252664399</v>
      </c>
      <c r="AI810" s="7">
        <v>0.0139001548173458</v>
      </c>
      <c r="AJ810" s="7">
        <v>0.013844554198076399</v>
      </c>
      <c r="AK810" s="7">
        <v>0.0104283169927065</v>
      </c>
      <c r="AL810" s="7">
        <v>0.0088895243046529793</v>
      </c>
      <c r="AM810" s="7">
        <v>0.0164894474014439</v>
      </c>
      <c r="AN810" s="7">
        <v>0.060302400138636199</v>
      </c>
      <c r="AO810" s="7">
        <v>0.029221407355955499</v>
      </c>
      <c r="AP810" s="7">
        <v>0.021900077144318599</v>
      </c>
      <c r="AQ810" s="9">
        <v>559</v>
      </c>
    </row>
    <row r="811" spans="1:43" ht="15">
      <c r="A811" s="2" t="s">
        <v>2832</v>
      </c>
      <c r="B811" s="5">
        <v>106163476</v>
      </c>
      <c r="C811" s="2" t="s">
        <v>23</v>
      </c>
      <c r="D811" s="2" t="s">
        <v>2833</v>
      </c>
      <c r="E811" s="2" t="s">
        <v>2834</v>
      </c>
      <c r="F811" s="2" t="s">
        <v>26</v>
      </c>
      <c r="G811" s="2" t="s">
        <v>26</v>
      </c>
      <c r="H811" s="2" t="s">
        <v>27</v>
      </c>
      <c r="I811" s="2" t="s">
        <v>28</v>
      </c>
      <c r="J811" s="6"/>
      <c r="K811" s="2" t="s">
        <v>55</v>
      </c>
      <c r="L811" s="2" t="s">
        <v>56</v>
      </c>
      <c r="M811" s="2" t="s">
        <v>55</v>
      </c>
      <c r="N811" s="2"/>
      <c r="O811" s="2"/>
      <c r="P811" s="6" t="s">
        <v>57</v>
      </c>
      <c r="Q811" s="6" t="s">
        <v>57</v>
      </c>
      <c r="R811" s="9">
        <v>0</v>
      </c>
      <c r="S811" s="2"/>
      <c r="T811" s="9">
        <v>0</v>
      </c>
      <c r="U811" s="9">
        <v>0</v>
      </c>
      <c r="V811" s="9">
        <v>0</v>
      </c>
      <c r="W811" s="9">
        <v>0</v>
      </c>
      <c r="X811" s="9">
        <v>0</v>
      </c>
      <c r="Y811" s="9">
        <v>5</v>
      </c>
      <c r="Z811" s="9">
        <v>7</v>
      </c>
      <c r="AA811" s="9">
        <v>7</v>
      </c>
      <c r="AB811" s="9">
        <v>0</v>
      </c>
      <c r="AC811" s="9">
        <v>0</v>
      </c>
      <c r="AD811" s="9">
        <v>0</v>
      </c>
      <c r="AE811" s="6" t="s">
        <v>57</v>
      </c>
      <c r="AF811" s="6" t="s">
        <v>57</v>
      </c>
      <c r="AG811" s="6" t="s">
        <v>57</v>
      </c>
      <c r="AH811" s="6" t="s">
        <v>57</v>
      </c>
      <c r="AI811" s="6" t="s">
        <v>57</v>
      </c>
      <c r="AJ811" s="6" t="s">
        <v>57</v>
      </c>
      <c r="AK811" s="6" t="s">
        <v>57</v>
      </c>
      <c r="AL811" s="6" t="s">
        <v>57</v>
      </c>
      <c r="AM811" s="6" t="s">
        <v>57</v>
      </c>
      <c r="AN811" s="6" t="s">
        <v>57</v>
      </c>
      <c r="AO811" s="6" t="s">
        <v>57</v>
      </c>
      <c r="AP811" s="6" t="s">
        <v>57</v>
      </c>
      <c r="AQ811" s="9">
        <v>0</v>
      </c>
    </row>
    <row r="812" spans="1:43" ht="15">
      <c r="A812" s="2" t="s">
        <v>2835</v>
      </c>
      <c r="B812" s="5">
        <v>106461003</v>
      </c>
      <c r="C812" s="2" t="s">
        <v>23</v>
      </c>
      <c r="D812" s="2" t="s">
        <v>2836</v>
      </c>
      <c r="E812" s="2" t="s">
        <v>2837</v>
      </c>
      <c r="F812" s="2" t="s">
        <v>26</v>
      </c>
      <c r="G812" s="2"/>
      <c r="H812" s="2"/>
      <c r="I812" s="2" t="s">
        <v>28</v>
      </c>
      <c r="J812" s="6"/>
      <c r="K812" s="2" t="s">
        <v>55</v>
      </c>
      <c r="L812" s="2" t="s">
        <v>56</v>
      </c>
      <c r="M812" s="2" t="s">
        <v>55</v>
      </c>
      <c r="N812" s="2"/>
      <c r="O812" s="2"/>
      <c r="P812" s="6" t="s">
        <v>57</v>
      </c>
      <c r="Q812" s="6" t="s">
        <v>57</v>
      </c>
      <c r="R812" s="9">
        <v>0</v>
      </c>
      <c r="S812" s="2"/>
      <c r="T812" s="9">
        <v>0</v>
      </c>
      <c r="U812" s="9">
        <v>0</v>
      </c>
      <c r="V812" s="9">
        <v>0</v>
      </c>
      <c r="W812" s="9">
        <v>0</v>
      </c>
      <c r="X812" s="9">
        <v>0</v>
      </c>
      <c r="Y812" s="9">
        <v>0</v>
      </c>
      <c r="Z812" s="9">
        <v>10</v>
      </c>
      <c r="AA812" s="9">
        <v>19</v>
      </c>
      <c r="AB812" s="9">
        <v>0</v>
      </c>
      <c r="AC812" s="9">
        <v>0</v>
      </c>
      <c r="AD812" s="9">
        <v>0</v>
      </c>
      <c r="AE812" s="6" t="s">
        <v>57</v>
      </c>
      <c r="AF812" s="6" t="s">
        <v>57</v>
      </c>
      <c r="AG812" s="6" t="s">
        <v>57</v>
      </c>
      <c r="AH812" s="6" t="s">
        <v>57</v>
      </c>
      <c r="AI812" s="6" t="s">
        <v>57</v>
      </c>
      <c r="AJ812" s="6" t="s">
        <v>57</v>
      </c>
      <c r="AK812" s="6" t="s">
        <v>57</v>
      </c>
      <c r="AL812" s="6" t="s">
        <v>57</v>
      </c>
      <c r="AM812" s="6" t="s">
        <v>57</v>
      </c>
      <c r="AN812" s="6" t="s">
        <v>57</v>
      </c>
      <c r="AO812" s="6" t="s">
        <v>57</v>
      </c>
      <c r="AP812" s="6" t="s">
        <v>57</v>
      </c>
      <c r="AQ812" s="9">
        <v>0</v>
      </c>
    </row>
    <row r="813" spans="1:43" ht="15">
      <c r="A813" s="2" t="s">
        <v>2838</v>
      </c>
      <c r="B813" s="5">
        <v>114984277</v>
      </c>
      <c r="C813" s="2" t="s">
        <v>23</v>
      </c>
      <c r="D813" s="2" t="s">
        <v>2839</v>
      </c>
      <c r="E813" s="2" t="s">
        <v>2840</v>
      </c>
      <c r="F813" s="2" t="s">
        <v>26</v>
      </c>
      <c r="G813" s="2" t="s">
        <v>26</v>
      </c>
      <c r="H813" s="2" t="s">
        <v>27</v>
      </c>
      <c r="I813" s="2" t="s">
        <v>28</v>
      </c>
      <c r="J813" s="6"/>
      <c r="K813" s="2" t="s">
        <v>55</v>
      </c>
      <c r="L813" s="2" t="s">
        <v>56</v>
      </c>
      <c r="M813" s="2" t="s">
        <v>55</v>
      </c>
      <c r="N813" s="2"/>
      <c r="O813" s="2"/>
      <c r="P813" s="6" t="s">
        <v>57</v>
      </c>
      <c r="Q813" s="6" t="s">
        <v>57</v>
      </c>
      <c r="R813" s="6" t="s">
        <v>57</v>
      </c>
      <c r="S813" s="2"/>
      <c r="T813" s="6" t="s">
        <v>57</v>
      </c>
      <c r="U813" s="6" t="s">
        <v>57</v>
      </c>
      <c r="V813" s="6" t="s">
        <v>57</v>
      </c>
      <c r="W813" s="6" t="s">
        <v>57</v>
      </c>
      <c r="X813" s="6" t="s">
        <v>57</v>
      </c>
      <c r="Y813" s="6" t="s">
        <v>57</v>
      </c>
      <c r="Z813" s="6" t="s">
        <v>57</v>
      </c>
      <c r="AA813" s="6" t="s">
        <v>57</v>
      </c>
      <c r="AB813" s="6" t="s">
        <v>57</v>
      </c>
      <c r="AC813" s="6" t="s">
        <v>57</v>
      </c>
      <c r="AD813" s="6" t="s">
        <v>57</v>
      </c>
      <c r="AE813" s="6" t="s">
        <v>57</v>
      </c>
      <c r="AF813" s="6" t="s">
        <v>57</v>
      </c>
      <c r="AG813" s="6" t="s">
        <v>57</v>
      </c>
      <c r="AH813" s="6" t="s">
        <v>57</v>
      </c>
      <c r="AI813" s="6" t="s">
        <v>57</v>
      </c>
      <c r="AJ813" s="6" t="s">
        <v>57</v>
      </c>
      <c r="AK813" s="6" t="s">
        <v>57</v>
      </c>
      <c r="AL813" s="6" t="s">
        <v>57</v>
      </c>
      <c r="AM813" s="6" t="s">
        <v>57</v>
      </c>
      <c r="AN813" s="6" t="s">
        <v>57</v>
      </c>
      <c r="AO813" s="6" t="s">
        <v>57</v>
      </c>
      <c r="AP813" s="6" t="s">
        <v>57</v>
      </c>
      <c r="AQ813" s="6" t="s">
        <v>57</v>
      </c>
    </row>
    <row r="814" spans="1:43" ht="15">
      <c r="A814" s="2" t="s">
        <v>2841</v>
      </c>
      <c r="B814" s="5">
        <v>138392490</v>
      </c>
      <c r="C814" s="2" t="s">
        <v>23</v>
      </c>
      <c r="D814" s="2" t="s">
        <v>2842</v>
      </c>
      <c r="E814" s="2" t="s">
        <v>2843</v>
      </c>
      <c r="F814" s="2" t="s">
        <v>26</v>
      </c>
      <c r="G814" s="2" t="s">
        <v>26</v>
      </c>
      <c r="H814" s="2" t="s">
        <v>27</v>
      </c>
      <c r="I814" s="2" t="s">
        <v>28</v>
      </c>
      <c r="J814" s="6"/>
      <c r="K814" s="2" t="s">
        <v>55</v>
      </c>
      <c r="L814" s="2" t="s">
        <v>56</v>
      </c>
      <c r="M814" s="2" t="s">
        <v>55</v>
      </c>
      <c r="N814" s="2"/>
      <c r="O814" s="2"/>
      <c r="P814" s="6" t="s">
        <v>57</v>
      </c>
      <c r="Q814" s="6" t="s">
        <v>57</v>
      </c>
      <c r="R814" s="6" t="s">
        <v>57</v>
      </c>
      <c r="S814" s="2"/>
      <c r="T814" s="6" t="s">
        <v>57</v>
      </c>
      <c r="U814" s="6" t="s">
        <v>57</v>
      </c>
      <c r="V814" s="6" t="s">
        <v>57</v>
      </c>
      <c r="W814" s="6" t="s">
        <v>57</v>
      </c>
      <c r="X814" s="6" t="s">
        <v>57</v>
      </c>
      <c r="Y814" s="6" t="s">
        <v>57</v>
      </c>
      <c r="Z814" s="6" t="s">
        <v>57</v>
      </c>
      <c r="AA814" s="6" t="s">
        <v>57</v>
      </c>
      <c r="AB814" s="6" t="s">
        <v>57</v>
      </c>
      <c r="AC814" s="6" t="s">
        <v>57</v>
      </c>
      <c r="AD814" s="6" t="s">
        <v>57</v>
      </c>
      <c r="AE814" s="6" t="s">
        <v>57</v>
      </c>
      <c r="AF814" s="6" t="s">
        <v>57</v>
      </c>
      <c r="AG814" s="6" t="s">
        <v>57</v>
      </c>
      <c r="AH814" s="6" t="s">
        <v>57</v>
      </c>
      <c r="AI814" s="6" t="s">
        <v>57</v>
      </c>
      <c r="AJ814" s="6" t="s">
        <v>57</v>
      </c>
      <c r="AK814" s="6" t="s">
        <v>57</v>
      </c>
      <c r="AL814" s="6" t="s">
        <v>57</v>
      </c>
      <c r="AM814" s="6" t="s">
        <v>57</v>
      </c>
      <c r="AN814" s="6" t="s">
        <v>57</v>
      </c>
      <c r="AO814" s="6" t="s">
        <v>57</v>
      </c>
      <c r="AP814" s="6" t="s">
        <v>57</v>
      </c>
      <c r="AQ814" s="6" t="s">
        <v>57</v>
      </c>
    </row>
    <row r="815" spans="1:43" ht="15">
      <c r="A815" s="2" t="s">
        <v>2844</v>
      </c>
      <c r="B815" s="5">
        <v>118264434</v>
      </c>
      <c r="C815" s="2" t="s">
        <v>23</v>
      </c>
      <c r="D815" s="2" t="s">
        <v>2845</v>
      </c>
      <c r="E815" s="2" t="s">
        <v>2846</v>
      </c>
      <c r="F815" s="2" t="s">
        <v>26</v>
      </c>
      <c r="G815" s="2" t="s">
        <v>26</v>
      </c>
      <c r="H815" s="2" t="s">
        <v>27</v>
      </c>
      <c r="I815" s="2" t="s">
        <v>28</v>
      </c>
      <c r="J815" s="6"/>
      <c r="K815" s="2" t="s">
        <v>55</v>
      </c>
      <c r="L815" s="2" t="s">
        <v>56</v>
      </c>
      <c r="M815" s="2" t="s">
        <v>55</v>
      </c>
      <c r="N815" s="2"/>
      <c r="O815" s="2"/>
      <c r="P815" s="6" t="s">
        <v>57</v>
      </c>
      <c r="Q815" s="6" t="s">
        <v>57</v>
      </c>
      <c r="R815" s="9">
        <v>0</v>
      </c>
      <c r="S815" s="2"/>
      <c r="T815" s="9">
        <v>0</v>
      </c>
      <c r="U815" s="9">
        <v>0</v>
      </c>
      <c r="V815" s="9">
        <v>0</v>
      </c>
      <c r="W815" s="9">
        <v>0</v>
      </c>
      <c r="X815" s="9">
        <v>0</v>
      </c>
      <c r="Y815" s="9">
        <v>29219</v>
      </c>
      <c r="Z815" s="9">
        <v>29219</v>
      </c>
      <c r="AA815" s="9">
        <v>29219</v>
      </c>
      <c r="AB815" s="9">
        <v>0</v>
      </c>
      <c r="AC815" s="9">
        <v>0</v>
      </c>
      <c r="AD815" s="9">
        <v>0</v>
      </c>
      <c r="AE815" s="6" t="s">
        <v>57</v>
      </c>
      <c r="AF815" s="6" t="s">
        <v>57</v>
      </c>
      <c r="AG815" s="6" t="s">
        <v>57</v>
      </c>
      <c r="AH815" s="6" t="s">
        <v>57</v>
      </c>
      <c r="AI815" s="6" t="s">
        <v>57</v>
      </c>
      <c r="AJ815" s="6" t="s">
        <v>57</v>
      </c>
      <c r="AK815" s="6" t="s">
        <v>57</v>
      </c>
      <c r="AL815" s="6" t="s">
        <v>57</v>
      </c>
      <c r="AM815" s="6" t="s">
        <v>57</v>
      </c>
      <c r="AN815" s="6" t="s">
        <v>57</v>
      </c>
      <c r="AO815" s="6" t="s">
        <v>57</v>
      </c>
      <c r="AP815" s="6" t="s">
        <v>57</v>
      </c>
      <c r="AQ815" s="9">
        <v>0</v>
      </c>
    </row>
    <row r="816" spans="1:43" ht="15">
      <c r="A816" s="2" t="s">
        <v>2847</v>
      </c>
      <c r="B816" s="5">
        <v>135391685</v>
      </c>
      <c r="C816" s="2" t="s">
        <v>23</v>
      </c>
      <c r="D816" s="2" t="s">
        <v>2848</v>
      </c>
      <c r="E816" s="2" t="s">
        <v>2849</v>
      </c>
      <c r="F816" s="2" t="s">
        <v>26</v>
      </c>
      <c r="G816" s="2"/>
      <c r="H816" s="2"/>
      <c r="I816" s="2" t="s">
        <v>28</v>
      </c>
      <c r="J816" s="6"/>
      <c r="K816" s="2" t="s">
        <v>55</v>
      </c>
      <c r="L816" s="2" t="s">
        <v>56</v>
      </c>
      <c r="M816" s="2" t="s">
        <v>55</v>
      </c>
      <c r="N816" s="2"/>
      <c r="O816" s="2"/>
      <c r="P816" s="6" t="s">
        <v>57</v>
      </c>
      <c r="Q816" s="6" t="s">
        <v>57</v>
      </c>
      <c r="R816" s="6" t="s">
        <v>57</v>
      </c>
      <c r="S816" s="2"/>
      <c r="T816" s="6" t="s">
        <v>57</v>
      </c>
      <c r="U816" s="6" t="s">
        <v>57</v>
      </c>
      <c r="V816" s="6" t="s">
        <v>57</v>
      </c>
      <c r="W816" s="6" t="s">
        <v>57</v>
      </c>
      <c r="X816" s="6" t="s">
        <v>57</v>
      </c>
      <c r="Y816" s="6" t="s">
        <v>57</v>
      </c>
      <c r="Z816" s="6" t="s">
        <v>57</v>
      </c>
      <c r="AA816" s="6" t="s">
        <v>57</v>
      </c>
      <c r="AB816" s="6" t="s">
        <v>57</v>
      </c>
      <c r="AC816" s="6" t="s">
        <v>57</v>
      </c>
      <c r="AD816" s="6" t="s">
        <v>57</v>
      </c>
      <c r="AE816" s="6" t="s">
        <v>57</v>
      </c>
      <c r="AF816" s="6" t="s">
        <v>57</v>
      </c>
      <c r="AG816" s="6" t="s">
        <v>57</v>
      </c>
      <c r="AH816" s="6" t="s">
        <v>57</v>
      </c>
      <c r="AI816" s="6" t="s">
        <v>57</v>
      </c>
      <c r="AJ816" s="6" t="s">
        <v>57</v>
      </c>
      <c r="AK816" s="6" t="s">
        <v>57</v>
      </c>
      <c r="AL816" s="6" t="s">
        <v>57</v>
      </c>
      <c r="AM816" s="6" t="s">
        <v>57</v>
      </c>
      <c r="AN816" s="6" t="s">
        <v>57</v>
      </c>
      <c r="AO816" s="6" t="s">
        <v>57</v>
      </c>
      <c r="AP816" s="6" t="s">
        <v>57</v>
      </c>
      <c r="AQ816" s="6" t="s">
        <v>57</v>
      </c>
    </row>
    <row r="817" spans="1:43" ht="15">
      <c r="A817" s="2" t="s">
        <v>2850</v>
      </c>
      <c r="B817" s="5">
        <v>140733621</v>
      </c>
      <c r="C817" s="2" t="s">
        <v>23</v>
      </c>
      <c r="D817" s="2" t="s">
        <v>2851</v>
      </c>
      <c r="E817" s="2" t="s">
        <v>2852</v>
      </c>
      <c r="F817" s="2" t="s">
        <v>26</v>
      </c>
      <c r="G817" s="2"/>
      <c r="H817" s="2"/>
      <c r="I817" s="2" t="s">
        <v>28</v>
      </c>
      <c r="J817" s="6"/>
      <c r="K817" s="2" t="s">
        <v>55</v>
      </c>
      <c r="L817" s="2" t="s">
        <v>56</v>
      </c>
      <c r="M817" s="2" t="s">
        <v>55</v>
      </c>
      <c r="N817" s="2"/>
      <c r="O817" s="2"/>
      <c r="P817" s="6" t="s">
        <v>57</v>
      </c>
      <c r="Q817" s="6" t="s">
        <v>57</v>
      </c>
      <c r="R817" s="6" t="s">
        <v>57</v>
      </c>
      <c r="S817" s="2"/>
      <c r="T817" s="6" t="s">
        <v>57</v>
      </c>
      <c r="U817" s="6" t="s">
        <v>57</v>
      </c>
      <c r="V817" s="6" t="s">
        <v>57</v>
      </c>
      <c r="W817" s="6" t="s">
        <v>57</v>
      </c>
      <c r="X817" s="6" t="s">
        <v>57</v>
      </c>
      <c r="Y817" s="6" t="s">
        <v>57</v>
      </c>
      <c r="Z817" s="6" t="s">
        <v>57</v>
      </c>
      <c r="AA817" s="6" t="s">
        <v>57</v>
      </c>
      <c r="AB817" s="6" t="s">
        <v>57</v>
      </c>
      <c r="AC817" s="6" t="s">
        <v>57</v>
      </c>
      <c r="AD817" s="6" t="s">
        <v>57</v>
      </c>
      <c r="AE817" s="6" t="s">
        <v>57</v>
      </c>
      <c r="AF817" s="6" t="s">
        <v>57</v>
      </c>
      <c r="AG817" s="6" t="s">
        <v>57</v>
      </c>
      <c r="AH817" s="6" t="s">
        <v>57</v>
      </c>
      <c r="AI817" s="6" t="s">
        <v>57</v>
      </c>
      <c r="AJ817" s="6" t="s">
        <v>57</v>
      </c>
      <c r="AK817" s="6" t="s">
        <v>57</v>
      </c>
      <c r="AL817" s="6" t="s">
        <v>57</v>
      </c>
      <c r="AM817" s="6" t="s">
        <v>57</v>
      </c>
      <c r="AN817" s="6" t="s">
        <v>57</v>
      </c>
      <c r="AO817" s="6" t="s">
        <v>57</v>
      </c>
      <c r="AP817" s="6" t="s">
        <v>57</v>
      </c>
      <c r="AQ817" s="6" t="s">
        <v>57</v>
      </c>
    </row>
    <row r="818" spans="1:43" ht="15">
      <c r="A818" s="2" t="s">
        <v>2853</v>
      </c>
      <c r="B818" s="5">
        <v>20316270</v>
      </c>
      <c r="C818" s="2" t="s">
        <v>23</v>
      </c>
      <c r="D818" s="2" t="s">
        <v>2854</v>
      </c>
      <c r="E818" s="2" t="s">
        <v>2855</v>
      </c>
      <c r="F818" s="2" t="s">
        <v>26</v>
      </c>
      <c r="G818" s="2"/>
      <c r="H818" s="2"/>
      <c r="I818" s="2" t="s">
        <v>28</v>
      </c>
      <c r="J818" s="6"/>
      <c r="K818" s="2" t="s">
        <v>55</v>
      </c>
      <c r="L818" s="2" t="s">
        <v>56</v>
      </c>
      <c r="M818" s="2" t="s">
        <v>55</v>
      </c>
      <c r="N818" s="2"/>
      <c r="O818" s="2"/>
      <c r="P818" s="6" t="s">
        <v>57</v>
      </c>
      <c r="Q818" s="6" t="s">
        <v>57</v>
      </c>
      <c r="R818" s="9">
        <v>0</v>
      </c>
      <c r="S818" s="2"/>
      <c r="T818" s="9">
        <v>0</v>
      </c>
      <c r="U818" s="9">
        <v>0</v>
      </c>
      <c r="V818" s="9">
        <v>0</v>
      </c>
      <c r="W818" s="9">
        <v>0</v>
      </c>
      <c r="X818" s="9">
        <v>0</v>
      </c>
      <c r="Y818" s="9">
        <v>0</v>
      </c>
      <c r="Z818" s="9">
        <v>0</v>
      </c>
      <c r="AA818" s="9">
        <v>0</v>
      </c>
      <c r="AB818" s="9">
        <v>0</v>
      </c>
      <c r="AC818" s="9">
        <v>0</v>
      </c>
      <c r="AD818" s="9">
        <v>0</v>
      </c>
      <c r="AE818" s="6" t="s">
        <v>57</v>
      </c>
      <c r="AF818" s="6" t="s">
        <v>57</v>
      </c>
      <c r="AG818" s="6" t="s">
        <v>57</v>
      </c>
      <c r="AH818" s="6" t="s">
        <v>57</v>
      </c>
      <c r="AI818" s="6" t="s">
        <v>57</v>
      </c>
      <c r="AJ818" s="6" t="s">
        <v>57</v>
      </c>
      <c r="AK818" s="6" t="s">
        <v>57</v>
      </c>
      <c r="AL818" s="6" t="s">
        <v>57</v>
      </c>
      <c r="AM818" s="6" t="s">
        <v>57</v>
      </c>
      <c r="AN818" s="6" t="s">
        <v>57</v>
      </c>
      <c r="AO818" s="6" t="s">
        <v>57</v>
      </c>
      <c r="AP818" s="6" t="s">
        <v>57</v>
      </c>
      <c r="AQ818" s="9">
        <v>0</v>
      </c>
    </row>
    <row r="819" spans="1:43" ht="15">
      <c r="A819" s="2" t="s">
        <v>2856</v>
      </c>
      <c r="B819" s="5">
        <v>118180257</v>
      </c>
      <c r="C819" s="2" t="s">
        <v>23</v>
      </c>
      <c r="D819" s="2" t="s">
        <v>2857</v>
      </c>
      <c r="E819" s="2" t="s">
        <v>2858</v>
      </c>
      <c r="F819" s="2" t="s">
        <v>26</v>
      </c>
      <c r="G819" s="2" t="s">
        <v>26</v>
      </c>
      <c r="H819" s="2" t="s">
        <v>27</v>
      </c>
      <c r="I819" s="2" t="s">
        <v>28</v>
      </c>
      <c r="J819" s="6"/>
      <c r="K819" s="2" t="s">
        <v>55</v>
      </c>
      <c r="L819" s="2" t="s">
        <v>56</v>
      </c>
      <c r="M819" s="2" t="s">
        <v>55</v>
      </c>
      <c r="N819" s="2"/>
      <c r="O819" s="2"/>
      <c r="P819" s="6" t="s">
        <v>57</v>
      </c>
      <c r="Q819" s="6" t="s">
        <v>57</v>
      </c>
      <c r="R819" s="6" t="s">
        <v>57</v>
      </c>
      <c r="S819" s="2"/>
      <c r="T819" s="6" t="s">
        <v>57</v>
      </c>
      <c r="U819" s="6" t="s">
        <v>57</v>
      </c>
      <c r="V819" s="6" t="s">
        <v>57</v>
      </c>
      <c r="W819" s="6" t="s">
        <v>57</v>
      </c>
      <c r="X819" s="6" t="s">
        <v>57</v>
      </c>
      <c r="Y819" s="6" t="s">
        <v>57</v>
      </c>
      <c r="Z819" s="6" t="s">
        <v>57</v>
      </c>
      <c r="AA819" s="6" t="s">
        <v>57</v>
      </c>
      <c r="AB819" s="6" t="s">
        <v>57</v>
      </c>
      <c r="AC819" s="6" t="s">
        <v>57</v>
      </c>
      <c r="AD819" s="6" t="s">
        <v>57</v>
      </c>
      <c r="AE819" s="6" t="s">
        <v>57</v>
      </c>
      <c r="AF819" s="6" t="s">
        <v>57</v>
      </c>
      <c r="AG819" s="6" t="s">
        <v>57</v>
      </c>
      <c r="AH819" s="6" t="s">
        <v>57</v>
      </c>
      <c r="AI819" s="6" t="s">
        <v>57</v>
      </c>
      <c r="AJ819" s="6" t="s">
        <v>57</v>
      </c>
      <c r="AK819" s="6" t="s">
        <v>57</v>
      </c>
      <c r="AL819" s="6" t="s">
        <v>57</v>
      </c>
      <c r="AM819" s="6" t="s">
        <v>57</v>
      </c>
      <c r="AN819" s="6" t="s">
        <v>57</v>
      </c>
      <c r="AO819" s="6" t="s">
        <v>57</v>
      </c>
      <c r="AP819" s="6" t="s">
        <v>57</v>
      </c>
      <c r="AQ819" s="6" t="s">
        <v>57</v>
      </c>
    </row>
    <row r="820" spans="1:43" ht="15">
      <c r="A820" s="2" t="s">
        <v>2859</v>
      </c>
      <c r="B820" s="5">
        <v>19441922</v>
      </c>
      <c r="C820" s="2" t="s">
        <v>23</v>
      </c>
      <c r="D820" s="2" t="s">
        <v>2860</v>
      </c>
      <c r="E820" s="2" t="s">
        <v>2861</v>
      </c>
      <c r="F820" s="2" t="s">
        <v>26</v>
      </c>
      <c r="G820" s="2" t="s">
        <v>26</v>
      </c>
      <c r="H820" s="2" t="s">
        <v>27</v>
      </c>
      <c r="I820" s="2" t="s">
        <v>28</v>
      </c>
      <c r="J820" s="6"/>
      <c r="K820" s="2" t="s">
        <v>55</v>
      </c>
      <c r="L820" s="2" t="s">
        <v>56</v>
      </c>
      <c r="M820" s="2" t="s">
        <v>55</v>
      </c>
      <c r="N820" s="2"/>
      <c r="O820" s="2"/>
      <c r="P820" s="6" t="s">
        <v>57</v>
      </c>
      <c r="Q820" s="6" t="s">
        <v>57</v>
      </c>
      <c r="R820" s="9">
        <v>0</v>
      </c>
      <c r="S820" s="2"/>
      <c r="T820" s="9">
        <v>0</v>
      </c>
      <c r="U820" s="9">
        <v>0</v>
      </c>
      <c r="V820" s="9">
        <v>0</v>
      </c>
      <c r="W820" s="9">
        <v>0</v>
      </c>
      <c r="X820" s="9">
        <v>0</v>
      </c>
      <c r="Y820" s="9">
        <v>0</v>
      </c>
      <c r="Z820" s="9">
        <v>0</v>
      </c>
      <c r="AA820" s="9">
        <v>0</v>
      </c>
      <c r="AB820" s="9">
        <v>0</v>
      </c>
      <c r="AC820" s="9">
        <v>0</v>
      </c>
      <c r="AD820" s="9">
        <v>0</v>
      </c>
      <c r="AE820" s="6" t="s">
        <v>57</v>
      </c>
      <c r="AF820" s="6" t="s">
        <v>57</v>
      </c>
      <c r="AG820" s="6" t="s">
        <v>57</v>
      </c>
      <c r="AH820" s="6" t="s">
        <v>57</v>
      </c>
      <c r="AI820" s="6" t="s">
        <v>57</v>
      </c>
      <c r="AJ820" s="6" t="s">
        <v>57</v>
      </c>
      <c r="AK820" s="6" t="s">
        <v>57</v>
      </c>
      <c r="AL820" s="6" t="s">
        <v>57</v>
      </c>
      <c r="AM820" s="6" t="s">
        <v>57</v>
      </c>
      <c r="AN820" s="6" t="s">
        <v>57</v>
      </c>
      <c r="AO820" s="6" t="s">
        <v>57</v>
      </c>
      <c r="AP820" s="6" t="s">
        <v>57</v>
      </c>
      <c r="AQ820" s="9">
        <v>0</v>
      </c>
    </row>
    <row r="821" spans="1:43" ht="15">
      <c r="A821" s="2" t="s">
        <v>2862</v>
      </c>
      <c r="B821" s="5">
        <v>106408059</v>
      </c>
      <c r="C821" s="2" t="s">
        <v>23</v>
      </c>
      <c r="D821" s="2" t="s">
        <v>2863</v>
      </c>
      <c r="E821" s="2" t="s">
        <v>2864</v>
      </c>
      <c r="F821" s="2" t="s">
        <v>26</v>
      </c>
      <c r="G821" s="2" t="s">
        <v>26</v>
      </c>
      <c r="H821" s="2" t="s">
        <v>27</v>
      </c>
      <c r="I821" s="2" t="s">
        <v>28</v>
      </c>
      <c r="J821" s="6"/>
      <c r="K821" s="2" t="s">
        <v>982</v>
      </c>
      <c r="L821" s="2" t="s">
        <v>217</v>
      </c>
      <c r="M821" s="2" t="s">
        <v>218</v>
      </c>
      <c r="N821" s="2" t="s">
        <v>982</v>
      </c>
      <c r="O821" s="2"/>
      <c r="P821" s="7">
        <v>2.4659908000000001</v>
      </c>
      <c r="Q821" s="6" t="s">
        <v>57</v>
      </c>
      <c r="R821" s="9">
        <v>0</v>
      </c>
      <c r="S821" s="2" t="s">
        <v>2865</v>
      </c>
      <c r="T821" s="9">
        <v>0</v>
      </c>
      <c r="U821" s="9">
        <v>100</v>
      </c>
      <c r="V821" s="9">
        <v>568</v>
      </c>
      <c r="W821" s="9">
        <v>230</v>
      </c>
      <c r="X821" s="9">
        <v>229</v>
      </c>
      <c r="Y821" s="9">
        <v>115</v>
      </c>
      <c r="Z821" s="9">
        <v>77</v>
      </c>
      <c r="AA821" s="9">
        <v>63</v>
      </c>
      <c r="AB821" s="9">
        <v>114</v>
      </c>
      <c r="AC821" s="9">
        <v>596</v>
      </c>
      <c r="AD821" s="9">
        <v>461</v>
      </c>
      <c r="AE821" s="7">
        <v>0</v>
      </c>
      <c r="AF821" s="7">
        <v>0</v>
      </c>
      <c r="AG821" s="7">
        <v>0.019983333333333301</v>
      </c>
      <c r="AH821" s="7">
        <v>0.11366875</v>
      </c>
      <c r="AI821" s="7">
        <v>0.045936546184738997</v>
      </c>
      <c r="AJ821" s="7">
        <v>0.045752800000000003</v>
      </c>
      <c r="AK821" s="7">
        <v>0.023014486921529201</v>
      </c>
      <c r="AL821" s="7">
        <v>0.0153327077747989</v>
      </c>
      <c r="AM821" s="7">
        <v>0.012597136563876701</v>
      </c>
      <c r="AN821" s="7">
        <v>0.022838095238095199</v>
      </c>
      <c r="AO821" s="7">
        <v>0.119259016393443</v>
      </c>
      <c r="AP821" s="7">
        <v>0.092243548387096794</v>
      </c>
      <c r="AQ821" s="9">
        <v>0</v>
      </c>
    </row>
    <row r="822" spans="1:43" ht="15">
      <c r="A822" s="2" t="s">
        <v>2866</v>
      </c>
      <c r="B822" s="5">
        <v>4186673</v>
      </c>
      <c r="C822" s="2" t="s">
        <v>46</v>
      </c>
      <c r="D822" s="2" t="s">
        <v>2867</v>
      </c>
      <c r="E822" s="2" t="s">
        <v>2868</v>
      </c>
      <c r="F822" s="2" t="s">
        <v>49</v>
      </c>
      <c r="G822" s="2" t="s">
        <v>49</v>
      </c>
      <c r="H822" s="2" t="s">
        <v>50</v>
      </c>
      <c r="I822" s="2" t="s">
        <v>40</v>
      </c>
      <c r="J822" s="6"/>
      <c r="K822" s="2" t="s">
        <v>982</v>
      </c>
      <c r="L822" s="2" t="s">
        <v>217</v>
      </c>
      <c r="M822" s="2" t="s">
        <v>218</v>
      </c>
      <c r="N822" s="2" t="s">
        <v>982</v>
      </c>
      <c r="O822" s="2"/>
      <c r="P822" s="7">
        <v>1828.17432533172</v>
      </c>
      <c r="Q822" s="8">
        <v>3062.24483524267</v>
      </c>
      <c r="R822" s="9">
        <v>7019</v>
      </c>
      <c r="S822" s="2" t="s">
        <v>2869</v>
      </c>
      <c r="T822" s="9">
        <v>2409</v>
      </c>
      <c r="U822" s="9">
        <v>2554</v>
      </c>
      <c r="V822" s="9">
        <v>1587</v>
      </c>
      <c r="W822" s="9">
        <v>2473</v>
      </c>
      <c r="X822" s="9">
        <v>2503</v>
      </c>
      <c r="Y822" s="9">
        <v>1912</v>
      </c>
      <c r="Z822" s="9">
        <v>1913</v>
      </c>
      <c r="AA822" s="9">
        <v>2399</v>
      </c>
      <c r="AB822" s="9">
        <v>2727</v>
      </c>
      <c r="AC822" s="9">
        <v>1581</v>
      </c>
      <c r="AD822" s="9">
        <v>2015</v>
      </c>
      <c r="AE822" s="7">
        <v>0.0072065717625836596</v>
      </c>
      <c r="AF822" s="7">
        <v>0.00247355294949976</v>
      </c>
      <c r="AG822" s="7">
        <v>0.0026225668024662</v>
      </c>
      <c r="AH822" s="7">
        <v>0.0016294780336494801</v>
      </c>
      <c r="AI822" s="7">
        <v>0.0025388926753351399</v>
      </c>
      <c r="AJ822" s="7">
        <v>0.0025701416497295399</v>
      </c>
      <c r="AK822" s="7">
        <v>0.0019630539733038201</v>
      </c>
      <c r="AL822" s="7">
        <v>0.00196375529525582</v>
      </c>
      <c r="AM822" s="7">
        <v>0.0024637581959080302</v>
      </c>
      <c r="AN822" s="7">
        <v>0.00280017205054264</v>
      </c>
      <c r="AO822" s="7">
        <v>0.00162326438890369</v>
      </c>
      <c r="AP822" s="7">
        <v>0.0020687301191353201</v>
      </c>
      <c r="AQ822" s="9">
        <v>7419</v>
      </c>
    </row>
    <row r="823" spans="1:43" ht="15">
      <c r="A823" s="2" t="s">
        <v>2870</v>
      </c>
      <c r="B823" s="5">
        <v>6161630</v>
      </c>
      <c r="C823" s="2" t="s">
        <v>46</v>
      </c>
      <c r="D823" s="2" t="s">
        <v>2871</v>
      </c>
      <c r="E823" s="2" t="s">
        <v>2872</v>
      </c>
      <c r="F823" s="2" t="s">
        <v>49</v>
      </c>
      <c r="G823" s="2" t="s">
        <v>49</v>
      </c>
      <c r="H823" s="2" t="s">
        <v>50</v>
      </c>
      <c r="I823" s="2" t="s">
        <v>28</v>
      </c>
      <c r="J823" s="6"/>
      <c r="K823" s="2" t="s">
        <v>55</v>
      </c>
      <c r="L823" s="2" t="s">
        <v>56</v>
      </c>
      <c r="M823" s="2" t="s">
        <v>55</v>
      </c>
      <c r="N823" s="2"/>
      <c r="O823" s="2"/>
      <c r="P823" s="7">
        <v>7.4824463999999997</v>
      </c>
      <c r="Q823" s="6" t="s">
        <v>57</v>
      </c>
      <c r="R823" s="9">
        <v>0</v>
      </c>
      <c r="S823" s="2" t="s">
        <v>2873</v>
      </c>
      <c r="T823" s="9">
        <v>0</v>
      </c>
      <c r="U823" s="9">
        <v>0</v>
      </c>
      <c r="V823" s="9">
        <v>0</v>
      </c>
      <c r="W823" s="9">
        <v>0</v>
      </c>
      <c r="X823" s="9">
        <v>0</v>
      </c>
      <c r="Y823" s="9">
        <v>0</v>
      </c>
      <c r="Z823" s="9">
        <v>0</v>
      </c>
      <c r="AA823" s="9">
        <v>5</v>
      </c>
      <c r="AB823" s="9">
        <v>0</v>
      </c>
      <c r="AC823" s="9">
        <v>0</v>
      </c>
      <c r="AD823" s="9">
        <v>0</v>
      </c>
      <c r="AE823" s="6" t="s">
        <v>57</v>
      </c>
      <c r="AF823" s="6" t="s">
        <v>57</v>
      </c>
      <c r="AG823" s="6" t="s">
        <v>57</v>
      </c>
      <c r="AH823" s="6" t="s">
        <v>57</v>
      </c>
      <c r="AI823" s="6" t="s">
        <v>57</v>
      </c>
      <c r="AJ823" s="6" t="s">
        <v>57</v>
      </c>
      <c r="AK823" s="6" t="s">
        <v>57</v>
      </c>
      <c r="AL823" s="6" t="s">
        <v>57</v>
      </c>
      <c r="AM823" s="6" t="s">
        <v>57</v>
      </c>
      <c r="AN823" s="6" t="s">
        <v>57</v>
      </c>
      <c r="AO823" s="6" t="s">
        <v>57</v>
      </c>
      <c r="AP823" s="6" t="s">
        <v>57</v>
      </c>
      <c r="AQ823" s="9">
        <v>0</v>
      </c>
    </row>
    <row r="824" spans="1:43" ht="15">
      <c r="A824" s="2" t="s">
        <v>2874</v>
      </c>
      <c r="B824" s="5">
        <v>10746003</v>
      </c>
      <c r="C824" s="2" t="s">
        <v>46</v>
      </c>
      <c r="D824" s="2" t="s">
        <v>2875</v>
      </c>
      <c r="E824" s="2" t="s">
        <v>2876</v>
      </c>
      <c r="F824" s="2" t="s">
        <v>49</v>
      </c>
      <c r="G824" s="2" t="s">
        <v>49</v>
      </c>
      <c r="H824" s="2" t="s">
        <v>50</v>
      </c>
      <c r="I824" s="2" t="s">
        <v>28</v>
      </c>
      <c r="J824" s="6"/>
      <c r="K824" s="2" t="s">
        <v>55</v>
      </c>
      <c r="L824" s="2" t="s">
        <v>56</v>
      </c>
      <c r="M824" s="2" t="s">
        <v>55</v>
      </c>
      <c r="N824" s="2"/>
      <c r="O824" s="2"/>
      <c r="P824" s="7">
        <v>0.40355839999999998</v>
      </c>
      <c r="Q824" s="6" t="s">
        <v>57</v>
      </c>
      <c r="R824" s="9">
        <v>0</v>
      </c>
      <c r="S824" s="2"/>
      <c r="T824" s="9">
        <v>0</v>
      </c>
      <c r="U824" s="9">
        <v>0</v>
      </c>
      <c r="V824" s="9">
        <v>0</v>
      </c>
      <c r="W824" s="9">
        <v>0</v>
      </c>
      <c r="X824" s="9">
        <v>0</v>
      </c>
      <c r="Y824" s="9">
        <v>0</v>
      </c>
      <c r="Z824" s="9">
        <v>0</v>
      </c>
      <c r="AA824" s="9">
        <v>0</v>
      </c>
      <c r="AB824" s="9">
        <v>0</v>
      </c>
      <c r="AC824" s="9">
        <v>0</v>
      </c>
      <c r="AD824" s="9">
        <v>0</v>
      </c>
      <c r="AE824" s="6" t="s">
        <v>57</v>
      </c>
      <c r="AF824" s="6" t="s">
        <v>57</v>
      </c>
      <c r="AG824" s="6" t="s">
        <v>57</v>
      </c>
      <c r="AH824" s="6" t="s">
        <v>57</v>
      </c>
      <c r="AI824" s="6" t="s">
        <v>57</v>
      </c>
      <c r="AJ824" s="6" t="s">
        <v>57</v>
      </c>
      <c r="AK824" s="6" t="s">
        <v>57</v>
      </c>
      <c r="AL824" s="6" t="s">
        <v>57</v>
      </c>
      <c r="AM824" s="6" t="s">
        <v>57</v>
      </c>
      <c r="AN824" s="6" t="s">
        <v>57</v>
      </c>
      <c r="AO824" s="6" t="s">
        <v>57</v>
      </c>
      <c r="AP824" s="6" t="s">
        <v>57</v>
      </c>
      <c r="AQ824" s="9">
        <v>0</v>
      </c>
    </row>
    <row r="825" spans="1:43" ht="15">
      <c r="A825" s="2" t="s">
        <v>2877</v>
      </c>
      <c r="B825" s="5">
        <v>4916944</v>
      </c>
      <c r="C825" s="2" t="s">
        <v>46</v>
      </c>
      <c r="D825" s="2" t="s">
        <v>2878</v>
      </c>
      <c r="E825" s="2" t="s">
        <v>2879</v>
      </c>
      <c r="F825" s="2" t="s">
        <v>49</v>
      </c>
      <c r="G825" s="2" t="s">
        <v>49</v>
      </c>
      <c r="H825" s="2" t="s">
        <v>50</v>
      </c>
      <c r="I825" s="2" t="s">
        <v>28</v>
      </c>
      <c r="J825" s="6"/>
      <c r="K825" s="2" t="s">
        <v>2450</v>
      </c>
      <c r="L825" s="2" t="s">
        <v>30</v>
      </c>
      <c r="M825" s="2" t="s">
        <v>189</v>
      </c>
      <c r="N825" s="2" t="s">
        <v>1160</v>
      </c>
      <c r="O825" s="2" t="s">
        <v>2450</v>
      </c>
      <c r="P825" s="7">
        <v>5.0527887572317196</v>
      </c>
      <c r="Q825" s="8">
        <v>0.53058543991172002</v>
      </c>
      <c r="R825" s="9">
        <v>6083</v>
      </c>
      <c r="S825" s="2" t="s">
        <v>2880</v>
      </c>
      <c r="T825" s="9">
        <v>2028</v>
      </c>
      <c r="U825" s="9">
        <v>507</v>
      </c>
      <c r="V825" s="9">
        <v>556</v>
      </c>
      <c r="W825" s="9">
        <v>143</v>
      </c>
      <c r="X825" s="9">
        <v>142</v>
      </c>
      <c r="Y825" s="9">
        <v>73</v>
      </c>
      <c r="Z825" s="9">
        <v>51</v>
      </c>
      <c r="AA825" s="9">
        <v>51</v>
      </c>
      <c r="AB825" s="9">
        <v>579</v>
      </c>
      <c r="AC825" s="9">
        <v>583</v>
      </c>
      <c r="AD825" s="9">
        <v>287</v>
      </c>
      <c r="AE825" s="7">
        <v>0.98711412811355603</v>
      </c>
      <c r="AF825" s="7">
        <v>0.32903804270451897</v>
      </c>
      <c r="AG825" s="7">
        <v>0.082259510676129605</v>
      </c>
      <c r="AH825" s="7">
        <v>0.090188973206577705</v>
      </c>
      <c r="AI825" s="7">
        <v>0.023181101547072199</v>
      </c>
      <c r="AJ825" s="7">
        <v>0.023088377140883899</v>
      </c>
      <c r="AK825" s="7">
        <v>0.011892522070316099</v>
      </c>
      <c r="AL825" s="7">
        <v>0.0082370398065171897</v>
      </c>
      <c r="AM825" s="7">
        <v>0.0082421568883991308</v>
      </c>
      <c r="AN825" s="7">
        <v>0.094010869344148207</v>
      </c>
      <c r="AO825" s="7">
        <v>0.094624496479032302</v>
      </c>
      <c r="AP825" s="7">
        <v>0.046549147461459502</v>
      </c>
      <c r="AQ825" s="9">
        <v>0</v>
      </c>
    </row>
    <row r="826" spans="1:43" ht="15">
      <c r="A826" s="2" t="s">
        <v>2881</v>
      </c>
      <c r="B826" s="5">
        <v>4985281</v>
      </c>
      <c r="C826" s="2" t="s">
        <v>35</v>
      </c>
      <c r="D826" s="2" t="s">
        <v>2882</v>
      </c>
      <c r="E826" s="2" t="s">
        <v>2883</v>
      </c>
      <c r="F826" s="2" t="s">
        <v>38</v>
      </c>
      <c r="G826" s="2" t="s">
        <v>38</v>
      </c>
      <c r="H826" s="2" t="s">
        <v>39</v>
      </c>
      <c r="I826" s="2" t="s">
        <v>198</v>
      </c>
      <c r="J826" s="6"/>
      <c r="K826" s="2" t="s">
        <v>987</v>
      </c>
      <c r="L826" s="2" t="s">
        <v>42</v>
      </c>
      <c r="M826" s="2" t="s">
        <v>987</v>
      </c>
      <c r="N826" s="2"/>
      <c r="O826" s="2"/>
      <c r="P826" s="7">
        <v>11.3110618847148</v>
      </c>
      <c r="Q826" s="8">
        <v>10.61116253766</v>
      </c>
      <c r="R826" s="9">
        <v>0</v>
      </c>
      <c r="S826" s="2" t="s">
        <v>2884</v>
      </c>
      <c r="T826" s="9">
        <v>0</v>
      </c>
      <c r="U826" s="9">
        <v>0</v>
      </c>
      <c r="V826" s="9">
        <v>0</v>
      </c>
      <c r="W826" s="9">
        <v>144</v>
      </c>
      <c r="X826" s="9">
        <v>144</v>
      </c>
      <c r="Y826" s="9">
        <v>135</v>
      </c>
      <c r="Z826" s="9">
        <v>93</v>
      </c>
      <c r="AA826" s="9">
        <v>82</v>
      </c>
      <c r="AB826" s="9">
        <v>0</v>
      </c>
      <c r="AC826" s="9">
        <v>0</v>
      </c>
      <c r="AD826" s="9">
        <v>229</v>
      </c>
      <c r="AE826" s="7">
        <v>0</v>
      </c>
      <c r="AF826" s="7">
        <v>0</v>
      </c>
      <c r="AG826" s="7">
        <v>0</v>
      </c>
      <c r="AH826" s="7">
        <v>0</v>
      </c>
      <c r="AI826" s="7">
        <v>0.0515616412063922</v>
      </c>
      <c r="AJ826" s="7">
        <v>0.051350323004726701</v>
      </c>
      <c r="AK826" s="7">
        <v>0.048231484123638098</v>
      </c>
      <c r="AL826" s="7">
        <v>0.033191713272706702</v>
      </c>
      <c r="AM826" s="7">
        <v>0.029364442711451898</v>
      </c>
      <c r="AN826" s="7">
        <v>0</v>
      </c>
      <c r="AO826" s="7">
        <v>0</v>
      </c>
      <c r="AP826" s="7">
        <v>0.081917723563036907</v>
      </c>
      <c r="AQ826" s="9">
        <v>0</v>
      </c>
    </row>
    <row r="827" spans="1:43" ht="15">
      <c r="A827" s="2" t="s">
        <v>2885</v>
      </c>
      <c r="B827" s="5">
        <v>4342865</v>
      </c>
      <c r="C827" s="2" t="s">
        <v>46</v>
      </c>
      <c r="D827" s="2" t="s">
        <v>2886</v>
      </c>
      <c r="E827" s="2" t="s">
        <v>2887</v>
      </c>
      <c r="F827" s="2" t="s">
        <v>49</v>
      </c>
      <c r="G827" s="2" t="s">
        <v>49</v>
      </c>
      <c r="H827" s="2" t="s">
        <v>50</v>
      </c>
      <c r="I827" s="2" t="s">
        <v>40</v>
      </c>
      <c r="J827" s="6"/>
      <c r="K827" s="2" t="s">
        <v>2588</v>
      </c>
      <c r="L827" s="2" t="s">
        <v>56</v>
      </c>
      <c r="M827" s="2" t="s">
        <v>602</v>
      </c>
      <c r="N827" s="2" t="s">
        <v>2589</v>
      </c>
      <c r="O827" s="2" t="s">
        <v>2588</v>
      </c>
      <c r="P827" s="7">
        <v>1556.1676424101599</v>
      </c>
      <c r="Q827" s="8">
        <v>1506.30872285231</v>
      </c>
      <c r="R827" s="9">
        <v>0</v>
      </c>
      <c r="S827" s="2" t="s">
        <v>2888</v>
      </c>
      <c r="T827" s="9">
        <v>0</v>
      </c>
      <c r="U827" s="9">
        <v>0</v>
      </c>
      <c r="V827" s="9">
        <v>0</v>
      </c>
      <c r="W827" s="9">
        <v>5</v>
      </c>
      <c r="X827" s="9">
        <v>5</v>
      </c>
      <c r="Y827" s="9">
        <v>3</v>
      </c>
      <c r="Z827" s="9">
        <v>3</v>
      </c>
      <c r="AA827" s="9">
        <v>54287</v>
      </c>
      <c r="AB827" s="9">
        <v>0</v>
      </c>
      <c r="AC827" s="9">
        <v>0</v>
      </c>
      <c r="AD827" s="9">
        <v>10</v>
      </c>
      <c r="AE827" s="7">
        <v>0</v>
      </c>
      <c r="AF827" s="7">
        <v>0</v>
      </c>
      <c r="AG827" s="7">
        <v>0</v>
      </c>
      <c r="AH827" s="7">
        <v>0</v>
      </c>
      <c r="AI827" s="7">
        <v>3.4638416123158001E-06</v>
      </c>
      <c r="AJ827" s="7">
        <v>3.4499862458665401E-06</v>
      </c>
      <c r="AK827" s="7">
        <v>1.72845002297923E-06</v>
      </c>
      <c r="AL827" s="7">
        <v>1.89124645373781E-06</v>
      </c>
      <c r="AM827" s="7">
        <v>0.037397943652912199</v>
      </c>
      <c r="AN827" s="7">
        <v>0</v>
      </c>
      <c r="AO827" s="7">
        <v>0</v>
      </c>
      <c r="AP827" s="7">
        <v>6.9556174311825299E-06</v>
      </c>
      <c r="AQ827" s="9">
        <v>0</v>
      </c>
    </row>
    <row r="828" spans="1:43" ht="15">
      <c r="A828" s="2" t="s">
        <v>2889</v>
      </c>
      <c r="B828" s="5">
        <v>4981348</v>
      </c>
      <c r="C828" s="2" t="s">
        <v>23</v>
      </c>
      <c r="D828" s="2" t="s">
        <v>2890</v>
      </c>
      <c r="E828" s="2" t="s">
        <v>2891</v>
      </c>
      <c r="F828" s="2" t="s">
        <v>26</v>
      </c>
      <c r="G828" s="2" t="s">
        <v>26</v>
      </c>
      <c r="H828" s="2" t="s">
        <v>27</v>
      </c>
      <c r="I828" s="2" t="s">
        <v>40</v>
      </c>
      <c r="J828" s="6"/>
      <c r="K828" s="2" t="s">
        <v>1052</v>
      </c>
      <c r="L828" s="2" t="s">
        <v>30</v>
      </c>
      <c r="M828" s="2" t="s">
        <v>424</v>
      </c>
      <c r="N828" s="2" t="s">
        <v>1052</v>
      </c>
      <c r="O828" s="2"/>
      <c r="P828" s="7">
        <v>9.2034028511999999</v>
      </c>
      <c r="Q828" s="8">
        <v>9.3113612185440005</v>
      </c>
      <c r="R828" s="9">
        <v>0</v>
      </c>
      <c r="S828" s="2" t="s">
        <v>2892</v>
      </c>
      <c r="T828" s="9">
        <v>0</v>
      </c>
      <c r="U828" s="9">
        <v>0</v>
      </c>
      <c r="V828" s="9">
        <v>0</v>
      </c>
      <c r="W828" s="9">
        <v>0</v>
      </c>
      <c r="X828" s="9">
        <v>0</v>
      </c>
      <c r="Y828" s="9">
        <v>0</v>
      </c>
      <c r="Z828" s="9">
        <v>0</v>
      </c>
      <c r="AA828" s="9">
        <v>0</v>
      </c>
      <c r="AB828" s="9">
        <v>0</v>
      </c>
      <c r="AC828" s="9">
        <v>0</v>
      </c>
      <c r="AD828" s="9">
        <v>0</v>
      </c>
      <c r="AE828" s="7">
        <v>0</v>
      </c>
      <c r="AF828" s="7">
        <v>0</v>
      </c>
      <c r="AG828" s="7">
        <v>0.0078616352201257896</v>
      </c>
      <c r="AH828" s="7">
        <v>0.0044221698113207503</v>
      </c>
      <c r="AI828" s="7">
        <v>0.0034098658786087701</v>
      </c>
      <c r="AJ828" s="7">
        <v>0.00339622641509434</v>
      </c>
      <c r="AK828" s="7">
        <v>0.0025625450818116198</v>
      </c>
      <c r="AL828" s="7">
        <v>0.0023395214730133002</v>
      </c>
      <c r="AM828" s="7">
        <v>0.0017049329393043901</v>
      </c>
      <c r="AN828" s="7">
        <v>0.0089847259658580401</v>
      </c>
      <c r="AO828" s="7">
        <v>0.0046396535725332496</v>
      </c>
      <c r="AP828" s="7">
        <v>0.0068472306755934303</v>
      </c>
      <c r="AQ828" s="9">
        <v>0</v>
      </c>
    </row>
    <row r="829" spans="1:43" ht="15">
      <c r="A829" s="2" t="s">
        <v>2893</v>
      </c>
      <c r="B829" s="5">
        <v>4772664</v>
      </c>
      <c r="C829" s="2" t="s">
        <v>23</v>
      </c>
      <c r="D829" s="2" t="s">
        <v>2894</v>
      </c>
      <c r="E829" s="2" t="s">
        <v>2895</v>
      </c>
      <c r="F829" s="2" t="s">
        <v>26</v>
      </c>
      <c r="G829" s="2" t="s">
        <v>26</v>
      </c>
      <c r="H829" s="2" t="s">
        <v>27</v>
      </c>
      <c r="I829" s="2" t="s">
        <v>28</v>
      </c>
      <c r="J829" s="6"/>
      <c r="K829" s="2" t="s">
        <v>1391</v>
      </c>
      <c r="L829" s="2" t="s">
        <v>56</v>
      </c>
      <c r="M829" s="2" t="s">
        <v>1391</v>
      </c>
      <c r="N829" s="2"/>
      <c r="O829" s="2"/>
      <c r="P829" s="7">
        <v>301.25783996026598</v>
      </c>
      <c r="Q829" s="8">
        <v>12.597357370736001</v>
      </c>
      <c r="R829" s="9">
        <v>1</v>
      </c>
      <c r="S829" s="2" t="s">
        <v>2896</v>
      </c>
      <c r="T829" s="9">
        <v>4112</v>
      </c>
      <c r="U829" s="9">
        <v>4258</v>
      </c>
      <c r="V829" s="9">
        <v>8322</v>
      </c>
      <c r="W829" s="9">
        <v>29836</v>
      </c>
      <c r="X829" s="9">
        <v>29717</v>
      </c>
      <c r="Y829" s="9">
        <v>29949</v>
      </c>
      <c r="Z829" s="9">
        <v>32683</v>
      </c>
      <c r="AA829" s="9">
        <v>26083</v>
      </c>
      <c r="AB829" s="9">
        <v>4861</v>
      </c>
      <c r="AC829" s="9">
        <v>7926</v>
      </c>
      <c r="AD829" s="9">
        <v>22908</v>
      </c>
      <c r="AE829" s="7">
        <v>1.7761957825584599E-07</v>
      </c>
      <c r="AF829" s="7">
        <v>0.00073034210252499602</v>
      </c>
      <c r="AG829" s="7">
        <v>0.00075625975931882799</v>
      </c>
      <c r="AH829" s="7">
        <v>0.00147820286105745</v>
      </c>
      <c r="AI829" s="7">
        <v>0.0052994441835402702</v>
      </c>
      <c r="AJ829" s="7">
        <v>0.00527824640680611</v>
      </c>
      <c r="AK829" s="7">
        <v>0.0053194433345380501</v>
      </c>
      <c r="AL829" s="7">
        <v>0.0058050971045770696</v>
      </c>
      <c r="AM829" s="7">
        <v>0.00463285074631559</v>
      </c>
      <c r="AN829" s="7">
        <v>0.00086335802145073696</v>
      </c>
      <c r="AO829" s="7">
        <v>0.00140790013114678</v>
      </c>
      <c r="AP829" s="7">
        <v>0.0040688319482234201</v>
      </c>
      <c r="AQ829" s="9">
        <v>0</v>
      </c>
    </row>
    <row r="830" spans="1:43" ht="15">
      <c r="A830" s="2" t="s">
        <v>2897</v>
      </c>
      <c r="B830" s="5">
        <v>4984965</v>
      </c>
      <c r="C830" s="2" t="s">
        <v>23</v>
      </c>
      <c r="D830" s="2" t="s">
        <v>2898</v>
      </c>
      <c r="E830" s="2" t="s">
        <v>2899</v>
      </c>
      <c r="F830" s="2" t="s">
        <v>26</v>
      </c>
      <c r="G830" s="2" t="s">
        <v>26</v>
      </c>
      <c r="H830" s="2" t="s">
        <v>27</v>
      </c>
      <c r="I830" s="2" t="s">
        <v>40</v>
      </c>
      <c r="J830" s="6"/>
      <c r="K830" s="2" t="s">
        <v>768</v>
      </c>
      <c r="L830" s="2" t="s">
        <v>42</v>
      </c>
      <c r="M830" s="2" t="s">
        <v>768</v>
      </c>
      <c r="N830" s="2"/>
      <c r="O830" s="2"/>
      <c r="P830" s="7">
        <v>72.145080620200702</v>
      </c>
      <c r="Q830" s="8">
        <v>193.34884862824001</v>
      </c>
      <c r="R830" s="9">
        <v>2142211</v>
      </c>
      <c r="S830" s="2" t="s">
        <v>2900</v>
      </c>
      <c r="T830" s="9">
        <v>2326539</v>
      </c>
      <c r="U830" s="9">
        <v>6356626</v>
      </c>
      <c r="V830" s="9">
        <v>2999651</v>
      </c>
      <c r="W830" s="9">
        <v>2559378</v>
      </c>
      <c r="X830" s="9">
        <v>2564392</v>
      </c>
      <c r="Y830" s="9">
        <v>2112183</v>
      </c>
      <c r="Z830" s="9">
        <v>2520862</v>
      </c>
      <c r="AA830" s="9">
        <v>3533124</v>
      </c>
      <c r="AB830" s="9">
        <v>5676897</v>
      </c>
      <c r="AC830" s="9">
        <v>3121154</v>
      </c>
      <c r="AD830" s="9">
        <v>2701369</v>
      </c>
      <c r="AE830" s="7">
        <v>0.14317894825103</v>
      </c>
      <c r="AF830" s="7">
        <v>0.15549888920753399</v>
      </c>
      <c r="AG830" s="7">
        <v>0.42485776767303601</v>
      </c>
      <c r="AH830" s="7">
        <v>0.20048767576273899</v>
      </c>
      <c r="AI830" s="7">
        <v>0.171061118344877</v>
      </c>
      <c r="AJ830" s="7">
        <v>0.17139626478495801</v>
      </c>
      <c r="AK830" s="7">
        <v>0.14117193855669299</v>
      </c>
      <c r="AL830" s="7">
        <v>0.168486840077299</v>
      </c>
      <c r="AM830" s="7">
        <v>0.236143407246622</v>
      </c>
      <c r="AN830" s="7">
        <v>0.379426733097389</v>
      </c>
      <c r="AO830" s="7">
        <v>0.20860859059419001</v>
      </c>
      <c r="AP830" s="7">
        <v>0.180551391471994</v>
      </c>
      <c r="AQ830" s="9">
        <v>750736</v>
      </c>
    </row>
    <row r="831" spans="1:43" ht="15">
      <c r="A831" s="2" t="s">
        <v>2901</v>
      </c>
      <c r="B831" s="5">
        <v>7432543</v>
      </c>
      <c r="C831" s="2" t="s">
        <v>35</v>
      </c>
      <c r="D831" s="2" t="s">
        <v>2902</v>
      </c>
      <c r="E831" s="2" t="s">
        <v>2903</v>
      </c>
      <c r="F831" s="2" t="s">
        <v>38</v>
      </c>
      <c r="G831" s="2" t="s">
        <v>38</v>
      </c>
      <c r="H831" s="2" t="s">
        <v>39</v>
      </c>
      <c r="I831" s="2" t="s">
        <v>28</v>
      </c>
      <c r="J831" s="6"/>
      <c r="K831" s="2" t="s">
        <v>211</v>
      </c>
      <c r="L831" s="2" t="s">
        <v>30</v>
      </c>
      <c r="M831" s="2" t="s">
        <v>189</v>
      </c>
      <c r="N831" s="2" t="s">
        <v>211</v>
      </c>
      <c r="O831" s="2"/>
      <c r="P831" s="7">
        <v>209.369518415611</v>
      </c>
      <c r="Q831" s="8">
        <v>644.54375011095897</v>
      </c>
      <c r="R831" s="9">
        <v>0</v>
      </c>
      <c r="S831" s="2" t="s">
        <v>2904</v>
      </c>
      <c r="T831" s="9">
        <v>0</v>
      </c>
      <c r="U831" s="9">
        <v>0</v>
      </c>
      <c r="V831" s="9">
        <v>0</v>
      </c>
      <c r="W831" s="9">
        <v>0</v>
      </c>
      <c r="X831" s="9">
        <v>0</v>
      </c>
      <c r="Y831" s="9">
        <v>0</v>
      </c>
      <c r="Z831" s="9">
        <v>0</v>
      </c>
      <c r="AA831" s="9">
        <v>0</v>
      </c>
      <c r="AB831" s="9">
        <v>0</v>
      </c>
      <c r="AC831" s="9">
        <v>0</v>
      </c>
      <c r="AD831" s="9">
        <v>0</v>
      </c>
      <c r="AE831" s="7">
        <v>0</v>
      </c>
      <c r="AF831" s="7">
        <v>0</v>
      </c>
      <c r="AG831" s="7">
        <v>0</v>
      </c>
      <c r="AH831" s="7">
        <v>0</v>
      </c>
      <c r="AI831" s="7">
        <v>0</v>
      </c>
      <c r="AJ831" s="7">
        <v>0</v>
      </c>
      <c r="AK831" s="7">
        <v>0</v>
      </c>
      <c r="AL831" s="7">
        <v>0</v>
      </c>
      <c r="AM831" s="7">
        <v>0</v>
      </c>
      <c r="AN831" s="7">
        <v>0</v>
      </c>
      <c r="AO831" s="7">
        <v>0</v>
      </c>
      <c r="AP831" s="7">
        <v>0</v>
      </c>
      <c r="AQ831" s="9">
        <v>0</v>
      </c>
    </row>
    <row r="832" spans="1:43" ht="15">
      <c r="A832" s="2" t="s">
        <v>2905</v>
      </c>
      <c r="B832" s="5">
        <v>6818526</v>
      </c>
      <c r="C832" s="2" t="s">
        <v>23</v>
      </c>
      <c r="D832" s="2" t="s">
        <v>2906</v>
      </c>
      <c r="E832" s="2" t="s">
        <v>2907</v>
      </c>
      <c r="F832" s="2" t="s">
        <v>26</v>
      </c>
      <c r="G832" s="2" t="s">
        <v>26</v>
      </c>
      <c r="H832" s="2" t="s">
        <v>27</v>
      </c>
      <c r="I832" s="2" t="s">
        <v>28</v>
      </c>
      <c r="J832" s="6"/>
      <c r="K832" s="2" t="s">
        <v>55</v>
      </c>
      <c r="L832" s="2" t="s">
        <v>56</v>
      </c>
      <c r="M832" s="2" t="s">
        <v>55</v>
      </c>
      <c r="N832" s="2"/>
      <c r="O832" s="2"/>
      <c r="P832" s="7">
        <v>14.749563645727401</v>
      </c>
      <c r="Q832" s="6" t="s">
        <v>57</v>
      </c>
      <c r="R832" s="9">
        <v>0</v>
      </c>
      <c r="S832" s="2"/>
      <c r="T832" s="9">
        <v>0</v>
      </c>
      <c r="U832" s="9">
        <v>0</v>
      </c>
      <c r="V832" s="9">
        <v>0</v>
      </c>
      <c r="W832" s="9">
        <v>0</v>
      </c>
      <c r="X832" s="9">
        <v>0</v>
      </c>
      <c r="Y832" s="9">
        <v>0</v>
      </c>
      <c r="Z832" s="9">
        <v>0</v>
      </c>
      <c r="AA832" s="9">
        <v>201</v>
      </c>
      <c r="AB832" s="9">
        <v>0</v>
      </c>
      <c r="AC832" s="9">
        <v>0</v>
      </c>
      <c r="AD832" s="9">
        <v>0</v>
      </c>
      <c r="AE832" s="6" t="s">
        <v>57</v>
      </c>
      <c r="AF832" s="6" t="s">
        <v>57</v>
      </c>
      <c r="AG832" s="6" t="s">
        <v>57</v>
      </c>
      <c r="AH832" s="6" t="s">
        <v>57</v>
      </c>
      <c r="AI832" s="6" t="s">
        <v>57</v>
      </c>
      <c r="AJ832" s="6" t="s">
        <v>57</v>
      </c>
      <c r="AK832" s="6" t="s">
        <v>57</v>
      </c>
      <c r="AL832" s="6" t="s">
        <v>57</v>
      </c>
      <c r="AM832" s="6" t="s">
        <v>57</v>
      </c>
      <c r="AN832" s="6" t="s">
        <v>57</v>
      </c>
      <c r="AO832" s="6" t="s">
        <v>57</v>
      </c>
      <c r="AP832" s="6" t="s">
        <v>57</v>
      </c>
      <c r="AQ832" s="9">
        <v>0</v>
      </c>
    </row>
    <row r="833" spans="1:43" ht="15">
      <c r="A833" s="2" t="s">
        <v>2908</v>
      </c>
      <c r="B833" s="5">
        <v>6818525</v>
      </c>
      <c r="C833" s="2" t="s">
        <v>23</v>
      </c>
      <c r="D833" s="2" t="s">
        <v>2909</v>
      </c>
      <c r="E833" s="2" t="s">
        <v>2910</v>
      </c>
      <c r="F833" s="2" t="s">
        <v>26</v>
      </c>
      <c r="G833" s="2" t="s">
        <v>26</v>
      </c>
      <c r="H833" s="2" t="s">
        <v>27</v>
      </c>
      <c r="I833" s="2" t="s">
        <v>28</v>
      </c>
      <c r="J833" s="6"/>
      <c r="K833" s="2" t="s">
        <v>55</v>
      </c>
      <c r="L833" s="2" t="s">
        <v>56</v>
      </c>
      <c r="M833" s="2" t="s">
        <v>55</v>
      </c>
      <c r="N833" s="2"/>
      <c r="O833" s="2"/>
      <c r="P833" s="7">
        <v>12.1334456279207</v>
      </c>
      <c r="Q833" s="6" t="s">
        <v>57</v>
      </c>
      <c r="R833" s="9">
        <v>0</v>
      </c>
      <c r="S833" s="2"/>
      <c r="T833" s="9">
        <v>112</v>
      </c>
      <c r="U833" s="9">
        <v>296</v>
      </c>
      <c r="V833" s="9">
        <v>353</v>
      </c>
      <c r="W833" s="9">
        <v>351</v>
      </c>
      <c r="X833" s="9">
        <v>349</v>
      </c>
      <c r="Y833" s="9">
        <v>197</v>
      </c>
      <c r="Z833" s="9">
        <v>158</v>
      </c>
      <c r="AA833" s="9">
        <v>340</v>
      </c>
      <c r="AB833" s="9">
        <v>338</v>
      </c>
      <c r="AC833" s="9">
        <v>360</v>
      </c>
      <c r="AD833" s="9">
        <v>609</v>
      </c>
      <c r="AE833" s="6" t="s">
        <v>57</v>
      </c>
      <c r="AF833" s="6" t="s">
        <v>57</v>
      </c>
      <c r="AG833" s="6" t="s">
        <v>57</v>
      </c>
      <c r="AH833" s="6" t="s">
        <v>57</v>
      </c>
      <c r="AI833" s="6" t="s">
        <v>57</v>
      </c>
      <c r="AJ833" s="6" t="s">
        <v>57</v>
      </c>
      <c r="AK833" s="6" t="s">
        <v>57</v>
      </c>
      <c r="AL833" s="6" t="s">
        <v>57</v>
      </c>
      <c r="AM833" s="6" t="s">
        <v>57</v>
      </c>
      <c r="AN833" s="6" t="s">
        <v>57</v>
      </c>
      <c r="AO833" s="6" t="s">
        <v>57</v>
      </c>
      <c r="AP833" s="6" t="s">
        <v>57</v>
      </c>
      <c r="AQ833" s="9">
        <v>0</v>
      </c>
    </row>
    <row r="834" spans="1:43" ht="15">
      <c r="A834" s="2" t="s">
        <v>2911</v>
      </c>
      <c r="B834" s="5">
        <v>26450413</v>
      </c>
      <c r="C834" s="2" t="s">
        <v>23</v>
      </c>
      <c r="D834" s="2" t="s">
        <v>2912</v>
      </c>
      <c r="E834" s="2" t="s">
        <v>2913</v>
      </c>
      <c r="F834" s="2" t="s">
        <v>26</v>
      </c>
      <c r="G834" s="2"/>
      <c r="H834" s="2"/>
      <c r="I834" s="2" t="s">
        <v>28</v>
      </c>
      <c r="J834" s="6"/>
      <c r="K834" s="2" t="s">
        <v>55</v>
      </c>
      <c r="L834" s="2" t="s">
        <v>56</v>
      </c>
      <c r="M834" s="2" t="s">
        <v>55</v>
      </c>
      <c r="N834" s="2"/>
      <c r="O834" s="2"/>
      <c r="P834" s="6" t="s">
        <v>57</v>
      </c>
      <c r="Q834" s="6" t="s">
        <v>57</v>
      </c>
      <c r="R834" s="9">
        <v>0</v>
      </c>
      <c r="S834" s="2"/>
      <c r="T834" s="9">
        <v>0</v>
      </c>
      <c r="U834" s="9">
        <v>133</v>
      </c>
      <c r="V834" s="9">
        <v>65</v>
      </c>
      <c r="W834" s="9">
        <v>62</v>
      </c>
      <c r="X834" s="9">
        <v>62</v>
      </c>
      <c r="Y834" s="9">
        <v>97</v>
      </c>
      <c r="Z834" s="9">
        <v>172</v>
      </c>
      <c r="AA834" s="9">
        <v>220</v>
      </c>
      <c r="AB834" s="9">
        <v>75</v>
      </c>
      <c r="AC834" s="9">
        <v>68</v>
      </c>
      <c r="AD834" s="9">
        <v>53</v>
      </c>
      <c r="AE834" s="6" t="s">
        <v>57</v>
      </c>
      <c r="AF834" s="6" t="s">
        <v>57</v>
      </c>
      <c r="AG834" s="6" t="s">
        <v>57</v>
      </c>
      <c r="AH834" s="6" t="s">
        <v>57</v>
      </c>
      <c r="AI834" s="6" t="s">
        <v>57</v>
      </c>
      <c r="AJ834" s="6" t="s">
        <v>57</v>
      </c>
      <c r="AK834" s="6" t="s">
        <v>57</v>
      </c>
      <c r="AL834" s="6" t="s">
        <v>57</v>
      </c>
      <c r="AM834" s="6" t="s">
        <v>57</v>
      </c>
      <c r="AN834" s="6" t="s">
        <v>57</v>
      </c>
      <c r="AO834" s="6" t="s">
        <v>57</v>
      </c>
      <c r="AP834" s="6" t="s">
        <v>57</v>
      </c>
      <c r="AQ834" s="9">
        <v>0</v>
      </c>
    </row>
    <row r="835" spans="1:43" ht="15">
      <c r="A835" s="2" t="s">
        <v>2914</v>
      </c>
      <c r="B835" s="5">
        <v>114129496</v>
      </c>
      <c r="C835" s="2" t="s">
        <v>23</v>
      </c>
      <c r="D835" s="2" t="s">
        <v>2915</v>
      </c>
      <c r="E835" s="2" t="s">
        <v>2916</v>
      </c>
      <c r="F835" s="2" t="s">
        <v>26</v>
      </c>
      <c r="G835" s="2" t="s">
        <v>26</v>
      </c>
      <c r="H835" s="2" t="s">
        <v>27</v>
      </c>
      <c r="I835" s="2" t="s">
        <v>28</v>
      </c>
      <c r="J835" s="6"/>
      <c r="K835" s="2" t="s">
        <v>55</v>
      </c>
      <c r="L835" s="2" t="s">
        <v>56</v>
      </c>
      <c r="M835" s="2" t="s">
        <v>55</v>
      </c>
      <c r="N835" s="2"/>
      <c r="O835" s="2"/>
      <c r="P835" s="6" t="s">
        <v>57</v>
      </c>
      <c r="Q835" s="6" t="s">
        <v>57</v>
      </c>
      <c r="R835" s="9">
        <v>0</v>
      </c>
      <c r="S835" s="2"/>
      <c r="T835" s="9">
        <v>0</v>
      </c>
      <c r="U835" s="9">
        <v>0</v>
      </c>
      <c r="V835" s="9">
        <v>0</v>
      </c>
      <c r="W835" s="9">
        <v>173</v>
      </c>
      <c r="X835" s="9">
        <v>173</v>
      </c>
      <c r="Y835" s="9">
        <v>173</v>
      </c>
      <c r="Z835" s="9">
        <v>173</v>
      </c>
      <c r="AA835" s="9">
        <v>173</v>
      </c>
      <c r="AB835" s="9">
        <v>0</v>
      </c>
      <c r="AC835" s="9">
        <v>0</v>
      </c>
      <c r="AD835" s="9">
        <v>0</v>
      </c>
      <c r="AE835" s="6" t="s">
        <v>57</v>
      </c>
      <c r="AF835" s="6" t="s">
        <v>57</v>
      </c>
      <c r="AG835" s="6" t="s">
        <v>57</v>
      </c>
      <c r="AH835" s="6" t="s">
        <v>57</v>
      </c>
      <c r="AI835" s="6" t="s">
        <v>57</v>
      </c>
      <c r="AJ835" s="6" t="s">
        <v>57</v>
      </c>
      <c r="AK835" s="6" t="s">
        <v>57</v>
      </c>
      <c r="AL835" s="6" t="s">
        <v>57</v>
      </c>
      <c r="AM835" s="6" t="s">
        <v>57</v>
      </c>
      <c r="AN835" s="6" t="s">
        <v>57</v>
      </c>
      <c r="AO835" s="6" t="s">
        <v>57</v>
      </c>
      <c r="AP835" s="6" t="s">
        <v>57</v>
      </c>
      <c r="AQ835" s="9">
        <v>0</v>
      </c>
    </row>
    <row r="836" spans="1:43" ht="15">
      <c r="A836" s="2" t="s">
        <v>2917</v>
      </c>
      <c r="B836" s="5">
        <v>110942417</v>
      </c>
      <c r="C836" s="2" t="s">
        <v>23</v>
      </c>
      <c r="D836" s="2" t="s">
        <v>2918</v>
      </c>
      <c r="E836" s="2" t="s">
        <v>2919</v>
      </c>
      <c r="F836" s="2" t="s">
        <v>26</v>
      </c>
      <c r="G836" s="2" t="s">
        <v>26</v>
      </c>
      <c r="H836" s="2" t="s">
        <v>27</v>
      </c>
      <c r="I836" s="2" t="s">
        <v>28</v>
      </c>
      <c r="J836" s="6"/>
      <c r="K836" s="2" t="s">
        <v>55</v>
      </c>
      <c r="L836" s="2" t="s">
        <v>56</v>
      </c>
      <c r="M836" s="2" t="s">
        <v>55</v>
      </c>
      <c r="N836" s="2"/>
      <c r="O836" s="2"/>
      <c r="P836" s="6" t="s">
        <v>57</v>
      </c>
      <c r="Q836" s="6" t="s">
        <v>57</v>
      </c>
      <c r="R836" s="9">
        <v>0</v>
      </c>
      <c r="S836" s="2"/>
      <c r="T836" s="9">
        <v>0</v>
      </c>
      <c r="U836" s="9">
        <v>0</v>
      </c>
      <c r="V836" s="9">
        <v>0</v>
      </c>
      <c r="W836" s="9">
        <v>0</v>
      </c>
      <c r="X836" s="9">
        <v>0</v>
      </c>
      <c r="Y836" s="9">
        <v>0</v>
      </c>
      <c r="Z836" s="9">
        <v>66</v>
      </c>
      <c r="AA836" s="9">
        <v>66</v>
      </c>
      <c r="AB836" s="9">
        <v>0</v>
      </c>
      <c r="AC836" s="9">
        <v>0</v>
      </c>
      <c r="AD836" s="9">
        <v>0</v>
      </c>
      <c r="AE836" s="6" t="s">
        <v>57</v>
      </c>
      <c r="AF836" s="6" t="s">
        <v>57</v>
      </c>
      <c r="AG836" s="6" t="s">
        <v>57</v>
      </c>
      <c r="AH836" s="6" t="s">
        <v>57</v>
      </c>
      <c r="AI836" s="6" t="s">
        <v>57</v>
      </c>
      <c r="AJ836" s="6" t="s">
        <v>57</v>
      </c>
      <c r="AK836" s="6" t="s">
        <v>57</v>
      </c>
      <c r="AL836" s="6" t="s">
        <v>57</v>
      </c>
      <c r="AM836" s="6" t="s">
        <v>57</v>
      </c>
      <c r="AN836" s="6" t="s">
        <v>57</v>
      </c>
      <c r="AO836" s="6" t="s">
        <v>57</v>
      </c>
      <c r="AP836" s="6" t="s">
        <v>57</v>
      </c>
      <c r="AQ836" s="9">
        <v>0</v>
      </c>
    </row>
    <row r="837" spans="1:43" ht="15">
      <c r="A837" s="2" t="s">
        <v>2920</v>
      </c>
      <c r="B837" s="5">
        <v>108571912</v>
      </c>
      <c r="C837" s="2" t="s">
        <v>23</v>
      </c>
      <c r="D837" s="2" t="s">
        <v>2921</v>
      </c>
      <c r="E837" s="2" t="s">
        <v>2922</v>
      </c>
      <c r="F837" s="2" t="s">
        <v>26</v>
      </c>
      <c r="G837" s="2" t="s">
        <v>26</v>
      </c>
      <c r="H837" s="2" t="s">
        <v>27</v>
      </c>
      <c r="I837" s="2" t="s">
        <v>28</v>
      </c>
      <c r="J837" s="6"/>
      <c r="K837" s="2" t="s">
        <v>55</v>
      </c>
      <c r="L837" s="2" t="s">
        <v>56</v>
      </c>
      <c r="M837" s="2" t="s">
        <v>55</v>
      </c>
      <c r="N837" s="2"/>
      <c r="O837" s="2"/>
      <c r="P837" s="6" t="s">
        <v>57</v>
      </c>
      <c r="Q837" s="6" t="s">
        <v>57</v>
      </c>
      <c r="R837" s="9">
        <v>0</v>
      </c>
      <c r="S837" s="2"/>
      <c r="T837" s="9">
        <v>0</v>
      </c>
      <c r="U837" s="9">
        <v>0</v>
      </c>
      <c r="V837" s="9">
        <v>15</v>
      </c>
      <c r="W837" s="9">
        <v>43</v>
      </c>
      <c r="X837" s="9">
        <v>43</v>
      </c>
      <c r="Y837" s="9">
        <v>121</v>
      </c>
      <c r="Z837" s="9">
        <v>115</v>
      </c>
      <c r="AA837" s="9">
        <v>128</v>
      </c>
      <c r="AB837" s="9">
        <v>0</v>
      </c>
      <c r="AC837" s="9">
        <v>16</v>
      </c>
      <c r="AD837" s="9">
        <v>40</v>
      </c>
      <c r="AE837" s="6" t="s">
        <v>57</v>
      </c>
      <c r="AF837" s="6" t="s">
        <v>57</v>
      </c>
      <c r="AG837" s="6" t="s">
        <v>57</v>
      </c>
      <c r="AH837" s="6" t="s">
        <v>57</v>
      </c>
      <c r="AI837" s="6" t="s">
        <v>57</v>
      </c>
      <c r="AJ837" s="6" t="s">
        <v>57</v>
      </c>
      <c r="AK837" s="6" t="s">
        <v>57</v>
      </c>
      <c r="AL837" s="6" t="s">
        <v>57</v>
      </c>
      <c r="AM837" s="6" t="s">
        <v>57</v>
      </c>
      <c r="AN837" s="6" t="s">
        <v>57</v>
      </c>
      <c r="AO837" s="6" t="s">
        <v>57</v>
      </c>
      <c r="AP837" s="6" t="s">
        <v>57</v>
      </c>
      <c r="AQ837" s="9">
        <v>0</v>
      </c>
    </row>
    <row r="838" spans="1:43" ht="15">
      <c r="A838" s="2" t="s">
        <v>2923</v>
      </c>
      <c r="B838" s="5">
        <v>106286268</v>
      </c>
      <c r="C838" s="2" t="s">
        <v>23</v>
      </c>
      <c r="D838" s="2" t="s">
        <v>2924</v>
      </c>
      <c r="E838" s="2" t="s">
        <v>2925</v>
      </c>
      <c r="F838" s="2" t="s">
        <v>26</v>
      </c>
      <c r="G838" s="2" t="s">
        <v>26</v>
      </c>
      <c r="H838" s="2" t="s">
        <v>27</v>
      </c>
      <c r="I838" s="2" t="s">
        <v>28</v>
      </c>
      <c r="J838" s="6"/>
      <c r="K838" s="2" t="s">
        <v>55</v>
      </c>
      <c r="L838" s="2" t="s">
        <v>56</v>
      </c>
      <c r="M838" s="2" t="s">
        <v>55</v>
      </c>
      <c r="N838" s="2"/>
      <c r="O838" s="2"/>
      <c r="P838" s="6" t="s">
        <v>57</v>
      </c>
      <c r="Q838" s="6" t="s">
        <v>57</v>
      </c>
      <c r="R838" s="9">
        <v>0</v>
      </c>
      <c r="S838" s="2"/>
      <c r="T838" s="9">
        <v>0</v>
      </c>
      <c r="U838" s="9">
        <v>38</v>
      </c>
      <c r="V838" s="9">
        <v>132</v>
      </c>
      <c r="W838" s="9">
        <v>69</v>
      </c>
      <c r="X838" s="9">
        <v>69</v>
      </c>
      <c r="Y838" s="9">
        <v>141</v>
      </c>
      <c r="Z838" s="9">
        <v>640</v>
      </c>
      <c r="AA838" s="9">
        <v>960</v>
      </c>
      <c r="AB838" s="9">
        <v>43</v>
      </c>
      <c r="AC838" s="9">
        <v>139</v>
      </c>
      <c r="AD838" s="9">
        <v>94</v>
      </c>
      <c r="AE838" s="6" t="s">
        <v>57</v>
      </c>
      <c r="AF838" s="6" t="s">
        <v>57</v>
      </c>
      <c r="AG838" s="6" t="s">
        <v>57</v>
      </c>
      <c r="AH838" s="6" t="s">
        <v>57</v>
      </c>
      <c r="AI838" s="6" t="s">
        <v>57</v>
      </c>
      <c r="AJ838" s="6" t="s">
        <v>57</v>
      </c>
      <c r="AK838" s="6" t="s">
        <v>57</v>
      </c>
      <c r="AL838" s="6" t="s">
        <v>57</v>
      </c>
      <c r="AM838" s="6" t="s">
        <v>57</v>
      </c>
      <c r="AN838" s="6" t="s">
        <v>57</v>
      </c>
      <c r="AO838" s="6" t="s">
        <v>57</v>
      </c>
      <c r="AP838" s="6" t="s">
        <v>57</v>
      </c>
      <c r="AQ838" s="9">
        <v>0</v>
      </c>
    </row>
    <row r="839" spans="1:43" ht="15">
      <c r="A839" s="2" t="s">
        <v>2926</v>
      </c>
      <c r="B839" s="5">
        <v>115767965</v>
      </c>
      <c r="C839" s="2" t="s">
        <v>23</v>
      </c>
      <c r="D839" s="2" t="s">
        <v>2927</v>
      </c>
      <c r="E839" s="2" t="s">
        <v>2928</v>
      </c>
      <c r="F839" s="2" t="s">
        <v>26</v>
      </c>
      <c r="G839" s="2" t="s">
        <v>26</v>
      </c>
      <c r="H839" s="2" t="s">
        <v>27</v>
      </c>
      <c r="I839" s="2" t="s">
        <v>28</v>
      </c>
      <c r="J839" s="6"/>
      <c r="K839" s="2" t="s">
        <v>55</v>
      </c>
      <c r="L839" s="2" t="s">
        <v>56</v>
      </c>
      <c r="M839" s="2" t="s">
        <v>55</v>
      </c>
      <c r="N839" s="2"/>
      <c r="O839" s="2"/>
      <c r="P839" s="6" t="s">
        <v>57</v>
      </c>
      <c r="Q839" s="6" t="s">
        <v>57</v>
      </c>
      <c r="R839" s="9">
        <v>0</v>
      </c>
      <c r="S839" s="2"/>
      <c r="T839" s="9">
        <v>24</v>
      </c>
      <c r="U839" s="9">
        <v>50</v>
      </c>
      <c r="V839" s="9">
        <v>373</v>
      </c>
      <c r="W839" s="9">
        <v>205</v>
      </c>
      <c r="X839" s="9">
        <v>204</v>
      </c>
      <c r="Y839" s="9">
        <v>1422</v>
      </c>
      <c r="Z839" s="9">
        <v>1662</v>
      </c>
      <c r="AA839" s="9">
        <v>1662</v>
      </c>
      <c r="AB839" s="9">
        <v>57</v>
      </c>
      <c r="AC839" s="9">
        <v>378</v>
      </c>
      <c r="AD839" s="9">
        <v>211</v>
      </c>
      <c r="AE839" s="6" t="s">
        <v>57</v>
      </c>
      <c r="AF839" s="6" t="s">
        <v>57</v>
      </c>
      <c r="AG839" s="6" t="s">
        <v>57</v>
      </c>
      <c r="AH839" s="6" t="s">
        <v>57</v>
      </c>
      <c r="AI839" s="6" t="s">
        <v>57</v>
      </c>
      <c r="AJ839" s="6" t="s">
        <v>57</v>
      </c>
      <c r="AK839" s="6" t="s">
        <v>57</v>
      </c>
      <c r="AL839" s="6" t="s">
        <v>57</v>
      </c>
      <c r="AM839" s="6" t="s">
        <v>57</v>
      </c>
      <c r="AN839" s="6" t="s">
        <v>57</v>
      </c>
      <c r="AO839" s="6" t="s">
        <v>57</v>
      </c>
      <c r="AP839" s="6" t="s">
        <v>57</v>
      </c>
      <c r="AQ839" s="9">
        <v>0</v>
      </c>
    </row>
    <row r="840" spans="1:43" ht="15">
      <c r="A840" s="2" t="s">
        <v>2929</v>
      </c>
      <c r="B840" s="5">
        <v>131560303</v>
      </c>
      <c r="C840" s="2" t="s">
        <v>23</v>
      </c>
      <c r="D840" s="2" t="s">
        <v>2930</v>
      </c>
      <c r="E840" s="2" t="s">
        <v>2931</v>
      </c>
      <c r="F840" s="2" t="s">
        <v>26</v>
      </c>
      <c r="G840" s="2" t="s">
        <v>26</v>
      </c>
      <c r="H840" s="2" t="s">
        <v>27</v>
      </c>
      <c r="I840" s="2" t="s">
        <v>28</v>
      </c>
      <c r="J840" s="6"/>
      <c r="K840" s="2" t="s">
        <v>55</v>
      </c>
      <c r="L840" s="2" t="s">
        <v>56</v>
      </c>
      <c r="M840" s="2" t="s">
        <v>55</v>
      </c>
      <c r="N840" s="2"/>
      <c r="O840" s="2"/>
      <c r="P840" s="6" t="s">
        <v>57</v>
      </c>
      <c r="Q840" s="6" t="s">
        <v>57</v>
      </c>
      <c r="R840" s="9">
        <v>0</v>
      </c>
      <c r="S840" s="2"/>
      <c r="T840" s="9">
        <v>0</v>
      </c>
      <c r="U840" s="9">
        <v>21</v>
      </c>
      <c r="V840" s="9">
        <v>79</v>
      </c>
      <c r="W840" s="9">
        <v>696</v>
      </c>
      <c r="X840" s="9">
        <v>693</v>
      </c>
      <c r="Y840" s="9">
        <v>650</v>
      </c>
      <c r="Z840" s="9">
        <v>650</v>
      </c>
      <c r="AA840" s="9">
        <v>650</v>
      </c>
      <c r="AB840" s="9">
        <v>24</v>
      </c>
      <c r="AC840" s="9">
        <v>83</v>
      </c>
      <c r="AD840" s="9">
        <v>203</v>
      </c>
      <c r="AE840" s="6" t="s">
        <v>57</v>
      </c>
      <c r="AF840" s="6" t="s">
        <v>57</v>
      </c>
      <c r="AG840" s="6" t="s">
        <v>57</v>
      </c>
      <c r="AH840" s="6" t="s">
        <v>57</v>
      </c>
      <c r="AI840" s="6" t="s">
        <v>57</v>
      </c>
      <c r="AJ840" s="6" t="s">
        <v>57</v>
      </c>
      <c r="AK840" s="6" t="s">
        <v>57</v>
      </c>
      <c r="AL840" s="6" t="s">
        <v>57</v>
      </c>
      <c r="AM840" s="6" t="s">
        <v>57</v>
      </c>
      <c r="AN840" s="6" t="s">
        <v>57</v>
      </c>
      <c r="AO840" s="6" t="s">
        <v>57</v>
      </c>
      <c r="AP840" s="6" t="s">
        <v>57</v>
      </c>
      <c r="AQ840" s="9">
        <v>0</v>
      </c>
    </row>
    <row r="841" spans="1:43" ht="15">
      <c r="A841" s="2" t="s">
        <v>2932</v>
      </c>
      <c r="B841" s="5">
        <v>100525414</v>
      </c>
      <c r="C841" s="2" t="s">
        <v>23</v>
      </c>
      <c r="D841" s="2" t="s">
        <v>2933</v>
      </c>
      <c r="E841" s="2" t="s">
        <v>2934</v>
      </c>
      <c r="F841" s="2" t="s">
        <v>26</v>
      </c>
      <c r="G841" s="2" t="s">
        <v>26</v>
      </c>
      <c r="H841" s="2" t="s">
        <v>27</v>
      </c>
      <c r="I841" s="2" t="s">
        <v>28</v>
      </c>
      <c r="J841" s="6"/>
      <c r="K841" s="2" t="s">
        <v>55</v>
      </c>
      <c r="L841" s="2" t="s">
        <v>56</v>
      </c>
      <c r="M841" s="2" t="s">
        <v>55</v>
      </c>
      <c r="N841" s="2"/>
      <c r="O841" s="2"/>
      <c r="P841" s="6" t="s">
        <v>57</v>
      </c>
      <c r="Q841" s="6" t="s">
        <v>57</v>
      </c>
      <c r="R841" s="9">
        <v>2459</v>
      </c>
      <c r="S841" s="2"/>
      <c r="T841" s="9">
        <v>1245</v>
      </c>
      <c r="U841" s="9">
        <v>343</v>
      </c>
      <c r="V841" s="9">
        <v>1041</v>
      </c>
      <c r="W841" s="9">
        <v>1574</v>
      </c>
      <c r="X841" s="9">
        <v>1568</v>
      </c>
      <c r="Y841" s="9">
        <v>2849</v>
      </c>
      <c r="Z841" s="9">
        <v>3419</v>
      </c>
      <c r="AA841" s="9">
        <v>2634</v>
      </c>
      <c r="AB841" s="9">
        <v>392</v>
      </c>
      <c r="AC841" s="9">
        <v>1075</v>
      </c>
      <c r="AD841" s="9">
        <v>2305</v>
      </c>
      <c r="AE841" s="6" t="s">
        <v>57</v>
      </c>
      <c r="AF841" s="6" t="s">
        <v>57</v>
      </c>
      <c r="AG841" s="6" t="s">
        <v>57</v>
      </c>
      <c r="AH841" s="6" t="s">
        <v>57</v>
      </c>
      <c r="AI841" s="6" t="s">
        <v>57</v>
      </c>
      <c r="AJ841" s="6" t="s">
        <v>57</v>
      </c>
      <c r="AK841" s="6" t="s">
        <v>57</v>
      </c>
      <c r="AL841" s="6" t="s">
        <v>57</v>
      </c>
      <c r="AM841" s="6" t="s">
        <v>57</v>
      </c>
      <c r="AN841" s="6" t="s">
        <v>57</v>
      </c>
      <c r="AO841" s="6" t="s">
        <v>57</v>
      </c>
      <c r="AP841" s="6" t="s">
        <v>57</v>
      </c>
      <c r="AQ841" s="9">
        <v>0</v>
      </c>
    </row>
    <row r="842" spans="1:43" ht="15">
      <c r="A842" s="2" t="s">
        <v>2935</v>
      </c>
      <c r="B842" s="5">
        <v>9062381</v>
      </c>
      <c r="C842" s="2" t="s">
        <v>23</v>
      </c>
      <c r="D842" s="2" t="s">
        <v>2936</v>
      </c>
      <c r="E842" s="2" t="s">
        <v>2937</v>
      </c>
      <c r="F842" s="2" t="s">
        <v>26</v>
      </c>
      <c r="G842" s="2" t="s">
        <v>26</v>
      </c>
      <c r="H842" s="2" t="s">
        <v>27</v>
      </c>
      <c r="I842" s="2" t="s">
        <v>28</v>
      </c>
      <c r="J842" s="6"/>
      <c r="K842" s="2" t="s">
        <v>55</v>
      </c>
      <c r="L842" s="2" t="s">
        <v>56</v>
      </c>
      <c r="M842" s="2" t="s">
        <v>55</v>
      </c>
      <c r="N842" s="2"/>
      <c r="O842" s="2"/>
      <c r="P842" s="7">
        <v>2.53507301738497</v>
      </c>
      <c r="Q842" s="6" t="s">
        <v>57</v>
      </c>
      <c r="R842" s="9">
        <v>0</v>
      </c>
      <c r="S842" s="2"/>
      <c r="T842" s="9">
        <v>0</v>
      </c>
      <c r="U842" s="9">
        <v>0</v>
      </c>
      <c r="V842" s="9">
        <v>0</v>
      </c>
      <c r="W842" s="9">
        <v>0</v>
      </c>
      <c r="X842" s="9">
        <v>0</v>
      </c>
      <c r="Y842" s="9">
        <v>0</v>
      </c>
      <c r="Z842" s="9">
        <v>1</v>
      </c>
      <c r="AA842" s="9">
        <v>1</v>
      </c>
      <c r="AB842" s="9">
        <v>0</v>
      </c>
      <c r="AC842" s="9">
        <v>0</v>
      </c>
      <c r="AD842" s="9">
        <v>0</v>
      </c>
      <c r="AE842" s="6" t="s">
        <v>57</v>
      </c>
      <c r="AF842" s="6" t="s">
        <v>57</v>
      </c>
      <c r="AG842" s="6" t="s">
        <v>57</v>
      </c>
      <c r="AH842" s="6" t="s">
        <v>57</v>
      </c>
      <c r="AI842" s="6" t="s">
        <v>57</v>
      </c>
      <c r="AJ842" s="6" t="s">
        <v>57</v>
      </c>
      <c r="AK842" s="6" t="s">
        <v>57</v>
      </c>
      <c r="AL842" s="6" t="s">
        <v>57</v>
      </c>
      <c r="AM842" s="6" t="s">
        <v>57</v>
      </c>
      <c r="AN842" s="6" t="s">
        <v>57</v>
      </c>
      <c r="AO842" s="6" t="s">
        <v>57</v>
      </c>
      <c r="AP842" s="6" t="s">
        <v>57</v>
      </c>
      <c r="AQ842" s="9">
        <v>0</v>
      </c>
    </row>
    <row r="843" spans="1:43" ht="15">
      <c r="A843" s="2" t="s">
        <v>2938</v>
      </c>
      <c r="B843" s="5">
        <v>5731725</v>
      </c>
      <c r="C843" s="2" t="s">
        <v>23</v>
      </c>
      <c r="D843" s="2" t="s">
        <v>2939</v>
      </c>
      <c r="E843" s="2" t="s">
        <v>2940</v>
      </c>
      <c r="F843" s="2" t="s">
        <v>26</v>
      </c>
      <c r="G843" s="2" t="s">
        <v>26</v>
      </c>
      <c r="H843" s="2" t="s">
        <v>27</v>
      </c>
      <c r="I843" s="2" t="s">
        <v>28</v>
      </c>
      <c r="J843" s="6"/>
      <c r="K843" s="2" t="s">
        <v>55</v>
      </c>
      <c r="L843" s="2" t="s">
        <v>56</v>
      </c>
      <c r="M843" s="2" t="s">
        <v>55</v>
      </c>
      <c r="N843" s="2"/>
      <c r="O843" s="2"/>
      <c r="P843" s="6" t="s">
        <v>57</v>
      </c>
      <c r="Q843" s="6" t="s">
        <v>57</v>
      </c>
      <c r="R843" s="9">
        <v>0</v>
      </c>
      <c r="S843" s="2" t="s">
        <v>2941</v>
      </c>
      <c r="T843" s="9">
        <v>0</v>
      </c>
      <c r="U843" s="9">
        <v>1</v>
      </c>
      <c r="V843" s="9">
        <v>14</v>
      </c>
      <c r="W843" s="9">
        <v>5</v>
      </c>
      <c r="X843" s="9">
        <v>5</v>
      </c>
      <c r="Y843" s="9">
        <v>4</v>
      </c>
      <c r="Z843" s="9">
        <v>4</v>
      </c>
      <c r="AA843" s="9">
        <v>4</v>
      </c>
      <c r="AB843" s="9">
        <v>1</v>
      </c>
      <c r="AC843" s="9">
        <v>15</v>
      </c>
      <c r="AD843" s="9">
        <v>9</v>
      </c>
      <c r="AE843" s="6" t="s">
        <v>57</v>
      </c>
      <c r="AF843" s="6" t="s">
        <v>57</v>
      </c>
      <c r="AG843" s="6" t="s">
        <v>57</v>
      </c>
      <c r="AH843" s="6" t="s">
        <v>57</v>
      </c>
      <c r="AI843" s="6" t="s">
        <v>57</v>
      </c>
      <c r="AJ843" s="6" t="s">
        <v>57</v>
      </c>
      <c r="AK843" s="6" t="s">
        <v>57</v>
      </c>
      <c r="AL843" s="6" t="s">
        <v>57</v>
      </c>
      <c r="AM843" s="6" t="s">
        <v>57</v>
      </c>
      <c r="AN843" s="6" t="s">
        <v>57</v>
      </c>
      <c r="AO843" s="6" t="s">
        <v>57</v>
      </c>
      <c r="AP843" s="6" t="s">
        <v>57</v>
      </c>
      <c r="AQ843" s="9">
        <v>0</v>
      </c>
    </row>
    <row r="844" spans="1:43" ht="15">
      <c r="A844" s="2" t="s">
        <v>2942</v>
      </c>
      <c r="B844" s="5">
        <v>119993508</v>
      </c>
      <c r="C844" s="2" t="s">
        <v>23</v>
      </c>
      <c r="D844" s="2" t="s">
        <v>2943</v>
      </c>
      <c r="E844" s="2" t="s">
        <v>2944</v>
      </c>
      <c r="F844" s="2" t="s">
        <v>26</v>
      </c>
      <c r="G844" s="2" t="s">
        <v>26</v>
      </c>
      <c r="H844" s="2" t="s">
        <v>27</v>
      </c>
      <c r="I844" s="2" t="s">
        <v>28</v>
      </c>
      <c r="J844" s="6"/>
      <c r="K844" s="2" t="s">
        <v>55</v>
      </c>
      <c r="L844" s="2" t="s">
        <v>56</v>
      </c>
      <c r="M844" s="2" t="s">
        <v>55</v>
      </c>
      <c r="N844" s="2"/>
      <c r="O844" s="2"/>
      <c r="P844" s="6" t="s">
        <v>57</v>
      </c>
      <c r="Q844" s="6" t="s">
        <v>57</v>
      </c>
      <c r="R844" s="9">
        <v>0</v>
      </c>
      <c r="S844" s="2"/>
      <c r="T844" s="9">
        <v>0</v>
      </c>
      <c r="U844" s="9">
        <v>4</v>
      </c>
      <c r="V844" s="9">
        <v>537</v>
      </c>
      <c r="W844" s="9">
        <v>173</v>
      </c>
      <c r="X844" s="9">
        <v>173</v>
      </c>
      <c r="Y844" s="9">
        <v>174</v>
      </c>
      <c r="Z844" s="9">
        <v>174</v>
      </c>
      <c r="AA844" s="9">
        <v>174</v>
      </c>
      <c r="AB844" s="9">
        <v>5</v>
      </c>
      <c r="AC844" s="9">
        <v>563</v>
      </c>
      <c r="AD844" s="9">
        <v>279</v>
      </c>
      <c r="AE844" s="6" t="s">
        <v>57</v>
      </c>
      <c r="AF844" s="6" t="s">
        <v>57</v>
      </c>
      <c r="AG844" s="6" t="s">
        <v>57</v>
      </c>
      <c r="AH844" s="6" t="s">
        <v>57</v>
      </c>
      <c r="AI844" s="6" t="s">
        <v>57</v>
      </c>
      <c r="AJ844" s="6" t="s">
        <v>57</v>
      </c>
      <c r="AK844" s="6" t="s">
        <v>57</v>
      </c>
      <c r="AL844" s="6" t="s">
        <v>57</v>
      </c>
      <c r="AM844" s="6" t="s">
        <v>57</v>
      </c>
      <c r="AN844" s="6" t="s">
        <v>57</v>
      </c>
      <c r="AO844" s="6" t="s">
        <v>57</v>
      </c>
      <c r="AP844" s="6" t="s">
        <v>57</v>
      </c>
      <c r="AQ844" s="9">
        <v>0</v>
      </c>
    </row>
    <row r="845" spans="1:43" ht="15">
      <c r="A845" s="2" t="s">
        <v>2945</v>
      </c>
      <c r="B845" s="5">
        <v>28954484</v>
      </c>
      <c r="C845" s="2" t="s">
        <v>23</v>
      </c>
      <c r="D845" s="2" t="s">
        <v>2946</v>
      </c>
      <c r="E845" s="2" t="s">
        <v>2947</v>
      </c>
      <c r="F845" s="2" t="s">
        <v>26</v>
      </c>
      <c r="G845" s="2" t="s">
        <v>26</v>
      </c>
      <c r="H845" s="2" t="s">
        <v>27</v>
      </c>
      <c r="I845" s="2" t="s">
        <v>28</v>
      </c>
      <c r="J845" s="6"/>
      <c r="K845" s="2" t="s">
        <v>55</v>
      </c>
      <c r="L845" s="2" t="s">
        <v>56</v>
      </c>
      <c r="M845" s="2" t="s">
        <v>55</v>
      </c>
      <c r="N845" s="2"/>
      <c r="O845" s="2"/>
      <c r="P845" s="6" t="s">
        <v>57</v>
      </c>
      <c r="Q845" s="6" t="s">
        <v>57</v>
      </c>
      <c r="R845" s="9">
        <v>0</v>
      </c>
      <c r="S845" s="2"/>
      <c r="T845" s="9">
        <v>98</v>
      </c>
      <c r="U845" s="9">
        <v>954</v>
      </c>
      <c r="V845" s="9">
        <v>546</v>
      </c>
      <c r="W845" s="9">
        <v>307</v>
      </c>
      <c r="X845" s="9">
        <v>306</v>
      </c>
      <c r="Y845" s="9">
        <v>301</v>
      </c>
      <c r="Z845" s="9">
        <v>1598</v>
      </c>
      <c r="AA845" s="9">
        <v>1154</v>
      </c>
      <c r="AB845" s="9">
        <v>1091</v>
      </c>
      <c r="AC845" s="9">
        <v>573</v>
      </c>
      <c r="AD845" s="9">
        <v>392</v>
      </c>
      <c r="AE845" s="6" t="s">
        <v>57</v>
      </c>
      <c r="AF845" s="6" t="s">
        <v>57</v>
      </c>
      <c r="AG845" s="6" t="s">
        <v>57</v>
      </c>
      <c r="AH845" s="6" t="s">
        <v>57</v>
      </c>
      <c r="AI845" s="6" t="s">
        <v>57</v>
      </c>
      <c r="AJ845" s="6" t="s">
        <v>57</v>
      </c>
      <c r="AK845" s="6" t="s">
        <v>57</v>
      </c>
      <c r="AL845" s="6" t="s">
        <v>57</v>
      </c>
      <c r="AM845" s="6" t="s">
        <v>57</v>
      </c>
      <c r="AN845" s="6" t="s">
        <v>57</v>
      </c>
      <c r="AO845" s="6" t="s">
        <v>57</v>
      </c>
      <c r="AP845" s="6" t="s">
        <v>57</v>
      </c>
      <c r="AQ845" s="9">
        <v>0</v>
      </c>
    </row>
    <row r="846" spans="1:43" ht="15">
      <c r="A846" s="2" t="s">
        <v>2948</v>
      </c>
      <c r="B846" s="5">
        <v>114783507</v>
      </c>
      <c r="C846" s="2" t="s">
        <v>23</v>
      </c>
      <c r="D846" s="2" t="s">
        <v>2949</v>
      </c>
      <c r="E846" s="2" t="s">
        <v>2950</v>
      </c>
      <c r="F846" s="2" t="s">
        <v>26</v>
      </c>
      <c r="G846" s="2" t="s">
        <v>26</v>
      </c>
      <c r="H846" s="2" t="s">
        <v>27</v>
      </c>
      <c r="I846" s="2" t="s">
        <v>28</v>
      </c>
      <c r="J846" s="6"/>
      <c r="K846" s="2" t="s">
        <v>55</v>
      </c>
      <c r="L846" s="2" t="s">
        <v>56</v>
      </c>
      <c r="M846" s="2" t="s">
        <v>55</v>
      </c>
      <c r="N846" s="2"/>
      <c r="O846" s="2"/>
      <c r="P846" s="6" t="s">
        <v>57</v>
      </c>
      <c r="Q846" s="6" t="s">
        <v>57</v>
      </c>
      <c r="R846" s="9">
        <v>220</v>
      </c>
      <c r="S846" s="2"/>
      <c r="T846" s="9">
        <v>73</v>
      </c>
      <c r="U846" s="9">
        <v>112</v>
      </c>
      <c r="V846" s="9">
        <v>42</v>
      </c>
      <c r="W846" s="9">
        <v>89</v>
      </c>
      <c r="X846" s="9">
        <v>89</v>
      </c>
      <c r="Y846" s="9">
        <v>71</v>
      </c>
      <c r="Z846" s="9">
        <v>71</v>
      </c>
      <c r="AA846" s="9">
        <v>71</v>
      </c>
      <c r="AB846" s="9">
        <v>128</v>
      </c>
      <c r="AC846" s="9">
        <v>44</v>
      </c>
      <c r="AD846" s="9">
        <v>22</v>
      </c>
      <c r="AE846" s="6" t="s">
        <v>57</v>
      </c>
      <c r="AF846" s="6" t="s">
        <v>57</v>
      </c>
      <c r="AG846" s="6" t="s">
        <v>57</v>
      </c>
      <c r="AH846" s="6" t="s">
        <v>57</v>
      </c>
      <c r="AI846" s="6" t="s">
        <v>57</v>
      </c>
      <c r="AJ846" s="6" t="s">
        <v>57</v>
      </c>
      <c r="AK846" s="6" t="s">
        <v>57</v>
      </c>
      <c r="AL846" s="6" t="s">
        <v>57</v>
      </c>
      <c r="AM846" s="6" t="s">
        <v>57</v>
      </c>
      <c r="AN846" s="6" t="s">
        <v>57</v>
      </c>
      <c r="AO846" s="6" t="s">
        <v>57</v>
      </c>
      <c r="AP846" s="6" t="s">
        <v>57</v>
      </c>
      <c r="AQ846" s="9">
        <v>0</v>
      </c>
    </row>
    <row r="847" spans="1:43" ht="15">
      <c r="A847" s="2" t="s">
        <v>2951</v>
      </c>
      <c r="B847" s="5">
        <v>119064304</v>
      </c>
      <c r="C847" s="2" t="s">
        <v>23</v>
      </c>
      <c r="D847" s="2" t="s">
        <v>2952</v>
      </c>
      <c r="E847" s="2" t="s">
        <v>2953</v>
      </c>
      <c r="F847" s="2" t="s">
        <v>26</v>
      </c>
      <c r="G847" s="2" t="s">
        <v>26</v>
      </c>
      <c r="H847" s="2" t="s">
        <v>27</v>
      </c>
      <c r="I847" s="2" t="s">
        <v>28</v>
      </c>
      <c r="J847" s="6"/>
      <c r="K847" s="2" t="s">
        <v>55</v>
      </c>
      <c r="L847" s="2" t="s">
        <v>56</v>
      </c>
      <c r="M847" s="2" t="s">
        <v>55</v>
      </c>
      <c r="N847" s="2"/>
      <c r="O847" s="2"/>
      <c r="P847" s="6" t="s">
        <v>57</v>
      </c>
      <c r="Q847" s="6" t="s">
        <v>57</v>
      </c>
      <c r="R847" s="9">
        <v>0</v>
      </c>
      <c r="S847" s="2"/>
      <c r="T847" s="9">
        <v>0</v>
      </c>
      <c r="U847" s="9">
        <v>0</v>
      </c>
      <c r="V847" s="9">
        <v>0</v>
      </c>
      <c r="W847" s="9">
        <v>3</v>
      </c>
      <c r="X847" s="9">
        <v>3</v>
      </c>
      <c r="Y847" s="9">
        <v>3</v>
      </c>
      <c r="Z847" s="9">
        <v>3</v>
      </c>
      <c r="AA847" s="9">
        <v>3</v>
      </c>
      <c r="AB847" s="9">
        <v>0</v>
      </c>
      <c r="AC847" s="9">
        <v>0</v>
      </c>
      <c r="AD847" s="9">
        <v>0</v>
      </c>
      <c r="AE847" s="6" t="s">
        <v>57</v>
      </c>
      <c r="AF847" s="6" t="s">
        <v>57</v>
      </c>
      <c r="AG847" s="6" t="s">
        <v>57</v>
      </c>
      <c r="AH847" s="6" t="s">
        <v>57</v>
      </c>
      <c r="AI847" s="6" t="s">
        <v>57</v>
      </c>
      <c r="AJ847" s="6" t="s">
        <v>57</v>
      </c>
      <c r="AK847" s="6" t="s">
        <v>57</v>
      </c>
      <c r="AL847" s="6" t="s">
        <v>57</v>
      </c>
      <c r="AM847" s="6" t="s">
        <v>57</v>
      </c>
      <c r="AN847" s="6" t="s">
        <v>57</v>
      </c>
      <c r="AO847" s="6" t="s">
        <v>57</v>
      </c>
      <c r="AP847" s="6" t="s">
        <v>57</v>
      </c>
      <c r="AQ847" s="9">
        <v>0</v>
      </c>
    </row>
    <row r="848" spans="1:43" ht="15">
      <c r="A848" s="2" t="s">
        <v>2954</v>
      </c>
      <c r="B848" s="5">
        <v>5729630</v>
      </c>
      <c r="C848" s="2" t="s">
        <v>23</v>
      </c>
      <c r="D848" s="2" t="s">
        <v>2955</v>
      </c>
      <c r="E848" s="2" t="s">
        <v>2956</v>
      </c>
      <c r="F848" s="2" t="s">
        <v>26</v>
      </c>
      <c r="G848" s="2" t="s">
        <v>26</v>
      </c>
      <c r="H848" s="2" t="s">
        <v>27</v>
      </c>
      <c r="I848" s="2" t="s">
        <v>28</v>
      </c>
      <c r="J848" s="6"/>
      <c r="K848" s="2" t="s">
        <v>55</v>
      </c>
      <c r="L848" s="2" t="s">
        <v>56</v>
      </c>
      <c r="M848" s="2" t="s">
        <v>55</v>
      </c>
      <c r="N848" s="2"/>
      <c r="O848" s="2"/>
      <c r="P848" s="7">
        <v>171.41399788892599</v>
      </c>
      <c r="Q848" s="6" t="s">
        <v>57</v>
      </c>
      <c r="R848" s="9">
        <v>571</v>
      </c>
      <c r="S848" s="2" t="s">
        <v>2957</v>
      </c>
      <c r="T848" s="9">
        <v>656</v>
      </c>
      <c r="U848" s="9">
        <v>879</v>
      </c>
      <c r="V848" s="9">
        <v>534</v>
      </c>
      <c r="W848" s="9">
        <v>523</v>
      </c>
      <c r="X848" s="9">
        <v>521</v>
      </c>
      <c r="Y848" s="9">
        <v>926</v>
      </c>
      <c r="Z848" s="9">
        <v>912</v>
      </c>
      <c r="AA848" s="9">
        <v>1200</v>
      </c>
      <c r="AB848" s="9">
        <v>971</v>
      </c>
      <c r="AC848" s="9">
        <v>555</v>
      </c>
      <c r="AD848" s="9">
        <v>620</v>
      </c>
      <c r="AE848" s="6" t="s">
        <v>57</v>
      </c>
      <c r="AF848" s="6" t="s">
        <v>57</v>
      </c>
      <c r="AG848" s="6" t="s">
        <v>57</v>
      </c>
      <c r="AH848" s="6" t="s">
        <v>57</v>
      </c>
      <c r="AI848" s="6" t="s">
        <v>57</v>
      </c>
      <c r="AJ848" s="6" t="s">
        <v>57</v>
      </c>
      <c r="AK848" s="6" t="s">
        <v>57</v>
      </c>
      <c r="AL848" s="6" t="s">
        <v>57</v>
      </c>
      <c r="AM848" s="6" t="s">
        <v>57</v>
      </c>
      <c r="AN848" s="6" t="s">
        <v>57</v>
      </c>
      <c r="AO848" s="6" t="s">
        <v>57</v>
      </c>
      <c r="AP848" s="6" t="s">
        <v>57</v>
      </c>
      <c r="AQ848" s="9">
        <v>0</v>
      </c>
    </row>
    <row r="849" spans="1:43" ht="15">
      <c r="A849" s="2" t="s">
        <v>2958</v>
      </c>
      <c r="B849" s="5">
        <v>5735498</v>
      </c>
      <c r="C849" s="2" t="s">
        <v>23</v>
      </c>
      <c r="D849" s="2" t="s">
        <v>2959</v>
      </c>
      <c r="E849" s="2" t="s">
        <v>2960</v>
      </c>
      <c r="F849" s="2" t="s">
        <v>26</v>
      </c>
      <c r="G849" s="2" t="s">
        <v>26</v>
      </c>
      <c r="H849" s="2" t="s">
        <v>27</v>
      </c>
      <c r="I849" s="2" t="s">
        <v>28</v>
      </c>
      <c r="J849" s="6"/>
      <c r="K849" s="2" t="s">
        <v>55</v>
      </c>
      <c r="L849" s="2" t="s">
        <v>56</v>
      </c>
      <c r="M849" s="2" t="s">
        <v>55</v>
      </c>
      <c r="N849" s="2"/>
      <c r="O849" s="2"/>
      <c r="P849" s="6" t="s">
        <v>57</v>
      </c>
      <c r="Q849" s="6" t="s">
        <v>57</v>
      </c>
      <c r="R849" s="9">
        <v>0</v>
      </c>
      <c r="S849" s="2" t="s">
        <v>2961</v>
      </c>
      <c r="T849" s="9">
        <v>0</v>
      </c>
      <c r="U849" s="9">
        <v>0</v>
      </c>
      <c r="V849" s="9">
        <v>0</v>
      </c>
      <c r="W849" s="9">
        <v>0</v>
      </c>
      <c r="X849" s="9">
        <v>0</v>
      </c>
      <c r="Y849" s="9">
        <v>0</v>
      </c>
      <c r="Z849" s="9">
        <v>0</v>
      </c>
      <c r="AA849" s="9">
        <v>0</v>
      </c>
      <c r="AB849" s="9">
        <v>0</v>
      </c>
      <c r="AC849" s="9">
        <v>0</v>
      </c>
      <c r="AD849" s="9">
        <v>0</v>
      </c>
      <c r="AE849" s="6" t="s">
        <v>57</v>
      </c>
      <c r="AF849" s="6" t="s">
        <v>57</v>
      </c>
      <c r="AG849" s="6" t="s">
        <v>57</v>
      </c>
      <c r="AH849" s="6" t="s">
        <v>57</v>
      </c>
      <c r="AI849" s="6" t="s">
        <v>57</v>
      </c>
      <c r="AJ849" s="6" t="s">
        <v>57</v>
      </c>
      <c r="AK849" s="6" t="s">
        <v>57</v>
      </c>
      <c r="AL849" s="6" t="s">
        <v>57</v>
      </c>
      <c r="AM849" s="6" t="s">
        <v>57</v>
      </c>
      <c r="AN849" s="6" t="s">
        <v>57</v>
      </c>
      <c r="AO849" s="6" t="s">
        <v>57</v>
      </c>
      <c r="AP849" s="6" t="s">
        <v>57</v>
      </c>
      <c r="AQ849" s="9">
        <v>0</v>
      </c>
    </row>
    <row r="850" spans="1:43" ht="15">
      <c r="A850" s="2" t="s">
        <v>2962</v>
      </c>
      <c r="B850" s="5">
        <v>5736288</v>
      </c>
      <c r="C850" s="2" t="s">
        <v>23</v>
      </c>
      <c r="D850" s="2" t="s">
        <v>2963</v>
      </c>
      <c r="E850" s="2" t="s">
        <v>2964</v>
      </c>
      <c r="F850" s="2" t="s">
        <v>26</v>
      </c>
      <c r="G850" s="2" t="s">
        <v>26</v>
      </c>
      <c r="H850" s="2" t="s">
        <v>27</v>
      </c>
      <c r="I850" s="2" t="s">
        <v>28</v>
      </c>
      <c r="J850" s="6"/>
      <c r="K850" s="2" t="s">
        <v>55</v>
      </c>
      <c r="L850" s="2" t="s">
        <v>56</v>
      </c>
      <c r="M850" s="2" t="s">
        <v>55</v>
      </c>
      <c r="N850" s="2"/>
      <c r="O850" s="2"/>
      <c r="P850" s="7">
        <v>264.678105049338</v>
      </c>
      <c r="Q850" s="6" t="s">
        <v>57</v>
      </c>
      <c r="R850" s="9">
        <v>18515</v>
      </c>
      <c r="S850" s="2" t="s">
        <v>2965</v>
      </c>
      <c r="T850" s="9">
        <v>8690</v>
      </c>
      <c r="U850" s="9">
        <v>6742</v>
      </c>
      <c r="V850" s="9">
        <v>7661</v>
      </c>
      <c r="W850" s="9">
        <v>9137</v>
      </c>
      <c r="X850" s="9">
        <v>9100</v>
      </c>
      <c r="Y850" s="9">
        <v>6333</v>
      </c>
      <c r="Z850" s="9">
        <v>5014</v>
      </c>
      <c r="AA850" s="9">
        <v>3740</v>
      </c>
      <c r="AB850" s="9">
        <v>6847</v>
      </c>
      <c r="AC850" s="9">
        <v>7657</v>
      </c>
      <c r="AD850" s="9">
        <v>10983</v>
      </c>
      <c r="AE850" s="6" t="s">
        <v>57</v>
      </c>
      <c r="AF850" s="6" t="s">
        <v>57</v>
      </c>
      <c r="AG850" s="6" t="s">
        <v>57</v>
      </c>
      <c r="AH850" s="6" t="s">
        <v>57</v>
      </c>
      <c r="AI850" s="6" t="s">
        <v>57</v>
      </c>
      <c r="AJ850" s="6" t="s">
        <v>57</v>
      </c>
      <c r="AK850" s="6" t="s">
        <v>57</v>
      </c>
      <c r="AL850" s="6" t="s">
        <v>57</v>
      </c>
      <c r="AM850" s="6" t="s">
        <v>57</v>
      </c>
      <c r="AN850" s="6" t="s">
        <v>57</v>
      </c>
      <c r="AO850" s="6" t="s">
        <v>57</v>
      </c>
      <c r="AP850" s="6" t="s">
        <v>57</v>
      </c>
      <c r="AQ850" s="9">
        <v>5585</v>
      </c>
    </row>
    <row r="851" spans="1:43" ht="15">
      <c r="A851" s="2" t="s">
        <v>2966</v>
      </c>
      <c r="B851" s="5">
        <v>5735491</v>
      </c>
      <c r="C851" s="2" t="s">
        <v>23</v>
      </c>
      <c r="D851" s="2" t="s">
        <v>2967</v>
      </c>
      <c r="E851" s="2" t="s">
        <v>2968</v>
      </c>
      <c r="F851" s="2" t="s">
        <v>26</v>
      </c>
      <c r="G851" s="2" t="s">
        <v>26</v>
      </c>
      <c r="H851" s="2" t="s">
        <v>27</v>
      </c>
      <c r="I851" s="2" t="s">
        <v>28</v>
      </c>
      <c r="J851" s="6"/>
      <c r="K851" s="2" t="s">
        <v>55</v>
      </c>
      <c r="L851" s="2" t="s">
        <v>56</v>
      </c>
      <c r="M851" s="2" t="s">
        <v>55</v>
      </c>
      <c r="N851" s="2"/>
      <c r="O851" s="2"/>
      <c r="P851" s="6" t="s">
        <v>57</v>
      </c>
      <c r="Q851" s="6" t="s">
        <v>57</v>
      </c>
      <c r="R851" s="9">
        <v>0</v>
      </c>
      <c r="S851" s="2" t="s">
        <v>2969</v>
      </c>
      <c r="T851" s="9">
        <v>7</v>
      </c>
      <c r="U851" s="9">
        <v>8</v>
      </c>
      <c r="V851" s="9">
        <v>7</v>
      </c>
      <c r="W851" s="9">
        <v>4</v>
      </c>
      <c r="X851" s="9">
        <v>4</v>
      </c>
      <c r="Y851" s="9">
        <v>7</v>
      </c>
      <c r="Z851" s="9">
        <v>9</v>
      </c>
      <c r="AA851" s="9">
        <v>22</v>
      </c>
      <c r="AB851" s="9">
        <v>7</v>
      </c>
      <c r="AC851" s="9">
        <v>7</v>
      </c>
      <c r="AD851" s="9">
        <v>5</v>
      </c>
      <c r="AE851" s="6" t="s">
        <v>57</v>
      </c>
      <c r="AF851" s="6" t="s">
        <v>57</v>
      </c>
      <c r="AG851" s="6" t="s">
        <v>57</v>
      </c>
      <c r="AH851" s="6" t="s">
        <v>57</v>
      </c>
      <c r="AI851" s="6" t="s">
        <v>57</v>
      </c>
      <c r="AJ851" s="6" t="s">
        <v>57</v>
      </c>
      <c r="AK851" s="6" t="s">
        <v>57</v>
      </c>
      <c r="AL851" s="6" t="s">
        <v>57</v>
      </c>
      <c r="AM851" s="6" t="s">
        <v>57</v>
      </c>
      <c r="AN851" s="6" t="s">
        <v>57</v>
      </c>
      <c r="AO851" s="6" t="s">
        <v>57</v>
      </c>
      <c r="AP851" s="6" t="s">
        <v>57</v>
      </c>
      <c r="AQ851" s="9">
        <v>0</v>
      </c>
    </row>
    <row r="852" spans="1:43" ht="15">
      <c r="A852" s="2" t="s">
        <v>2970</v>
      </c>
      <c r="B852" s="5">
        <v>114254148</v>
      </c>
      <c r="C852" s="2" t="s">
        <v>23</v>
      </c>
      <c r="D852" s="2" t="s">
        <v>2971</v>
      </c>
      <c r="E852" s="2" t="s">
        <v>2972</v>
      </c>
      <c r="F852" s="2" t="s">
        <v>26</v>
      </c>
      <c r="G852" s="2" t="s">
        <v>26</v>
      </c>
      <c r="H852" s="2" t="s">
        <v>27</v>
      </c>
      <c r="I852" s="2" t="s">
        <v>28</v>
      </c>
      <c r="J852" s="6"/>
      <c r="K852" s="2" t="s">
        <v>55</v>
      </c>
      <c r="L852" s="2" t="s">
        <v>56</v>
      </c>
      <c r="M852" s="2" t="s">
        <v>55</v>
      </c>
      <c r="N852" s="2"/>
      <c r="O852" s="2"/>
      <c r="P852" s="6" t="s">
        <v>57</v>
      </c>
      <c r="Q852" s="6" t="s">
        <v>57</v>
      </c>
      <c r="R852" s="9">
        <v>0</v>
      </c>
      <c r="S852" s="2"/>
      <c r="T852" s="9">
        <v>0</v>
      </c>
      <c r="U852" s="9">
        <v>143</v>
      </c>
      <c r="V852" s="9">
        <v>60</v>
      </c>
      <c r="W852" s="9">
        <v>96</v>
      </c>
      <c r="X852" s="9">
        <v>96</v>
      </c>
      <c r="Y852" s="9">
        <v>162</v>
      </c>
      <c r="Z852" s="9">
        <v>190</v>
      </c>
      <c r="AA852" s="9">
        <v>190</v>
      </c>
      <c r="AB852" s="9">
        <v>164</v>
      </c>
      <c r="AC852" s="9">
        <v>60</v>
      </c>
      <c r="AD852" s="9">
        <v>116</v>
      </c>
      <c r="AE852" s="6" t="s">
        <v>57</v>
      </c>
      <c r="AF852" s="6" t="s">
        <v>57</v>
      </c>
      <c r="AG852" s="6" t="s">
        <v>57</v>
      </c>
      <c r="AH852" s="6" t="s">
        <v>57</v>
      </c>
      <c r="AI852" s="6" t="s">
        <v>57</v>
      </c>
      <c r="AJ852" s="6" t="s">
        <v>57</v>
      </c>
      <c r="AK852" s="6" t="s">
        <v>57</v>
      </c>
      <c r="AL852" s="6" t="s">
        <v>57</v>
      </c>
      <c r="AM852" s="6" t="s">
        <v>57</v>
      </c>
      <c r="AN852" s="6" t="s">
        <v>57</v>
      </c>
      <c r="AO852" s="6" t="s">
        <v>57</v>
      </c>
      <c r="AP852" s="6" t="s">
        <v>57</v>
      </c>
      <c r="AQ852" s="9">
        <v>0</v>
      </c>
    </row>
    <row r="853" spans="1:43" ht="15">
      <c r="A853" s="2" t="s">
        <v>2973</v>
      </c>
      <c r="B853" s="5">
        <v>6154885</v>
      </c>
      <c r="C853" s="2" t="s">
        <v>23</v>
      </c>
      <c r="D853" s="2" t="s">
        <v>2974</v>
      </c>
      <c r="E853" s="2" t="s">
        <v>2975</v>
      </c>
      <c r="F853" s="2" t="s">
        <v>26</v>
      </c>
      <c r="G853" s="2" t="s">
        <v>26</v>
      </c>
      <c r="H853" s="2" t="s">
        <v>27</v>
      </c>
      <c r="I853" s="2" t="s">
        <v>28</v>
      </c>
      <c r="J853" s="6"/>
      <c r="K853" s="2" t="s">
        <v>55</v>
      </c>
      <c r="L853" s="2" t="s">
        <v>56</v>
      </c>
      <c r="M853" s="2" t="s">
        <v>55</v>
      </c>
      <c r="N853" s="2"/>
      <c r="O853" s="2"/>
      <c r="P853" s="7">
        <v>129.27877898051</v>
      </c>
      <c r="Q853" s="6" t="s">
        <v>57</v>
      </c>
      <c r="R853" s="9">
        <v>0</v>
      </c>
      <c r="S853" s="2" t="s">
        <v>2976</v>
      </c>
      <c r="T853" s="9">
        <v>156</v>
      </c>
      <c r="U853" s="9">
        <v>210</v>
      </c>
      <c r="V853" s="9">
        <v>309</v>
      </c>
      <c r="W853" s="9">
        <v>297</v>
      </c>
      <c r="X853" s="9">
        <v>296</v>
      </c>
      <c r="Y853" s="9">
        <v>457</v>
      </c>
      <c r="Z853" s="9">
        <v>522</v>
      </c>
      <c r="AA853" s="9">
        <v>674</v>
      </c>
      <c r="AB853" s="9">
        <v>239</v>
      </c>
      <c r="AC853" s="9">
        <v>226</v>
      </c>
      <c r="AD853" s="9">
        <v>317</v>
      </c>
      <c r="AE853" s="6" t="s">
        <v>57</v>
      </c>
      <c r="AF853" s="6" t="s">
        <v>57</v>
      </c>
      <c r="AG853" s="6" t="s">
        <v>57</v>
      </c>
      <c r="AH853" s="6" t="s">
        <v>57</v>
      </c>
      <c r="AI853" s="6" t="s">
        <v>57</v>
      </c>
      <c r="AJ853" s="6" t="s">
        <v>57</v>
      </c>
      <c r="AK853" s="6" t="s">
        <v>57</v>
      </c>
      <c r="AL853" s="6" t="s">
        <v>57</v>
      </c>
      <c r="AM853" s="6" t="s">
        <v>57</v>
      </c>
      <c r="AN853" s="6" t="s">
        <v>57</v>
      </c>
      <c r="AO853" s="6" t="s">
        <v>57</v>
      </c>
      <c r="AP853" s="6" t="s">
        <v>57</v>
      </c>
      <c r="AQ853" s="9">
        <v>0</v>
      </c>
    </row>
    <row r="854" spans="1:43" ht="15">
      <c r="A854" s="2" t="s">
        <v>2977</v>
      </c>
      <c r="B854" s="5">
        <v>5736727</v>
      </c>
      <c r="C854" s="2" t="s">
        <v>23</v>
      </c>
      <c r="D854" s="2" t="s">
        <v>2978</v>
      </c>
      <c r="E854" s="2" t="s">
        <v>2979</v>
      </c>
      <c r="F854" s="2" t="s">
        <v>26</v>
      </c>
      <c r="G854" s="2" t="s">
        <v>26</v>
      </c>
      <c r="H854" s="2" t="s">
        <v>27</v>
      </c>
      <c r="I854" s="2" t="s">
        <v>28</v>
      </c>
      <c r="J854" s="6"/>
      <c r="K854" s="2" t="s">
        <v>55</v>
      </c>
      <c r="L854" s="2" t="s">
        <v>56</v>
      </c>
      <c r="M854" s="2" t="s">
        <v>55</v>
      </c>
      <c r="N854" s="2"/>
      <c r="O854" s="2"/>
      <c r="P854" s="7">
        <v>16.260390767879599</v>
      </c>
      <c r="Q854" s="6" t="s">
        <v>57</v>
      </c>
      <c r="R854" s="9">
        <v>0</v>
      </c>
      <c r="S854" s="2"/>
      <c r="T854" s="9">
        <v>0</v>
      </c>
      <c r="U854" s="9">
        <v>0</v>
      </c>
      <c r="V854" s="9">
        <v>0</v>
      </c>
      <c r="W854" s="9">
        <v>0</v>
      </c>
      <c r="X854" s="9">
        <v>0</v>
      </c>
      <c r="Y854" s="9">
        <v>3</v>
      </c>
      <c r="Z854" s="9">
        <v>5</v>
      </c>
      <c r="AA854" s="9">
        <v>4</v>
      </c>
      <c r="AB854" s="9">
        <v>0</v>
      </c>
      <c r="AC854" s="9">
        <v>0</v>
      </c>
      <c r="AD854" s="9">
        <v>0</v>
      </c>
      <c r="AE854" s="6" t="s">
        <v>57</v>
      </c>
      <c r="AF854" s="6" t="s">
        <v>57</v>
      </c>
      <c r="AG854" s="6" t="s">
        <v>57</v>
      </c>
      <c r="AH854" s="6" t="s">
        <v>57</v>
      </c>
      <c r="AI854" s="6" t="s">
        <v>57</v>
      </c>
      <c r="AJ854" s="6" t="s">
        <v>57</v>
      </c>
      <c r="AK854" s="6" t="s">
        <v>57</v>
      </c>
      <c r="AL854" s="6" t="s">
        <v>57</v>
      </c>
      <c r="AM854" s="6" t="s">
        <v>57</v>
      </c>
      <c r="AN854" s="6" t="s">
        <v>57</v>
      </c>
      <c r="AO854" s="6" t="s">
        <v>57</v>
      </c>
      <c r="AP854" s="6" t="s">
        <v>57</v>
      </c>
      <c r="AQ854" s="9">
        <v>0</v>
      </c>
    </row>
    <row r="855" spans="1:43" ht="15">
      <c r="A855" s="2" t="s">
        <v>2980</v>
      </c>
      <c r="B855" s="5">
        <v>4422810</v>
      </c>
      <c r="C855" s="2" t="s">
        <v>23</v>
      </c>
      <c r="D855" s="2" t="s">
        <v>2981</v>
      </c>
      <c r="E855" s="2" t="s">
        <v>2982</v>
      </c>
      <c r="F855" s="2" t="s">
        <v>26</v>
      </c>
      <c r="G855" s="2" t="s">
        <v>26</v>
      </c>
      <c r="H855" s="2" t="s">
        <v>27</v>
      </c>
      <c r="I855" s="2" t="s">
        <v>40</v>
      </c>
      <c r="J855" s="6"/>
      <c r="K855" s="2" t="s">
        <v>987</v>
      </c>
      <c r="L855" s="2" t="s">
        <v>42</v>
      </c>
      <c r="M855" s="2" t="s">
        <v>987</v>
      </c>
      <c r="N855" s="2"/>
      <c r="O855" s="2"/>
      <c r="P855" s="7">
        <v>205.98185516540599</v>
      </c>
      <c r="Q855" s="8">
        <v>306.05329980424</v>
      </c>
      <c r="R855" s="9">
        <v>0</v>
      </c>
      <c r="S855" s="2" t="s">
        <v>2983</v>
      </c>
      <c r="T855" s="9">
        <v>215396</v>
      </c>
      <c r="U855" s="9">
        <v>156287</v>
      </c>
      <c r="V855" s="9">
        <v>96850</v>
      </c>
      <c r="W855" s="9">
        <v>747580</v>
      </c>
      <c r="X855" s="9">
        <v>744590</v>
      </c>
      <c r="Y855" s="9">
        <v>574875</v>
      </c>
      <c r="Z855" s="9">
        <v>447049</v>
      </c>
      <c r="AA855" s="9">
        <v>356026</v>
      </c>
      <c r="AB855" s="9">
        <v>152804</v>
      </c>
      <c r="AC855" s="9">
        <v>92999</v>
      </c>
      <c r="AD855" s="9">
        <v>685295</v>
      </c>
      <c r="AE855" s="7">
        <v>0</v>
      </c>
      <c r="AF855" s="7">
        <v>0.00038538810751758302</v>
      </c>
      <c r="AG855" s="7">
        <v>0.00027962852260970098</v>
      </c>
      <c r="AH855" s="7">
        <v>0.00017328412872769899</v>
      </c>
      <c r="AI855" s="7">
        <v>0.0013375735144847301</v>
      </c>
      <c r="AJ855" s="7">
        <v>0.0013322232204267901</v>
      </c>
      <c r="AK855" s="7">
        <v>0.00102856816226821</v>
      </c>
      <c r="AL855" s="7">
        <v>0.00079986212119501196</v>
      </c>
      <c r="AM855" s="7">
        <v>0.00063700305607195396</v>
      </c>
      <c r="AN855" s="7">
        <v>0.00027339693603543002</v>
      </c>
      <c r="AO855" s="7">
        <v>0.000166393826703788</v>
      </c>
      <c r="AP855" s="7">
        <v>0.00122613216351403</v>
      </c>
      <c r="AQ855" s="9">
        <v>0</v>
      </c>
    </row>
    <row r="856" spans="1:43" ht="15">
      <c r="A856" s="2" t="s">
        <v>2984</v>
      </c>
      <c r="B856" s="5">
        <v>4403260</v>
      </c>
      <c r="C856" s="2" t="s">
        <v>46</v>
      </c>
      <c r="D856" s="2" t="s">
        <v>2985</v>
      </c>
      <c r="E856" s="2" t="s">
        <v>2986</v>
      </c>
      <c r="F856" s="2" t="s">
        <v>49</v>
      </c>
      <c r="G856" s="2" t="s">
        <v>49</v>
      </c>
      <c r="H856" s="2" t="s">
        <v>50</v>
      </c>
      <c r="I856" s="2" t="s">
        <v>40</v>
      </c>
      <c r="J856" s="6"/>
      <c r="K856" s="2" t="s">
        <v>226</v>
      </c>
      <c r="L856" s="2" t="s">
        <v>56</v>
      </c>
      <c r="M856" s="2" t="s">
        <v>227</v>
      </c>
      <c r="N856" s="2" t="s">
        <v>226</v>
      </c>
      <c r="O856" s="2"/>
      <c r="P856" s="7">
        <v>809.79335593417397</v>
      </c>
      <c r="Q856" s="6" t="s">
        <v>57</v>
      </c>
      <c r="R856" s="9">
        <v>0</v>
      </c>
      <c r="S856" s="2" t="s">
        <v>2987</v>
      </c>
      <c r="T856" s="9">
        <v>0</v>
      </c>
      <c r="U856" s="9">
        <v>0</v>
      </c>
      <c r="V856" s="9">
        <v>0</v>
      </c>
      <c r="W856" s="9">
        <v>0</v>
      </c>
      <c r="X856" s="9">
        <v>0</v>
      </c>
      <c r="Y856" s="9">
        <v>73</v>
      </c>
      <c r="Z856" s="9">
        <v>62</v>
      </c>
      <c r="AA856" s="9">
        <v>41</v>
      </c>
      <c r="AB856" s="9">
        <v>0</v>
      </c>
      <c r="AC856" s="9">
        <v>0</v>
      </c>
      <c r="AD856" s="9">
        <v>0</v>
      </c>
      <c r="AE856" s="7">
        <v>0</v>
      </c>
      <c r="AF856" s="7">
        <v>0</v>
      </c>
      <c r="AG856" s="7">
        <v>0</v>
      </c>
      <c r="AH856" s="7">
        <v>0</v>
      </c>
      <c r="AI856" s="7">
        <v>0</v>
      </c>
      <c r="AJ856" s="7">
        <v>0</v>
      </c>
      <c r="AK856" s="7">
        <v>1.9963252716473699E-05</v>
      </c>
      <c r="AL856" s="7">
        <v>1.6904212367547199E-05</v>
      </c>
      <c r="AM856" s="7">
        <v>1.1057354458680101E-05</v>
      </c>
      <c r="AN856" s="7">
        <v>0</v>
      </c>
      <c r="AO856" s="7">
        <v>0</v>
      </c>
      <c r="AP856" s="7">
        <v>0</v>
      </c>
      <c r="AQ856" s="9">
        <v>0</v>
      </c>
    </row>
    <row r="857" spans="1:43" ht="15">
      <c r="A857" s="2" t="s">
        <v>2988</v>
      </c>
      <c r="B857" s="5">
        <v>4912590</v>
      </c>
      <c r="C857" s="2" t="s">
        <v>46</v>
      </c>
      <c r="D857" s="2" t="s">
        <v>2989</v>
      </c>
      <c r="E857" s="2" t="s">
        <v>2990</v>
      </c>
      <c r="F857" s="2" t="s">
        <v>49</v>
      </c>
      <c r="G857" s="2" t="s">
        <v>49</v>
      </c>
      <c r="H857" s="2" t="s">
        <v>50</v>
      </c>
      <c r="I857" s="2" t="s">
        <v>28</v>
      </c>
      <c r="J857" s="6"/>
      <c r="K857" s="2" t="s">
        <v>1153</v>
      </c>
      <c r="L857" s="2" t="s">
        <v>30</v>
      </c>
      <c r="M857" s="2" t="s">
        <v>189</v>
      </c>
      <c r="N857" s="2" t="s">
        <v>1154</v>
      </c>
      <c r="O857" s="2" t="s">
        <v>1153</v>
      </c>
      <c r="P857" s="7">
        <v>61.332729297041901</v>
      </c>
      <c r="Q857" s="8">
        <v>139.71191608295899</v>
      </c>
      <c r="R857" s="9">
        <v>0</v>
      </c>
      <c r="S857" s="2" t="s">
        <v>2991</v>
      </c>
      <c r="T857" s="9">
        <v>0</v>
      </c>
      <c r="U857" s="9">
        <v>0</v>
      </c>
      <c r="V857" s="9">
        <v>127</v>
      </c>
      <c r="W857" s="9">
        <v>135</v>
      </c>
      <c r="X857" s="9">
        <v>135</v>
      </c>
      <c r="Y857" s="9">
        <v>318</v>
      </c>
      <c r="Z857" s="9">
        <v>237</v>
      </c>
      <c r="AA857" s="9">
        <v>292</v>
      </c>
      <c r="AB857" s="9">
        <v>0</v>
      </c>
      <c r="AC857" s="9">
        <v>133</v>
      </c>
      <c r="AD857" s="9">
        <v>217</v>
      </c>
      <c r="AE857" s="7">
        <v>0</v>
      </c>
      <c r="AF857" s="7">
        <v>0</v>
      </c>
      <c r="AG857" s="7">
        <v>0</v>
      </c>
      <c r="AH857" s="7">
        <v>0.0193942263531383</v>
      </c>
      <c r="AI857" s="7">
        <v>0.020665330726268</v>
      </c>
      <c r="AJ857" s="7">
        <v>0.0205826694033629</v>
      </c>
      <c r="AK857" s="7">
        <v>0.048648905283495698</v>
      </c>
      <c r="AL857" s="7">
        <v>0.0362570494018086</v>
      </c>
      <c r="AM857" s="7">
        <v>0.044556537487507</v>
      </c>
      <c r="AN857" s="7">
        <v>0</v>
      </c>
      <c r="AO857" s="7">
        <v>0.020348040763948399</v>
      </c>
      <c r="AP857" s="7">
        <v>0.033112589635758</v>
      </c>
      <c r="AQ857" s="9">
        <v>0</v>
      </c>
    </row>
    <row r="858" spans="1:43" ht="15">
      <c r="A858" s="2" t="s">
        <v>2992</v>
      </c>
      <c r="B858" s="5">
        <v>4352372</v>
      </c>
      <c r="C858" s="2" t="s">
        <v>46</v>
      </c>
      <c r="D858" s="2" t="s">
        <v>2993</v>
      </c>
      <c r="E858" s="2" t="s">
        <v>2994</v>
      </c>
      <c r="F858" s="2" t="s">
        <v>49</v>
      </c>
      <c r="G858" s="2" t="s">
        <v>2995</v>
      </c>
      <c r="H858" s="2" t="s">
        <v>2996</v>
      </c>
      <c r="I858" s="2" t="s">
        <v>28</v>
      </c>
      <c r="J858" s="10">
        <v>39184</v>
      </c>
      <c r="K858" s="2" t="s">
        <v>1134</v>
      </c>
      <c r="L858" s="2" t="s">
        <v>42</v>
      </c>
      <c r="M858" s="2" t="s">
        <v>43</v>
      </c>
      <c r="N858" s="2" t="s">
        <v>1134</v>
      </c>
      <c r="O858" s="2"/>
      <c r="P858" s="7">
        <v>3.0047553640000002</v>
      </c>
      <c r="Q858" s="8">
        <v>132.17575500000001</v>
      </c>
      <c r="R858" s="9">
        <v>0</v>
      </c>
      <c r="S858" s="2" t="s">
        <v>2997</v>
      </c>
      <c r="T858" s="9">
        <v>0</v>
      </c>
      <c r="U858" s="9">
        <v>0</v>
      </c>
      <c r="V858" s="9">
        <v>0</v>
      </c>
      <c r="W858" s="9">
        <v>0</v>
      </c>
      <c r="X858" s="9">
        <v>0</v>
      </c>
      <c r="Y858" s="9">
        <v>5766</v>
      </c>
      <c r="Z858" s="9">
        <v>11398</v>
      </c>
      <c r="AA858" s="9">
        <v>15157</v>
      </c>
      <c r="AB858" s="9">
        <v>0</v>
      </c>
      <c r="AC858" s="9">
        <v>0</v>
      </c>
      <c r="AD858" s="9">
        <v>0</v>
      </c>
      <c r="AE858" s="7">
        <v>0</v>
      </c>
      <c r="AF858" s="7">
        <v>0</v>
      </c>
      <c r="AG858" s="7">
        <v>0</v>
      </c>
      <c r="AH858" s="7">
        <v>0</v>
      </c>
      <c r="AI858" s="7">
        <v>0</v>
      </c>
      <c r="AJ858" s="7">
        <v>0</v>
      </c>
      <c r="AK858" s="7">
        <v>0.0124723570552638</v>
      </c>
      <c r="AL858" s="7">
        <v>0.024656037855067099</v>
      </c>
      <c r="AM858" s="7">
        <v>0.032789256014578397</v>
      </c>
      <c r="AN858" s="7">
        <v>0</v>
      </c>
      <c r="AO858" s="7">
        <v>0</v>
      </c>
      <c r="AP858" s="7">
        <v>0</v>
      </c>
      <c r="AQ858" s="9">
        <v>0</v>
      </c>
    </row>
    <row r="859" spans="1:43" ht="15">
      <c r="A859" s="2" t="s">
        <v>2998</v>
      </c>
      <c r="B859" s="5">
        <v>5000961</v>
      </c>
      <c r="C859" s="2" t="s">
        <v>23</v>
      </c>
      <c r="D859" s="2" t="s">
        <v>2999</v>
      </c>
      <c r="E859" s="2" t="s">
        <v>3000</v>
      </c>
      <c r="F859" s="2" t="s">
        <v>26</v>
      </c>
      <c r="G859" s="2" t="s">
        <v>26</v>
      </c>
      <c r="H859" s="2" t="s">
        <v>27</v>
      </c>
      <c r="I859" s="2" t="s">
        <v>28</v>
      </c>
      <c r="J859" s="6"/>
      <c r="K859" s="2" t="s">
        <v>1069</v>
      </c>
      <c r="L859" s="2" t="s">
        <v>217</v>
      </c>
      <c r="M859" s="2" t="s">
        <v>1069</v>
      </c>
      <c r="N859" s="2"/>
      <c r="O859" s="2"/>
      <c r="P859" s="7">
        <v>1456.5605</v>
      </c>
      <c r="Q859" s="8">
        <v>5220.9493763082901</v>
      </c>
      <c r="R859" s="9">
        <v>19058</v>
      </c>
      <c r="S859" s="2" t="s">
        <v>3001</v>
      </c>
      <c r="T859" s="9">
        <v>6881</v>
      </c>
      <c r="U859" s="9">
        <v>2743</v>
      </c>
      <c r="V859" s="9">
        <v>1589</v>
      </c>
      <c r="W859" s="9">
        <v>2690</v>
      </c>
      <c r="X859" s="9">
        <v>2681</v>
      </c>
      <c r="Y859" s="9">
        <v>1709</v>
      </c>
      <c r="Z859" s="9">
        <v>1803</v>
      </c>
      <c r="AA859" s="9">
        <v>1693</v>
      </c>
      <c r="AB859" s="9">
        <v>2279</v>
      </c>
      <c r="AC859" s="9">
        <v>1650</v>
      </c>
      <c r="AD859" s="9">
        <v>1441</v>
      </c>
      <c r="AE859" s="7">
        <v>0.076230000000000006</v>
      </c>
      <c r="AF859" s="7">
        <v>0.027523333333333299</v>
      </c>
      <c r="AG859" s="7">
        <v>0.0109731666666667</v>
      </c>
      <c r="AH859" s="7">
        <v>0.0063550000000000004</v>
      </c>
      <c r="AI859" s="7">
        <v>0.010759694779116501</v>
      </c>
      <c r="AJ859" s="7">
        <v>0.010724768000000001</v>
      </c>
      <c r="AK859" s="7">
        <v>0.0068369979879275601</v>
      </c>
      <c r="AL859" s="7">
        <v>0.0072108954423592501</v>
      </c>
      <c r="AM859" s="7">
        <v>0.0067714216867469897</v>
      </c>
      <c r="AN859" s="7">
        <v>0.0091142857142857102</v>
      </c>
      <c r="AO859" s="7">
        <v>0.0066008524590163899</v>
      </c>
      <c r="AP859" s="7">
        <v>0.0057632258064516098</v>
      </c>
      <c r="AQ859" s="9">
        <v>52</v>
      </c>
    </row>
    <row r="860" spans="1:43" ht="15">
      <c r="A860" s="2" t="s">
        <v>3002</v>
      </c>
      <c r="B860" s="5">
        <v>4352459</v>
      </c>
      <c r="C860" s="2" t="s">
        <v>35</v>
      </c>
      <c r="D860" s="2" t="s">
        <v>3003</v>
      </c>
      <c r="E860" s="2" t="s">
        <v>3004</v>
      </c>
      <c r="F860" s="2" t="s">
        <v>38</v>
      </c>
      <c r="G860" s="2" t="s">
        <v>38</v>
      </c>
      <c r="H860" s="2" t="s">
        <v>39</v>
      </c>
      <c r="I860" s="2" t="s">
        <v>40</v>
      </c>
      <c r="J860" s="10">
        <v>44519</v>
      </c>
      <c r="K860" s="2" t="s">
        <v>1134</v>
      </c>
      <c r="L860" s="2" t="s">
        <v>42</v>
      </c>
      <c r="M860" s="2" t="s">
        <v>43</v>
      </c>
      <c r="N860" s="2" t="s">
        <v>1134</v>
      </c>
      <c r="O860" s="2"/>
      <c r="P860" s="7">
        <v>1355.9933337423399</v>
      </c>
      <c r="Q860" s="8">
        <v>1345.9518995890801</v>
      </c>
      <c r="R860" s="9">
        <v>112012</v>
      </c>
      <c r="S860" s="2" t="s">
        <v>3005</v>
      </c>
      <c r="T860" s="9">
        <v>145132</v>
      </c>
      <c r="U860" s="9">
        <v>220023</v>
      </c>
      <c r="V860" s="9">
        <v>178167</v>
      </c>
      <c r="W860" s="9">
        <v>219535</v>
      </c>
      <c r="X860" s="9">
        <v>218718</v>
      </c>
      <c r="Y860" s="9">
        <v>207009</v>
      </c>
      <c r="Z860" s="9">
        <v>198523</v>
      </c>
      <c r="AA860" s="9">
        <v>162936</v>
      </c>
      <c r="AB860" s="9">
        <v>232047</v>
      </c>
      <c r="AC860" s="9">
        <v>179671</v>
      </c>
      <c r="AD860" s="9">
        <v>217426</v>
      </c>
      <c r="AE860" s="7">
        <v>0.18934901652092301</v>
      </c>
      <c r="AF860" s="7">
        <v>0.24533732220097501</v>
      </c>
      <c r="AG860" s="7">
        <v>0.37193664664655302</v>
      </c>
      <c r="AH860" s="7">
        <v>0.301181344444306</v>
      </c>
      <c r="AI860" s="7">
        <v>0.37111192470710502</v>
      </c>
      <c r="AJ860" s="7">
        <v>0.36973041493023201</v>
      </c>
      <c r="AK860" s="7">
        <v>0.34993625071449302</v>
      </c>
      <c r="AL860" s="7">
        <v>0.33559100655965501</v>
      </c>
      <c r="AM860" s="7">
        <v>0.27543437255175801</v>
      </c>
      <c r="AN860" s="7">
        <v>0.39226232278030299</v>
      </c>
      <c r="AO860" s="7">
        <v>0.30372340419312099</v>
      </c>
      <c r="AP860" s="7">
        <v>0.36754561468554398</v>
      </c>
      <c r="AQ860" s="9">
        <v>150520</v>
      </c>
    </row>
    <row r="861" spans="1:43" ht="15">
      <c r="A861" s="2" t="s">
        <v>3006</v>
      </c>
      <c r="B861" s="5">
        <v>4352501</v>
      </c>
      <c r="C861" s="2" t="s">
        <v>46</v>
      </c>
      <c r="D861" s="2" t="s">
        <v>3007</v>
      </c>
      <c r="E861" s="2" t="s">
        <v>3008</v>
      </c>
      <c r="F861" s="2" t="s">
        <v>49</v>
      </c>
      <c r="G861" s="2" t="s">
        <v>49</v>
      </c>
      <c r="H861" s="2" t="s">
        <v>50</v>
      </c>
      <c r="I861" s="2" t="s">
        <v>40</v>
      </c>
      <c r="J861" s="6"/>
      <c r="K861" s="2" t="s">
        <v>1139</v>
      </c>
      <c r="L861" s="2" t="s">
        <v>42</v>
      </c>
      <c r="M861" s="2" t="s">
        <v>43</v>
      </c>
      <c r="N861" s="2" t="s">
        <v>1139</v>
      </c>
      <c r="O861" s="2"/>
      <c r="P861" s="7">
        <v>5637.6387070577503</v>
      </c>
      <c r="Q861" s="8">
        <v>7081.5314261897702</v>
      </c>
      <c r="R861" s="9">
        <v>290536</v>
      </c>
      <c r="S861" s="2" t="s">
        <v>3009</v>
      </c>
      <c r="T861" s="9">
        <v>288413</v>
      </c>
      <c r="U861" s="9">
        <v>618590</v>
      </c>
      <c r="V861" s="9">
        <v>571832</v>
      </c>
      <c r="W861" s="9">
        <v>710727</v>
      </c>
      <c r="X861" s="9">
        <v>709002</v>
      </c>
      <c r="Y861" s="9">
        <v>474168</v>
      </c>
      <c r="Z861" s="9">
        <v>396686</v>
      </c>
      <c r="AA861" s="9">
        <v>399009</v>
      </c>
      <c r="AB861" s="9">
        <v>676584</v>
      </c>
      <c r="AC861" s="9">
        <v>562131</v>
      </c>
      <c r="AD861" s="9">
        <v>639229</v>
      </c>
      <c r="AE861" s="7">
        <v>0.15116324300066</v>
      </c>
      <c r="AF861" s="7">
        <v>0.15005892362051901</v>
      </c>
      <c r="AG861" s="7">
        <v>0.32184709786960197</v>
      </c>
      <c r="AH861" s="7">
        <v>0.29751948552165403</v>
      </c>
      <c r="AI861" s="7">
        <v>0.36978561307928498</v>
      </c>
      <c r="AJ861" s="7">
        <v>0.36888779891684498</v>
      </c>
      <c r="AK861" s="7">
        <v>0.246705906172238</v>
      </c>
      <c r="AL861" s="7">
        <v>0.20639249262974299</v>
      </c>
      <c r="AM861" s="7">
        <v>0.207601244086736</v>
      </c>
      <c r="AN861" s="7">
        <v>0.35202106870196298</v>
      </c>
      <c r="AO861" s="7">
        <v>0.29247204811834299</v>
      </c>
      <c r="AP861" s="7">
        <v>0.33258568458933102</v>
      </c>
      <c r="AQ861" s="9">
        <v>177336</v>
      </c>
    </row>
    <row r="862" spans="1:43" ht="15">
      <c r="A862" s="2" t="s">
        <v>3010</v>
      </c>
      <c r="B862" s="5">
        <v>4416433</v>
      </c>
      <c r="C862" s="2" t="s">
        <v>23</v>
      </c>
      <c r="D862" s="2" t="s">
        <v>3011</v>
      </c>
      <c r="E862" s="2" t="s">
        <v>3012</v>
      </c>
      <c r="F862" s="2" t="s">
        <v>26</v>
      </c>
      <c r="G862" s="2" t="s">
        <v>26</v>
      </c>
      <c r="H862" s="2" t="s">
        <v>27</v>
      </c>
      <c r="I862" s="2" t="s">
        <v>28</v>
      </c>
      <c r="J862" s="6"/>
      <c r="K862" s="2" t="s">
        <v>1139</v>
      </c>
      <c r="L862" s="2" t="s">
        <v>42</v>
      </c>
      <c r="M862" s="2" t="s">
        <v>43</v>
      </c>
      <c r="N862" s="2" t="s">
        <v>1139</v>
      </c>
      <c r="O862" s="2"/>
      <c r="P862" s="7">
        <v>1484.7539093033299</v>
      </c>
      <c r="Q862" s="8">
        <v>1932.5577888359201</v>
      </c>
      <c r="R862" s="9">
        <v>1338</v>
      </c>
      <c r="S862" s="2" t="s">
        <v>3013</v>
      </c>
      <c r="T862" s="9">
        <v>576</v>
      </c>
      <c r="U862" s="9">
        <v>3114</v>
      </c>
      <c r="V862" s="9">
        <v>2200</v>
      </c>
      <c r="W862" s="9">
        <v>2023</v>
      </c>
      <c r="X862" s="9">
        <v>2015</v>
      </c>
      <c r="Y862" s="9">
        <v>1289</v>
      </c>
      <c r="Z862" s="9">
        <v>1114</v>
      </c>
      <c r="AA862" s="9">
        <v>813</v>
      </c>
      <c r="AB862" s="9">
        <v>1613</v>
      </c>
      <c r="AC862" s="9">
        <v>2190</v>
      </c>
      <c r="AD862" s="9">
        <v>2831</v>
      </c>
      <c r="AE862" s="7">
        <v>0.0050282218018223596</v>
      </c>
      <c r="AF862" s="7">
        <v>0.00216417172629214</v>
      </c>
      <c r="AG862" s="7">
        <v>0.011708237961906899</v>
      </c>
      <c r="AH862" s="7">
        <v>0.0082690164867328907</v>
      </c>
      <c r="AI862" s="7">
        <v>0.0076061484487106503</v>
      </c>
      <c r="AJ862" s="7">
        <v>0.0075757238549158104</v>
      </c>
      <c r="AK862" s="7">
        <v>0.0048443166624902098</v>
      </c>
      <c r="AL862" s="7">
        <v>0.00418909547708478</v>
      </c>
      <c r="AM862" s="7">
        <v>0.0030556732059180899</v>
      </c>
      <c r="AN862" s="7">
        <v>0.0060623303283279901</v>
      </c>
      <c r="AO862" s="7">
        <v>0.0082330025317829993</v>
      </c>
      <c r="AP862" s="7">
        <v>0.0106410634469039</v>
      </c>
      <c r="AQ862" s="9">
        <v>2665</v>
      </c>
    </row>
    <row r="863" spans="1:43" ht="15">
      <c r="A863" s="2" t="s">
        <v>3014</v>
      </c>
      <c r="B863" s="5">
        <v>8960711</v>
      </c>
      <c r="C863" s="2" t="s">
        <v>23</v>
      </c>
      <c r="D863" s="2" t="s">
        <v>3015</v>
      </c>
      <c r="E863" s="2" t="s">
        <v>3016</v>
      </c>
      <c r="F863" s="2" t="s">
        <v>26</v>
      </c>
      <c r="G863" s="2" t="s">
        <v>26</v>
      </c>
      <c r="H863" s="2" t="s">
        <v>27</v>
      </c>
      <c r="I863" s="2" t="s">
        <v>28</v>
      </c>
      <c r="J863" s="6"/>
      <c r="K863" s="2" t="s">
        <v>55</v>
      </c>
      <c r="L863" s="2" t="s">
        <v>56</v>
      </c>
      <c r="M863" s="2" t="s">
        <v>55</v>
      </c>
      <c r="N863" s="2"/>
      <c r="O863" s="2"/>
      <c r="P863" s="7">
        <v>39.7120863469315</v>
      </c>
      <c r="Q863" s="6" t="s">
        <v>57</v>
      </c>
      <c r="R863" s="9">
        <v>0</v>
      </c>
      <c r="S863" s="2"/>
      <c r="T863" s="9">
        <v>0</v>
      </c>
      <c r="U863" s="9">
        <v>0</v>
      </c>
      <c r="V863" s="9">
        <v>0</v>
      </c>
      <c r="W863" s="9">
        <v>0</v>
      </c>
      <c r="X863" s="9">
        <v>0</v>
      </c>
      <c r="Y863" s="9">
        <v>0</v>
      </c>
      <c r="Z863" s="9">
        <v>50</v>
      </c>
      <c r="AA863" s="9">
        <v>491</v>
      </c>
      <c r="AB863" s="9">
        <v>0</v>
      </c>
      <c r="AC863" s="9">
        <v>0</v>
      </c>
      <c r="AD863" s="9">
        <v>0</v>
      </c>
      <c r="AE863" s="6" t="s">
        <v>57</v>
      </c>
      <c r="AF863" s="6" t="s">
        <v>57</v>
      </c>
      <c r="AG863" s="6" t="s">
        <v>57</v>
      </c>
      <c r="AH863" s="6" t="s">
        <v>57</v>
      </c>
      <c r="AI863" s="6" t="s">
        <v>57</v>
      </c>
      <c r="AJ863" s="6" t="s">
        <v>57</v>
      </c>
      <c r="AK863" s="6" t="s">
        <v>57</v>
      </c>
      <c r="AL863" s="6" t="s">
        <v>57</v>
      </c>
      <c r="AM863" s="6" t="s">
        <v>57</v>
      </c>
      <c r="AN863" s="6" t="s">
        <v>57</v>
      </c>
      <c r="AO863" s="6" t="s">
        <v>57</v>
      </c>
      <c r="AP863" s="6" t="s">
        <v>57</v>
      </c>
      <c r="AQ863" s="9">
        <v>0</v>
      </c>
    </row>
    <row r="864" spans="1:43" ht="15">
      <c r="A864" s="2" t="s">
        <v>3017</v>
      </c>
      <c r="B864" s="5">
        <v>26101192</v>
      </c>
      <c r="C864" s="2" t="s">
        <v>23</v>
      </c>
      <c r="D864" s="2" t="s">
        <v>3018</v>
      </c>
      <c r="E864" s="2" t="s">
        <v>3019</v>
      </c>
      <c r="F864" s="2" t="s">
        <v>26</v>
      </c>
      <c r="G864" s="2" t="s">
        <v>26</v>
      </c>
      <c r="H864" s="2" t="s">
        <v>27</v>
      </c>
      <c r="I864" s="2" t="s">
        <v>28</v>
      </c>
      <c r="J864" s="6"/>
      <c r="K864" s="2" t="s">
        <v>55</v>
      </c>
      <c r="L864" s="2" t="s">
        <v>56</v>
      </c>
      <c r="M864" s="2" t="s">
        <v>55</v>
      </c>
      <c r="N864" s="2"/>
      <c r="O864" s="2"/>
      <c r="P864" s="6" t="s">
        <v>57</v>
      </c>
      <c r="Q864" s="6" t="s">
        <v>57</v>
      </c>
      <c r="R864" s="9">
        <v>0</v>
      </c>
      <c r="S864" s="2"/>
      <c r="T864" s="9">
        <v>0</v>
      </c>
      <c r="U864" s="9">
        <v>0</v>
      </c>
      <c r="V864" s="9">
        <v>791</v>
      </c>
      <c r="W864" s="9">
        <v>1710</v>
      </c>
      <c r="X864" s="9">
        <v>1703</v>
      </c>
      <c r="Y864" s="9">
        <v>1550</v>
      </c>
      <c r="Z864" s="9">
        <v>2660</v>
      </c>
      <c r="AA864" s="9">
        <v>3567</v>
      </c>
      <c r="AB864" s="9">
        <v>0</v>
      </c>
      <c r="AC864" s="9">
        <v>0</v>
      </c>
      <c r="AD864" s="9">
        <v>408</v>
      </c>
      <c r="AE864" s="6" t="s">
        <v>57</v>
      </c>
      <c r="AF864" s="6" t="s">
        <v>57</v>
      </c>
      <c r="AG864" s="6" t="s">
        <v>57</v>
      </c>
      <c r="AH864" s="6" t="s">
        <v>57</v>
      </c>
      <c r="AI864" s="6" t="s">
        <v>57</v>
      </c>
      <c r="AJ864" s="6" t="s">
        <v>57</v>
      </c>
      <c r="AK864" s="6" t="s">
        <v>57</v>
      </c>
      <c r="AL864" s="6" t="s">
        <v>57</v>
      </c>
      <c r="AM864" s="6" t="s">
        <v>57</v>
      </c>
      <c r="AN864" s="6" t="s">
        <v>57</v>
      </c>
      <c r="AO864" s="6" t="s">
        <v>57</v>
      </c>
      <c r="AP864" s="6" t="s">
        <v>57</v>
      </c>
      <c r="AQ864" s="9">
        <v>0</v>
      </c>
    </row>
    <row r="865" spans="1:43" ht="15">
      <c r="A865" s="2" t="s">
        <v>3020</v>
      </c>
      <c r="B865" s="5">
        <v>6155922</v>
      </c>
      <c r="C865" s="2" t="s">
        <v>23</v>
      </c>
      <c r="D865" s="2" t="s">
        <v>3021</v>
      </c>
      <c r="E865" s="2" t="s">
        <v>3022</v>
      </c>
      <c r="F865" s="2" t="s">
        <v>26</v>
      </c>
      <c r="G865" s="2" t="s">
        <v>26</v>
      </c>
      <c r="H865" s="2" t="s">
        <v>27</v>
      </c>
      <c r="I865" s="2" t="s">
        <v>28</v>
      </c>
      <c r="J865" s="6"/>
      <c r="K865" s="2" t="s">
        <v>55</v>
      </c>
      <c r="L865" s="2" t="s">
        <v>56</v>
      </c>
      <c r="M865" s="2" t="s">
        <v>55</v>
      </c>
      <c r="N865" s="2"/>
      <c r="O865" s="2"/>
      <c r="P865" s="7">
        <v>209.71563668181699</v>
      </c>
      <c r="Q865" s="6" t="s">
        <v>57</v>
      </c>
      <c r="R865" s="9">
        <v>7298</v>
      </c>
      <c r="S865" s="2"/>
      <c r="T865" s="9">
        <v>49630</v>
      </c>
      <c r="U865" s="9">
        <v>40512</v>
      </c>
      <c r="V865" s="9">
        <v>36018</v>
      </c>
      <c r="W865" s="9">
        <v>42103</v>
      </c>
      <c r="X865" s="9">
        <v>41992</v>
      </c>
      <c r="Y865" s="9">
        <v>32533</v>
      </c>
      <c r="Z865" s="9">
        <v>29953</v>
      </c>
      <c r="AA865" s="9">
        <v>22919</v>
      </c>
      <c r="AB865" s="9">
        <v>41021</v>
      </c>
      <c r="AC865" s="9">
        <v>36807</v>
      </c>
      <c r="AD865" s="9">
        <v>42613</v>
      </c>
      <c r="AE865" s="6" t="s">
        <v>57</v>
      </c>
      <c r="AF865" s="6" t="s">
        <v>57</v>
      </c>
      <c r="AG865" s="6" t="s">
        <v>57</v>
      </c>
      <c r="AH865" s="6" t="s">
        <v>57</v>
      </c>
      <c r="AI865" s="6" t="s">
        <v>57</v>
      </c>
      <c r="AJ865" s="6" t="s">
        <v>57</v>
      </c>
      <c r="AK865" s="6" t="s">
        <v>57</v>
      </c>
      <c r="AL865" s="6" t="s">
        <v>57</v>
      </c>
      <c r="AM865" s="6" t="s">
        <v>57</v>
      </c>
      <c r="AN865" s="6" t="s">
        <v>57</v>
      </c>
      <c r="AO865" s="6" t="s">
        <v>57</v>
      </c>
      <c r="AP865" s="6" t="s">
        <v>57</v>
      </c>
      <c r="AQ865" s="9">
        <v>14596</v>
      </c>
    </row>
    <row r="866" spans="1:43" ht="15">
      <c r="A866" s="2" t="s">
        <v>3023</v>
      </c>
      <c r="B866" s="5">
        <v>5737984</v>
      </c>
      <c r="C866" s="2" t="s">
        <v>23</v>
      </c>
      <c r="D866" s="2" t="s">
        <v>3024</v>
      </c>
      <c r="E866" s="2" t="s">
        <v>3025</v>
      </c>
      <c r="F866" s="2" t="s">
        <v>26</v>
      </c>
      <c r="G866" s="2" t="s">
        <v>26</v>
      </c>
      <c r="H866" s="2" t="s">
        <v>27</v>
      </c>
      <c r="I866" s="2" t="s">
        <v>28</v>
      </c>
      <c r="J866" s="6"/>
      <c r="K866" s="2" t="s">
        <v>55</v>
      </c>
      <c r="L866" s="2" t="s">
        <v>56</v>
      </c>
      <c r="M866" s="2" t="s">
        <v>55</v>
      </c>
      <c r="N866" s="2"/>
      <c r="O866" s="2"/>
      <c r="P866" s="7">
        <v>9.6849109406224194</v>
      </c>
      <c r="Q866" s="6" t="s">
        <v>57</v>
      </c>
      <c r="R866" s="9">
        <v>0</v>
      </c>
      <c r="S866" s="2"/>
      <c r="T866" s="9">
        <v>0</v>
      </c>
      <c r="U866" s="9">
        <v>0</v>
      </c>
      <c r="V866" s="9">
        <v>0</v>
      </c>
      <c r="W866" s="9">
        <v>0</v>
      </c>
      <c r="X866" s="9">
        <v>0</v>
      </c>
      <c r="Y866" s="9">
        <v>8</v>
      </c>
      <c r="Z866" s="9">
        <v>18</v>
      </c>
      <c r="AA866" s="9">
        <v>11</v>
      </c>
      <c r="AB866" s="9">
        <v>0</v>
      </c>
      <c r="AC866" s="9">
        <v>0</v>
      </c>
      <c r="AD866" s="9">
        <v>1</v>
      </c>
      <c r="AE866" s="6" t="s">
        <v>57</v>
      </c>
      <c r="AF866" s="6" t="s">
        <v>57</v>
      </c>
      <c r="AG866" s="6" t="s">
        <v>57</v>
      </c>
      <c r="AH866" s="6" t="s">
        <v>57</v>
      </c>
      <c r="AI866" s="6" t="s">
        <v>57</v>
      </c>
      <c r="AJ866" s="6" t="s">
        <v>57</v>
      </c>
      <c r="AK866" s="6" t="s">
        <v>57</v>
      </c>
      <c r="AL866" s="6" t="s">
        <v>57</v>
      </c>
      <c r="AM866" s="6" t="s">
        <v>57</v>
      </c>
      <c r="AN866" s="6" t="s">
        <v>57</v>
      </c>
      <c r="AO866" s="6" t="s">
        <v>57</v>
      </c>
      <c r="AP866" s="6" t="s">
        <v>57</v>
      </c>
      <c r="AQ866" s="9">
        <v>0</v>
      </c>
    </row>
    <row r="867" spans="1:43" ht="15">
      <c r="A867" s="2" t="s">
        <v>3026</v>
      </c>
      <c r="B867" s="5">
        <v>5724347</v>
      </c>
      <c r="C867" s="2" t="s">
        <v>23</v>
      </c>
      <c r="D867" s="2" t="s">
        <v>3027</v>
      </c>
      <c r="E867" s="2" t="s">
        <v>3028</v>
      </c>
      <c r="F867" s="2" t="s">
        <v>26</v>
      </c>
      <c r="G867" s="2" t="s">
        <v>26</v>
      </c>
      <c r="H867" s="2" t="s">
        <v>27</v>
      </c>
      <c r="I867" s="2" t="s">
        <v>28</v>
      </c>
      <c r="J867" s="6"/>
      <c r="K867" s="2" t="s">
        <v>55</v>
      </c>
      <c r="L867" s="2" t="s">
        <v>56</v>
      </c>
      <c r="M867" s="2" t="s">
        <v>55</v>
      </c>
      <c r="N867" s="2"/>
      <c r="O867" s="2"/>
      <c r="P867" s="7">
        <v>786.81821276630399</v>
      </c>
      <c r="Q867" s="8">
        <v>-133.582601317328</v>
      </c>
      <c r="R867" s="9">
        <v>539</v>
      </c>
      <c r="S867" s="2" t="s">
        <v>3029</v>
      </c>
      <c r="T867" s="9">
        <v>1559</v>
      </c>
      <c r="U867" s="9">
        <v>722</v>
      </c>
      <c r="V867" s="9">
        <v>453</v>
      </c>
      <c r="W867" s="9">
        <v>462</v>
      </c>
      <c r="X867" s="9">
        <v>461</v>
      </c>
      <c r="Y867" s="9">
        <v>454</v>
      </c>
      <c r="Z867" s="9">
        <v>720</v>
      </c>
      <c r="AA867" s="9">
        <v>1128</v>
      </c>
      <c r="AB867" s="9">
        <v>781</v>
      </c>
      <c r="AC867" s="9">
        <v>453</v>
      </c>
      <c r="AD867" s="9">
        <v>519</v>
      </c>
      <c r="AE867" s="7">
        <v>0.073073108933075601</v>
      </c>
      <c r="AF867" s="7">
        <v>0.211507185002205</v>
      </c>
      <c r="AG867" s="7">
        <v>0.097996218200871801</v>
      </c>
      <c r="AH867" s="7">
        <v>0.061451889397845003</v>
      </c>
      <c r="AI867" s="7">
        <v>0.062675355379297901</v>
      </c>
      <c r="AJ867" s="7">
        <v>0.062557637517213202</v>
      </c>
      <c r="AK867" s="7">
        <v>0.061584007612620499</v>
      </c>
      <c r="AL867" s="7">
        <v>0.0976911110210536</v>
      </c>
      <c r="AM867" s="7">
        <v>0.15309305840708301</v>
      </c>
      <c r="AN867" s="7">
        <v>0.10604437287887</v>
      </c>
      <c r="AO867" s="7">
        <v>0.061457624564107298</v>
      </c>
      <c r="AP867" s="7">
        <v>0.070394177452736406</v>
      </c>
      <c r="AQ867" s="9">
        <v>480</v>
      </c>
    </row>
    <row r="868" spans="1:43" ht="15">
      <c r="A868" s="2" t="s">
        <v>3030</v>
      </c>
      <c r="B868" s="5">
        <v>5738162</v>
      </c>
      <c r="C868" s="2" t="s">
        <v>23</v>
      </c>
      <c r="D868" s="2" t="s">
        <v>3031</v>
      </c>
      <c r="E868" s="2" t="s">
        <v>3032</v>
      </c>
      <c r="F868" s="2" t="s">
        <v>26</v>
      </c>
      <c r="G868" s="2" t="s">
        <v>26</v>
      </c>
      <c r="H868" s="2" t="s">
        <v>27</v>
      </c>
      <c r="I868" s="2" t="s">
        <v>28</v>
      </c>
      <c r="J868" s="6"/>
      <c r="K868" s="2" t="s">
        <v>55</v>
      </c>
      <c r="L868" s="2" t="s">
        <v>56</v>
      </c>
      <c r="M868" s="2" t="s">
        <v>55</v>
      </c>
      <c r="N868" s="2"/>
      <c r="O868" s="2"/>
      <c r="P868" s="7">
        <v>18.481472452618</v>
      </c>
      <c r="Q868" s="6" t="s">
        <v>57</v>
      </c>
      <c r="R868" s="9">
        <v>0</v>
      </c>
      <c r="S868" s="2"/>
      <c r="T868" s="9">
        <v>0</v>
      </c>
      <c r="U868" s="9">
        <v>0</v>
      </c>
      <c r="V868" s="9">
        <v>0</v>
      </c>
      <c r="W868" s="9">
        <v>0</v>
      </c>
      <c r="X868" s="9">
        <v>0</v>
      </c>
      <c r="Y868" s="9">
        <v>0</v>
      </c>
      <c r="Z868" s="9">
        <v>0</v>
      </c>
      <c r="AA868" s="9">
        <v>0</v>
      </c>
      <c r="AB868" s="9">
        <v>0</v>
      </c>
      <c r="AC868" s="9">
        <v>0</v>
      </c>
      <c r="AD868" s="9">
        <v>0</v>
      </c>
      <c r="AE868" s="6" t="s">
        <v>57</v>
      </c>
      <c r="AF868" s="6" t="s">
        <v>57</v>
      </c>
      <c r="AG868" s="6" t="s">
        <v>57</v>
      </c>
      <c r="AH868" s="6" t="s">
        <v>57</v>
      </c>
      <c r="AI868" s="6" t="s">
        <v>57</v>
      </c>
      <c r="AJ868" s="6" t="s">
        <v>57</v>
      </c>
      <c r="AK868" s="6" t="s">
        <v>57</v>
      </c>
      <c r="AL868" s="6" t="s">
        <v>57</v>
      </c>
      <c r="AM868" s="6" t="s">
        <v>57</v>
      </c>
      <c r="AN868" s="6" t="s">
        <v>57</v>
      </c>
      <c r="AO868" s="6" t="s">
        <v>57</v>
      </c>
      <c r="AP868" s="6" t="s">
        <v>57</v>
      </c>
      <c r="AQ868" s="9">
        <v>0</v>
      </c>
    </row>
    <row r="869" spans="1:43" ht="15">
      <c r="A869" s="2" t="s">
        <v>3033</v>
      </c>
      <c r="B869" s="5">
        <v>5730749</v>
      </c>
      <c r="C869" s="2" t="s">
        <v>23</v>
      </c>
      <c r="D869" s="2" t="s">
        <v>3034</v>
      </c>
      <c r="E869" s="2" t="s">
        <v>3035</v>
      </c>
      <c r="F869" s="2" t="s">
        <v>26</v>
      </c>
      <c r="G869" s="2" t="s">
        <v>26</v>
      </c>
      <c r="H869" s="2" t="s">
        <v>27</v>
      </c>
      <c r="I869" s="2" t="s">
        <v>28</v>
      </c>
      <c r="J869" s="6"/>
      <c r="K869" s="2" t="s">
        <v>55</v>
      </c>
      <c r="L869" s="2" t="s">
        <v>56</v>
      </c>
      <c r="M869" s="2" t="s">
        <v>55</v>
      </c>
      <c r="N869" s="2"/>
      <c r="O869" s="2"/>
      <c r="P869" s="7">
        <v>1398.2408792357601</v>
      </c>
      <c r="Q869" s="6" t="s">
        <v>57</v>
      </c>
      <c r="R869" s="9">
        <v>1155</v>
      </c>
      <c r="S869" s="2" t="s">
        <v>3036</v>
      </c>
      <c r="T869" s="9">
        <v>714</v>
      </c>
      <c r="U869" s="9">
        <v>2005</v>
      </c>
      <c r="V869" s="9">
        <v>1013</v>
      </c>
      <c r="W869" s="9">
        <v>611</v>
      </c>
      <c r="X869" s="9">
        <v>609</v>
      </c>
      <c r="Y869" s="9">
        <v>859</v>
      </c>
      <c r="Z869" s="9">
        <v>1005</v>
      </c>
      <c r="AA869" s="9">
        <v>771</v>
      </c>
      <c r="AB869" s="9">
        <v>639</v>
      </c>
      <c r="AC869" s="9">
        <v>1055</v>
      </c>
      <c r="AD869" s="9">
        <v>719</v>
      </c>
      <c r="AE869" s="6" t="s">
        <v>57</v>
      </c>
      <c r="AF869" s="6" t="s">
        <v>57</v>
      </c>
      <c r="AG869" s="6" t="s">
        <v>57</v>
      </c>
      <c r="AH869" s="6" t="s">
        <v>57</v>
      </c>
      <c r="AI869" s="6" t="s">
        <v>57</v>
      </c>
      <c r="AJ869" s="6" t="s">
        <v>57</v>
      </c>
      <c r="AK869" s="6" t="s">
        <v>57</v>
      </c>
      <c r="AL869" s="6" t="s">
        <v>57</v>
      </c>
      <c r="AM869" s="6" t="s">
        <v>57</v>
      </c>
      <c r="AN869" s="6" t="s">
        <v>57</v>
      </c>
      <c r="AO869" s="6" t="s">
        <v>57</v>
      </c>
      <c r="AP869" s="6" t="s">
        <v>57</v>
      </c>
      <c r="AQ869" s="9">
        <v>2309</v>
      </c>
    </row>
    <row r="870" spans="1:43" ht="15">
      <c r="A870" s="2" t="s">
        <v>3037</v>
      </c>
      <c r="B870" s="5">
        <v>5730249</v>
      </c>
      <c r="C870" s="2" t="s">
        <v>23</v>
      </c>
      <c r="D870" s="2" t="s">
        <v>3038</v>
      </c>
      <c r="E870" s="2" t="s">
        <v>3039</v>
      </c>
      <c r="F870" s="2" t="s">
        <v>26</v>
      </c>
      <c r="G870" s="2" t="s">
        <v>26</v>
      </c>
      <c r="H870" s="2" t="s">
        <v>27</v>
      </c>
      <c r="I870" s="2" t="s">
        <v>28</v>
      </c>
      <c r="J870" s="6"/>
      <c r="K870" s="2" t="s">
        <v>55</v>
      </c>
      <c r="L870" s="2" t="s">
        <v>56</v>
      </c>
      <c r="M870" s="2" t="s">
        <v>55</v>
      </c>
      <c r="N870" s="2"/>
      <c r="O870" s="2"/>
      <c r="P870" s="7">
        <v>585.85572559085699</v>
      </c>
      <c r="Q870" s="6" t="s">
        <v>57</v>
      </c>
      <c r="R870" s="9">
        <v>6546</v>
      </c>
      <c r="S870" s="2" t="s">
        <v>3040</v>
      </c>
      <c r="T870" s="9">
        <v>19080</v>
      </c>
      <c r="U870" s="9">
        <v>12821</v>
      </c>
      <c r="V870" s="9">
        <v>14990</v>
      </c>
      <c r="W870" s="9">
        <v>23473</v>
      </c>
      <c r="X870" s="9">
        <v>23581</v>
      </c>
      <c r="Y870" s="9">
        <v>19223</v>
      </c>
      <c r="Z870" s="9">
        <v>16197</v>
      </c>
      <c r="AA870" s="9">
        <v>13540</v>
      </c>
      <c r="AB870" s="9">
        <v>12503</v>
      </c>
      <c r="AC870" s="9">
        <v>14981</v>
      </c>
      <c r="AD870" s="9">
        <v>18574</v>
      </c>
      <c r="AE870" s="6" t="s">
        <v>57</v>
      </c>
      <c r="AF870" s="6" t="s">
        <v>57</v>
      </c>
      <c r="AG870" s="6" t="s">
        <v>57</v>
      </c>
      <c r="AH870" s="6" t="s">
        <v>57</v>
      </c>
      <c r="AI870" s="6" t="s">
        <v>57</v>
      </c>
      <c r="AJ870" s="6" t="s">
        <v>57</v>
      </c>
      <c r="AK870" s="6" t="s">
        <v>57</v>
      </c>
      <c r="AL870" s="6" t="s">
        <v>57</v>
      </c>
      <c r="AM870" s="6" t="s">
        <v>57</v>
      </c>
      <c r="AN870" s="6" t="s">
        <v>57</v>
      </c>
      <c r="AO870" s="6" t="s">
        <v>57</v>
      </c>
      <c r="AP870" s="6" t="s">
        <v>57</v>
      </c>
      <c r="AQ870" s="9">
        <v>8762</v>
      </c>
    </row>
    <row r="871" spans="1:43" ht="15">
      <c r="A871" s="2" t="s">
        <v>3041</v>
      </c>
      <c r="B871" s="5">
        <v>5731629</v>
      </c>
      <c r="C871" s="2" t="s">
        <v>23</v>
      </c>
      <c r="D871" s="2" t="s">
        <v>3042</v>
      </c>
      <c r="E871" s="2" t="s">
        <v>3043</v>
      </c>
      <c r="F871" s="2" t="s">
        <v>26</v>
      </c>
      <c r="G871" s="2" t="s">
        <v>26</v>
      </c>
      <c r="H871" s="2" t="s">
        <v>27</v>
      </c>
      <c r="I871" s="2" t="s">
        <v>28</v>
      </c>
      <c r="J871" s="6"/>
      <c r="K871" s="2" t="s">
        <v>55</v>
      </c>
      <c r="L871" s="2" t="s">
        <v>56</v>
      </c>
      <c r="M871" s="2" t="s">
        <v>55</v>
      </c>
      <c r="N871" s="2"/>
      <c r="O871" s="2"/>
      <c r="P871" s="7">
        <v>6.9229409286553603</v>
      </c>
      <c r="Q871" s="6" t="s">
        <v>57</v>
      </c>
      <c r="R871" s="9">
        <v>0</v>
      </c>
      <c r="S871" s="2" t="s">
        <v>3044</v>
      </c>
      <c r="T871" s="9">
        <v>0</v>
      </c>
      <c r="U871" s="9">
        <v>0</v>
      </c>
      <c r="V871" s="9">
        <v>0</v>
      </c>
      <c r="W871" s="9">
        <v>0</v>
      </c>
      <c r="X871" s="9">
        <v>0</v>
      </c>
      <c r="Y871" s="9">
        <v>0</v>
      </c>
      <c r="Z871" s="9">
        <v>0</v>
      </c>
      <c r="AA871" s="9">
        <v>9</v>
      </c>
      <c r="AB871" s="9">
        <v>0</v>
      </c>
      <c r="AC871" s="9">
        <v>0</v>
      </c>
      <c r="AD871" s="9">
        <v>0</v>
      </c>
      <c r="AE871" s="6" t="s">
        <v>57</v>
      </c>
      <c r="AF871" s="6" t="s">
        <v>57</v>
      </c>
      <c r="AG871" s="6" t="s">
        <v>57</v>
      </c>
      <c r="AH871" s="6" t="s">
        <v>57</v>
      </c>
      <c r="AI871" s="6" t="s">
        <v>57</v>
      </c>
      <c r="AJ871" s="6" t="s">
        <v>57</v>
      </c>
      <c r="AK871" s="6" t="s">
        <v>57</v>
      </c>
      <c r="AL871" s="6" t="s">
        <v>57</v>
      </c>
      <c r="AM871" s="6" t="s">
        <v>57</v>
      </c>
      <c r="AN871" s="6" t="s">
        <v>57</v>
      </c>
      <c r="AO871" s="6" t="s">
        <v>57</v>
      </c>
      <c r="AP871" s="6" t="s">
        <v>57</v>
      </c>
      <c r="AQ871" s="9">
        <v>0</v>
      </c>
    </row>
    <row r="872" spans="1:43" ht="15">
      <c r="A872" s="2" t="s">
        <v>3045</v>
      </c>
      <c r="B872" s="5">
        <v>13376591</v>
      </c>
      <c r="C872" s="2" t="s">
        <v>23</v>
      </c>
      <c r="D872" s="2" t="s">
        <v>3046</v>
      </c>
      <c r="E872" s="2" t="s">
        <v>3047</v>
      </c>
      <c r="F872" s="2" t="s">
        <v>26</v>
      </c>
      <c r="G872" s="2" t="s">
        <v>26</v>
      </c>
      <c r="H872" s="2" t="s">
        <v>27</v>
      </c>
      <c r="I872" s="2" t="s">
        <v>28</v>
      </c>
      <c r="J872" s="6"/>
      <c r="K872" s="2" t="s">
        <v>55</v>
      </c>
      <c r="L872" s="2" t="s">
        <v>56</v>
      </c>
      <c r="M872" s="2" t="s">
        <v>55</v>
      </c>
      <c r="N872" s="2"/>
      <c r="O872" s="2"/>
      <c r="P872" s="7">
        <v>11.4339178915126</v>
      </c>
      <c r="Q872" s="6" t="s">
        <v>57</v>
      </c>
      <c r="R872" s="9">
        <v>0</v>
      </c>
      <c r="S872" s="2"/>
      <c r="T872" s="9">
        <v>5</v>
      </c>
      <c r="U872" s="9">
        <v>3</v>
      </c>
      <c r="V872" s="9">
        <v>3</v>
      </c>
      <c r="W872" s="9">
        <v>2</v>
      </c>
      <c r="X872" s="9">
        <v>2</v>
      </c>
      <c r="Y872" s="9">
        <v>1</v>
      </c>
      <c r="Z872" s="9">
        <v>1</v>
      </c>
      <c r="AA872" s="9">
        <v>1</v>
      </c>
      <c r="AB872" s="9">
        <v>3</v>
      </c>
      <c r="AC872" s="9">
        <v>3</v>
      </c>
      <c r="AD872" s="9">
        <v>4</v>
      </c>
      <c r="AE872" s="6" t="s">
        <v>57</v>
      </c>
      <c r="AF872" s="6" t="s">
        <v>57</v>
      </c>
      <c r="AG872" s="6" t="s">
        <v>57</v>
      </c>
      <c r="AH872" s="6" t="s">
        <v>57</v>
      </c>
      <c r="AI872" s="6" t="s">
        <v>57</v>
      </c>
      <c r="AJ872" s="6" t="s">
        <v>57</v>
      </c>
      <c r="AK872" s="6" t="s">
        <v>57</v>
      </c>
      <c r="AL872" s="6" t="s">
        <v>57</v>
      </c>
      <c r="AM872" s="6" t="s">
        <v>57</v>
      </c>
      <c r="AN872" s="6" t="s">
        <v>57</v>
      </c>
      <c r="AO872" s="6" t="s">
        <v>57</v>
      </c>
      <c r="AP872" s="6" t="s">
        <v>57</v>
      </c>
      <c r="AQ872" s="9">
        <v>0</v>
      </c>
    </row>
    <row r="873" spans="1:43" ht="15">
      <c r="A873" s="2" t="s">
        <v>3048</v>
      </c>
      <c r="B873" s="5">
        <v>5733591</v>
      </c>
      <c r="C873" s="2" t="s">
        <v>23</v>
      </c>
      <c r="D873" s="2" t="s">
        <v>3049</v>
      </c>
      <c r="E873" s="2" t="s">
        <v>3050</v>
      </c>
      <c r="F873" s="2" t="s">
        <v>26</v>
      </c>
      <c r="G873" s="2" t="s">
        <v>26</v>
      </c>
      <c r="H873" s="2" t="s">
        <v>27</v>
      </c>
      <c r="I873" s="2" t="s">
        <v>28</v>
      </c>
      <c r="J873" s="6"/>
      <c r="K873" s="2" t="s">
        <v>55</v>
      </c>
      <c r="L873" s="2" t="s">
        <v>56</v>
      </c>
      <c r="M873" s="2" t="s">
        <v>55</v>
      </c>
      <c r="N873" s="2"/>
      <c r="O873" s="2"/>
      <c r="P873" s="7">
        <v>16.081179288427599</v>
      </c>
      <c r="Q873" s="6" t="s">
        <v>57</v>
      </c>
      <c r="R873" s="9">
        <v>0</v>
      </c>
      <c r="S873" s="2" t="s">
        <v>3051</v>
      </c>
      <c r="T873" s="9">
        <v>0</v>
      </c>
      <c r="U873" s="9">
        <v>0</v>
      </c>
      <c r="V873" s="9">
        <v>2</v>
      </c>
      <c r="W873" s="9">
        <v>1</v>
      </c>
      <c r="X873" s="9">
        <v>1</v>
      </c>
      <c r="Y873" s="9">
        <v>1</v>
      </c>
      <c r="Z873" s="9">
        <v>0</v>
      </c>
      <c r="AA873" s="9">
        <v>1</v>
      </c>
      <c r="AB873" s="9">
        <v>0</v>
      </c>
      <c r="AC873" s="9">
        <v>2</v>
      </c>
      <c r="AD873" s="9">
        <v>1</v>
      </c>
      <c r="AE873" s="6" t="s">
        <v>57</v>
      </c>
      <c r="AF873" s="6" t="s">
        <v>57</v>
      </c>
      <c r="AG873" s="6" t="s">
        <v>57</v>
      </c>
      <c r="AH873" s="6" t="s">
        <v>57</v>
      </c>
      <c r="AI873" s="6" t="s">
        <v>57</v>
      </c>
      <c r="AJ873" s="6" t="s">
        <v>57</v>
      </c>
      <c r="AK873" s="6" t="s">
        <v>57</v>
      </c>
      <c r="AL873" s="6" t="s">
        <v>57</v>
      </c>
      <c r="AM873" s="6" t="s">
        <v>57</v>
      </c>
      <c r="AN873" s="6" t="s">
        <v>57</v>
      </c>
      <c r="AO873" s="6" t="s">
        <v>57</v>
      </c>
      <c r="AP873" s="6" t="s">
        <v>57</v>
      </c>
      <c r="AQ873" s="9">
        <v>0</v>
      </c>
    </row>
    <row r="874" spans="1:43" ht="15">
      <c r="A874" s="2" t="s">
        <v>3052</v>
      </c>
      <c r="B874" s="5">
        <v>5736755</v>
      </c>
      <c r="C874" s="2" t="s">
        <v>23</v>
      </c>
      <c r="D874" s="2" t="s">
        <v>3053</v>
      </c>
      <c r="E874" s="2" t="s">
        <v>3054</v>
      </c>
      <c r="F874" s="2" t="s">
        <v>26</v>
      </c>
      <c r="G874" s="2" t="s">
        <v>26</v>
      </c>
      <c r="H874" s="2" t="s">
        <v>27</v>
      </c>
      <c r="I874" s="2" t="s">
        <v>28</v>
      </c>
      <c r="J874" s="6"/>
      <c r="K874" s="2" t="s">
        <v>55</v>
      </c>
      <c r="L874" s="2" t="s">
        <v>56</v>
      </c>
      <c r="M874" s="2" t="s">
        <v>55</v>
      </c>
      <c r="N874" s="2"/>
      <c r="O874" s="2"/>
      <c r="P874" s="7">
        <v>39.742132752346798</v>
      </c>
      <c r="Q874" s="6" t="s">
        <v>57</v>
      </c>
      <c r="R874" s="9">
        <v>0</v>
      </c>
      <c r="S874" s="2"/>
      <c r="T874" s="9">
        <v>0</v>
      </c>
      <c r="U874" s="9">
        <v>0</v>
      </c>
      <c r="V874" s="9">
        <v>0</v>
      </c>
      <c r="W874" s="9">
        <v>0</v>
      </c>
      <c r="X874" s="9">
        <v>0</v>
      </c>
      <c r="Y874" s="9">
        <v>0</v>
      </c>
      <c r="Z874" s="9">
        <v>40</v>
      </c>
      <c r="AA874" s="9">
        <v>368</v>
      </c>
      <c r="AB874" s="9">
        <v>0</v>
      </c>
      <c r="AC874" s="9">
        <v>0</v>
      </c>
      <c r="AD874" s="9">
        <v>0</v>
      </c>
      <c r="AE874" s="6" t="s">
        <v>57</v>
      </c>
      <c r="AF874" s="6" t="s">
        <v>57</v>
      </c>
      <c r="AG874" s="6" t="s">
        <v>57</v>
      </c>
      <c r="AH874" s="6" t="s">
        <v>57</v>
      </c>
      <c r="AI874" s="6" t="s">
        <v>57</v>
      </c>
      <c r="AJ874" s="6" t="s">
        <v>57</v>
      </c>
      <c r="AK874" s="6" t="s">
        <v>57</v>
      </c>
      <c r="AL874" s="6" t="s">
        <v>57</v>
      </c>
      <c r="AM874" s="6" t="s">
        <v>57</v>
      </c>
      <c r="AN874" s="6" t="s">
        <v>57</v>
      </c>
      <c r="AO874" s="6" t="s">
        <v>57</v>
      </c>
      <c r="AP874" s="6" t="s">
        <v>57</v>
      </c>
      <c r="AQ874" s="9">
        <v>0</v>
      </c>
    </row>
    <row r="875" spans="1:43" ht="15">
      <c r="A875" s="2" t="s">
        <v>3055</v>
      </c>
      <c r="B875" s="5">
        <v>10947156</v>
      </c>
      <c r="C875" s="2" t="s">
        <v>23</v>
      </c>
      <c r="D875" s="2" t="s">
        <v>3056</v>
      </c>
      <c r="E875" s="2" t="s">
        <v>3057</v>
      </c>
      <c r="F875" s="2" t="s">
        <v>26</v>
      </c>
      <c r="G875" s="2" t="s">
        <v>26</v>
      </c>
      <c r="H875" s="2" t="s">
        <v>27</v>
      </c>
      <c r="I875" s="2" t="s">
        <v>28</v>
      </c>
      <c r="J875" s="6"/>
      <c r="K875" s="2" t="s">
        <v>55</v>
      </c>
      <c r="L875" s="2" t="s">
        <v>56</v>
      </c>
      <c r="M875" s="2" t="s">
        <v>55</v>
      </c>
      <c r="N875" s="2"/>
      <c r="O875" s="2"/>
      <c r="P875" s="6" t="s">
        <v>57</v>
      </c>
      <c r="Q875" s="6" t="s">
        <v>57</v>
      </c>
      <c r="R875" s="9">
        <v>0</v>
      </c>
      <c r="S875" s="2"/>
      <c r="T875" s="9">
        <v>0</v>
      </c>
      <c r="U875" s="9">
        <v>0</v>
      </c>
      <c r="V875" s="9">
        <v>0</v>
      </c>
      <c r="W875" s="9">
        <v>0</v>
      </c>
      <c r="X875" s="9">
        <v>0</v>
      </c>
      <c r="Y875" s="9">
        <v>0</v>
      </c>
      <c r="Z875" s="9">
        <v>0</v>
      </c>
      <c r="AA875" s="9">
        <v>1</v>
      </c>
      <c r="AB875" s="9">
        <v>0</v>
      </c>
      <c r="AC875" s="9">
        <v>0</v>
      </c>
      <c r="AD875" s="9">
        <v>0</v>
      </c>
      <c r="AE875" s="6" t="s">
        <v>57</v>
      </c>
      <c r="AF875" s="6" t="s">
        <v>57</v>
      </c>
      <c r="AG875" s="6" t="s">
        <v>57</v>
      </c>
      <c r="AH875" s="6" t="s">
        <v>57</v>
      </c>
      <c r="AI875" s="6" t="s">
        <v>57</v>
      </c>
      <c r="AJ875" s="6" t="s">
        <v>57</v>
      </c>
      <c r="AK875" s="6" t="s">
        <v>57</v>
      </c>
      <c r="AL875" s="6" t="s">
        <v>57</v>
      </c>
      <c r="AM875" s="6" t="s">
        <v>57</v>
      </c>
      <c r="AN875" s="6" t="s">
        <v>57</v>
      </c>
      <c r="AO875" s="6" t="s">
        <v>57</v>
      </c>
      <c r="AP875" s="6" t="s">
        <v>57</v>
      </c>
      <c r="AQ875" s="9">
        <v>0</v>
      </c>
    </row>
    <row r="876" spans="1:43" ht="15">
      <c r="A876" s="2" t="s">
        <v>3058</v>
      </c>
      <c r="B876" s="5">
        <v>10721338</v>
      </c>
      <c r="C876" s="2" t="s">
        <v>23</v>
      </c>
      <c r="D876" s="2" t="s">
        <v>3059</v>
      </c>
      <c r="E876" s="2" t="s">
        <v>3060</v>
      </c>
      <c r="F876" s="2" t="s">
        <v>26</v>
      </c>
      <c r="G876" s="2"/>
      <c r="H876" s="2"/>
      <c r="I876" s="2" t="s">
        <v>28</v>
      </c>
      <c r="J876" s="6"/>
      <c r="K876" s="2" t="s">
        <v>55</v>
      </c>
      <c r="L876" s="2" t="s">
        <v>56</v>
      </c>
      <c r="M876" s="2" t="s">
        <v>55</v>
      </c>
      <c r="N876" s="2"/>
      <c r="O876" s="2"/>
      <c r="P876" s="6" t="s">
        <v>57</v>
      </c>
      <c r="Q876" s="6" t="s">
        <v>57</v>
      </c>
      <c r="R876" s="9">
        <v>0</v>
      </c>
      <c r="S876" s="2"/>
      <c r="T876" s="9">
        <v>0</v>
      </c>
      <c r="U876" s="9">
        <v>0</v>
      </c>
      <c r="V876" s="9">
        <v>0</v>
      </c>
      <c r="W876" s="9">
        <v>0</v>
      </c>
      <c r="X876" s="9">
        <v>0</v>
      </c>
      <c r="Y876" s="9">
        <v>74</v>
      </c>
      <c r="Z876" s="9">
        <v>49</v>
      </c>
      <c r="AA876" s="9">
        <v>30</v>
      </c>
      <c r="AB876" s="9">
        <v>0</v>
      </c>
      <c r="AC876" s="9">
        <v>0</v>
      </c>
      <c r="AD876" s="9">
        <v>0</v>
      </c>
      <c r="AE876" s="6" t="s">
        <v>57</v>
      </c>
      <c r="AF876" s="6" t="s">
        <v>57</v>
      </c>
      <c r="AG876" s="6" t="s">
        <v>57</v>
      </c>
      <c r="AH876" s="6" t="s">
        <v>57</v>
      </c>
      <c r="AI876" s="6" t="s">
        <v>57</v>
      </c>
      <c r="AJ876" s="6" t="s">
        <v>57</v>
      </c>
      <c r="AK876" s="6" t="s">
        <v>57</v>
      </c>
      <c r="AL876" s="6" t="s">
        <v>57</v>
      </c>
      <c r="AM876" s="6" t="s">
        <v>57</v>
      </c>
      <c r="AN876" s="6" t="s">
        <v>57</v>
      </c>
      <c r="AO876" s="6" t="s">
        <v>57</v>
      </c>
      <c r="AP876" s="6" t="s">
        <v>57</v>
      </c>
      <c r="AQ876" s="9">
        <v>0</v>
      </c>
    </row>
    <row r="877" spans="1:43" ht="15">
      <c r="A877" s="2" t="s">
        <v>3061</v>
      </c>
      <c r="B877" s="5">
        <v>111770428</v>
      </c>
      <c r="C877" s="2" t="s">
        <v>23</v>
      </c>
      <c r="D877" s="2" t="s">
        <v>3062</v>
      </c>
      <c r="E877" s="2" t="s">
        <v>3063</v>
      </c>
      <c r="F877" s="2" t="s">
        <v>26</v>
      </c>
      <c r="G877" s="2" t="s">
        <v>26</v>
      </c>
      <c r="H877" s="2" t="s">
        <v>27</v>
      </c>
      <c r="I877" s="2" t="s">
        <v>28</v>
      </c>
      <c r="J877" s="6"/>
      <c r="K877" s="2" t="s">
        <v>55</v>
      </c>
      <c r="L877" s="2" t="s">
        <v>56</v>
      </c>
      <c r="M877" s="2" t="s">
        <v>55</v>
      </c>
      <c r="N877" s="2"/>
      <c r="O877" s="2"/>
      <c r="P877" s="6" t="s">
        <v>57</v>
      </c>
      <c r="Q877" s="6" t="s">
        <v>57</v>
      </c>
      <c r="R877" s="9">
        <v>0</v>
      </c>
      <c r="S877" s="2"/>
      <c r="T877" s="9">
        <v>0</v>
      </c>
      <c r="U877" s="9">
        <v>0</v>
      </c>
      <c r="V877" s="9">
        <v>0</v>
      </c>
      <c r="W877" s="9">
        <v>0</v>
      </c>
      <c r="X877" s="9">
        <v>0</v>
      </c>
      <c r="Y877" s="9">
        <v>0</v>
      </c>
      <c r="Z877" s="9">
        <v>12</v>
      </c>
      <c r="AA877" s="9">
        <v>12</v>
      </c>
      <c r="AB877" s="9">
        <v>0</v>
      </c>
      <c r="AC877" s="9">
        <v>0</v>
      </c>
      <c r="AD877" s="9">
        <v>0</v>
      </c>
      <c r="AE877" s="6" t="s">
        <v>57</v>
      </c>
      <c r="AF877" s="6" t="s">
        <v>57</v>
      </c>
      <c r="AG877" s="6" t="s">
        <v>57</v>
      </c>
      <c r="AH877" s="6" t="s">
        <v>57</v>
      </c>
      <c r="AI877" s="6" t="s">
        <v>57</v>
      </c>
      <c r="AJ877" s="6" t="s">
        <v>57</v>
      </c>
      <c r="AK877" s="6" t="s">
        <v>57</v>
      </c>
      <c r="AL877" s="6" t="s">
        <v>57</v>
      </c>
      <c r="AM877" s="6" t="s">
        <v>57</v>
      </c>
      <c r="AN877" s="6" t="s">
        <v>57</v>
      </c>
      <c r="AO877" s="6" t="s">
        <v>57</v>
      </c>
      <c r="AP877" s="6" t="s">
        <v>57</v>
      </c>
      <c r="AQ877" s="9">
        <v>0</v>
      </c>
    </row>
    <row r="878" spans="1:43" ht="15">
      <c r="A878" s="2" t="s">
        <v>3064</v>
      </c>
      <c r="B878" s="5">
        <v>28041508</v>
      </c>
      <c r="C878" s="2" t="s">
        <v>23</v>
      </c>
      <c r="D878" s="2" t="s">
        <v>3065</v>
      </c>
      <c r="E878" s="2" t="s">
        <v>3066</v>
      </c>
      <c r="F878" s="2" t="s">
        <v>26</v>
      </c>
      <c r="G878" s="2" t="s">
        <v>26</v>
      </c>
      <c r="H878" s="2" t="s">
        <v>27</v>
      </c>
      <c r="I878" s="2" t="s">
        <v>28</v>
      </c>
      <c r="J878" s="6"/>
      <c r="K878" s="2" t="s">
        <v>55</v>
      </c>
      <c r="L878" s="2" t="s">
        <v>56</v>
      </c>
      <c r="M878" s="2" t="s">
        <v>55</v>
      </c>
      <c r="N878" s="2"/>
      <c r="O878" s="2"/>
      <c r="P878" s="6" t="s">
        <v>57</v>
      </c>
      <c r="Q878" s="6" t="s">
        <v>57</v>
      </c>
      <c r="R878" s="9">
        <v>0</v>
      </c>
      <c r="S878" s="2"/>
      <c r="T878" s="9">
        <v>0</v>
      </c>
      <c r="U878" s="9">
        <v>0</v>
      </c>
      <c r="V878" s="9">
        <v>0</v>
      </c>
      <c r="W878" s="9">
        <v>0</v>
      </c>
      <c r="X878" s="9">
        <v>0</v>
      </c>
      <c r="Y878" s="9">
        <v>0</v>
      </c>
      <c r="Z878" s="9">
        <v>57</v>
      </c>
      <c r="AA878" s="9">
        <v>62</v>
      </c>
      <c r="AB878" s="9">
        <v>0</v>
      </c>
      <c r="AC878" s="9">
        <v>0</v>
      </c>
      <c r="AD878" s="9">
        <v>0</v>
      </c>
      <c r="AE878" s="6" t="s">
        <v>57</v>
      </c>
      <c r="AF878" s="6" t="s">
        <v>57</v>
      </c>
      <c r="AG878" s="6" t="s">
        <v>57</v>
      </c>
      <c r="AH878" s="6" t="s">
        <v>57</v>
      </c>
      <c r="AI878" s="6" t="s">
        <v>57</v>
      </c>
      <c r="AJ878" s="6" t="s">
        <v>57</v>
      </c>
      <c r="AK878" s="6" t="s">
        <v>57</v>
      </c>
      <c r="AL878" s="6" t="s">
        <v>57</v>
      </c>
      <c r="AM878" s="6" t="s">
        <v>57</v>
      </c>
      <c r="AN878" s="6" t="s">
        <v>57</v>
      </c>
      <c r="AO878" s="6" t="s">
        <v>57</v>
      </c>
      <c r="AP878" s="6" t="s">
        <v>57</v>
      </c>
      <c r="AQ878" s="9">
        <v>0</v>
      </c>
    </row>
    <row r="879" spans="1:43" ht="15">
      <c r="A879" s="2" t="s">
        <v>3067</v>
      </c>
      <c r="B879" s="5">
        <v>108580518</v>
      </c>
      <c r="C879" s="2" t="s">
        <v>23</v>
      </c>
      <c r="D879" s="2" t="s">
        <v>3068</v>
      </c>
      <c r="E879" s="2" t="s">
        <v>3069</v>
      </c>
      <c r="F879" s="2" t="s">
        <v>26</v>
      </c>
      <c r="G879" s="2" t="s">
        <v>26</v>
      </c>
      <c r="H879" s="2" t="s">
        <v>27</v>
      </c>
      <c r="I879" s="2" t="s">
        <v>28</v>
      </c>
      <c r="J879" s="6"/>
      <c r="K879" s="2" t="s">
        <v>55</v>
      </c>
      <c r="L879" s="2" t="s">
        <v>56</v>
      </c>
      <c r="M879" s="2" t="s">
        <v>55</v>
      </c>
      <c r="N879" s="2"/>
      <c r="O879" s="2"/>
      <c r="P879" s="6" t="s">
        <v>57</v>
      </c>
      <c r="Q879" s="6" t="s">
        <v>57</v>
      </c>
      <c r="R879" s="9">
        <v>0</v>
      </c>
      <c r="S879" s="2"/>
      <c r="T879" s="9">
        <v>0</v>
      </c>
      <c r="U879" s="9">
        <v>0</v>
      </c>
      <c r="V879" s="9">
        <v>0</v>
      </c>
      <c r="W879" s="9">
        <v>0</v>
      </c>
      <c r="X879" s="9">
        <v>0</v>
      </c>
      <c r="Y879" s="9">
        <v>2</v>
      </c>
      <c r="Z879" s="9">
        <v>2</v>
      </c>
      <c r="AA879" s="9">
        <v>2</v>
      </c>
      <c r="AB879" s="9">
        <v>0</v>
      </c>
      <c r="AC879" s="9">
        <v>0</v>
      </c>
      <c r="AD879" s="9">
        <v>0</v>
      </c>
      <c r="AE879" s="6" t="s">
        <v>57</v>
      </c>
      <c r="AF879" s="6" t="s">
        <v>57</v>
      </c>
      <c r="AG879" s="6" t="s">
        <v>57</v>
      </c>
      <c r="AH879" s="6" t="s">
        <v>57</v>
      </c>
      <c r="AI879" s="6" t="s">
        <v>57</v>
      </c>
      <c r="AJ879" s="6" t="s">
        <v>57</v>
      </c>
      <c r="AK879" s="6" t="s">
        <v>57</v>
      </c>
      <c r="AL879" s="6" t="s">
        <v>57</v>
      </c>
      <c r="AM879" s="6" t="s">
        <v>57</v>
      </c>
      <c r="AN879" s="6" t="s">
        <v>57</v>
      </c>
      <c r="AO879" s="6" t="s">
        <v>57</v>
      </c>
      <c r="AP879" s="6" t="s">
        <v>57</v>
      </c>
      <c r="AQ879" s="9">
        <v>0</v>
      </c>
    </row>
    <row r="880" spans="1:43" ht="15">
      <c r="A880" s="2" t="s">
        <v>3070</v>
      </c>
      <c r="B880" s="5">
        <v>133183411</v>
      </c>
      <c r="C880" s="2" t="s">
        <v>23</v>
      </c>
      <c r="D880" s="2" t="s">
        <v>3071</v>
      </c>
      <c r="E880" s="2" t="s">
        <v>3072</v>
      </c>
      <c r="F880" s="2" t="s">
        <v>26</v>
      </c>
      <c r="G880" s="2" t="s">
        <v>26</v>
      </c>
      <c r="H880" s="2" t="s">
        <v>27</v>
      </c>
      <c r="I880" s="2" t="s">
        <v>28</v>
      </c>
      <c r="J880" s="6"/>
      <c r="K880" s="2" t="s">
        <v>55</v>
      </c>
      <c r="L880" s="2" t="s">
        <v>56</v>
      </c>
      <c r="M880" s="2" t="s">
        <v>55</v>
      </c>
      <c r="N880" s="2"/>
      <c r="O880" s="2"/>
      <c r="P880" s="6" t="s">
        <v>57</v>
      </c>
      <c r="Q880" s="6" t="s">
        <v>57</v>
      </c>
      <c r="R880" s="6" t="s">
        <v>57</v>
      </c>
      <c r="S880" s="2"/>
      <c r="T880" s="6" t="s">
        <v>57</v>
      </c>
      <c r="U880" s="6" t="s">
        <v>57</v>
      </c>
      <c r="V880" s="6" t="s">
        <v>57</v>
      </c>
      <c r="W880" s="6" t="s">
        <v>57</v>
      </c>
      <c r="X880" s="6" t="s">
        <v>57</v>
      </c>
      <c r="Y880" s="6" t="s">
        <v>57</v>
      </c>
      <c r="Z880" s="6" t="s">
        <v>57</v>
      </c>
      <c r="AA880" s="6" t="s">
        <v>57</v>
      </c>
      <c r="AB880" s="6" t="s">
        <v>57</v>
      </c>
      <c r="AC880" s="6" t="s">
        <v>57</v>
      </c>
      <c r="AD880" s="6" t="s">
        <v>57</v>
      </c>
      <c r="AE880" s="6" t="s">
        <v>57</v>
      </c>
      <c r="AF880" s="6" t="s">
        <v>57</v>
      </c>
      <c r="AG880" s="6" t="s">
        <v>57</v>
      </c>
      <c r="AH880" s="6" t="s">
        <v>57</v>
      </c>
      <c r="AI880" s="6" t="s">
        <v>57</v>
      </c>
      <c r="AJ880" s="6" t="s">
        <v>57</v>
      </c>
      <c r="AK880" s="6" t="s">
        <v>57</v>
      </c>
      <c r="AL880" s="6" t="s">
        <v>57</v>
      </c>
      <c r="AM880" s="6" t="s">
        <v>57</v>
      </c>
      <c r="AN880" s="6" t="s">
        <v>57</v>
      </c>
      <c r="AO880" s="6" t="s">
        <v>57</v>
      </c>
      <c r="AP880" s="6" t="s">
        <v>57</v>
      </c>
      <c r="AQ880" s="6" t="s">
        <v>57</v>
      </c>
    </row>
    <row r="881" spans="1:43" ht="15">
      <c r="A881" s="2" t="s">
        <v>3073</v>
      </c>
      <c r="B881" s="5">
        <v>138975175</v>
      </c>
      <c r="C881" s="2" t="s">
        <v>23</v>
      </c>
      <c r="D881" s="2" t="s">
        <v>3074</v>
      </c>
      <c r="E881" s="2" t="s">
        <v>3075</v>
      </c>
      <c r="F881" s="2" t="s">
        <v>26</v>
      </c>
      <c r="G881" s="2"/>
      <c r="H881" s="2"/>
      <c r="I881" s="2" t="s">
        <v>28</v>
      </c>
      <c r="J881" s="6"/>
      <c r="K881" s="2" t="s">
        <v>55</v>
      </c>
      <c r="L881" s="2" t="s">
        <v>56</v>
      </c>
      <c r="M881" s="2" t="s">
        <v>55</v>
      </c>
      <c r="N881" s="2"/>
      <c r="O881" s="2"/>
      <c r="P881" s="6" t="s">
        <v>57</v>
      </c>
      <c r="Q881" s="6" t="s">
        <v>57</v>
      </c>
      <c r="R881" s="9">
        <v>0</v>
      </c>
      <c r="S881" s="2"/>
      <c r="T881" s="9">
        <v>0</v>
      </c>
      <c r="U881" s="9">
        <v>0</v>
      </c>
      <c r="V881" s="9">
        <v>0</v>
      </c>
      <c r="W881" s="9">
        <v>175</v>
      </c>
      <c r="X881" s="9">
        <v>175</v>
      </c>
      <c r="Y881" s="9">
        <v>175</v>
      </c>
      <c r="Z881" s="9">
        <v>175</v>
      </c>
      <c r="AA881" s="9">
        <v>175</v>
      </c>
      <c r="AB881" s="9">
        <v>0</v>
      </c>
      <c r="AC881" s="9">
        <v>0</v>
      </c>
      <c r="AD881" s="9">
        <v>175</v>
      </c>
      <c r="AE881" s="6" t="s">
        <v>57</v>
      </c>
      <c r="AF881" s="6" t="s">
        <v>57</v>
      </c>
      <c r="AG881" s="6" t="s">
        <v>57</v>
      </c>
      <c r="AH881" s="6" t="s">
        <v>57</v>
      </c>
      <c r="AI881" s="6" t="s">
        <v>57</v>
      </c>
      <c r="AJ881" s="6" t="s">
        <v>57</v>
      </c>
      <c r="AK881" s="6" t="s">
        <v>57</v>
      </c>
      <c r="AL881" s="6" t="s">
        <v>57</v>
      </c>
      <c r="AM881" s="6" t="s">
        <v>57</v>
      </c>
      <c r="AN881" s="6" t="s">
        <v>57</v>
      </c>
      <c r="AO881" s="6" t="s">
        <v>57</v>
      </c>
      <c r="AP881" s="6" t="s">
        <v>57</v>
      </c>
      <c r="AQ881" s="9">
        <v>0</v>
      </c>
    </row>
    <row r="882" spans="1:43" ht="15">
      <c r="A882" s="2" t="s">
        <v>3076</v>
      </c>
      <c r="B882" s="5">
        <v>139133809</v>
      </c>
      <c r="C882" s="2" t="s">
        <v>23</v>
      </c>
      <c r="D882" s="2" t="s">
        <v>3077</v>
      </c>
      <c r="E882" s="2" t="s">
        <v>3078</v>
      </c>
      <c r="F882" s="2" t="s">
        <v>26</v>
      </c>
      <c r="G882" s="2"/>
      <c r="H882" s="2"/>
      <c r="I882" s="2" t="s">
        <v>28</v>
      </c>
      <c r="J882" s="6"/>
      <c r="K882" s="2" t="s">
        <v>55</v>
      </c>
      <c r="L882" s="2" t="s">
        <v>56</v>
      </c>
      <c r="M882" s="2" t="s">
        <v>55</v>
      </c>
      <c r="N882" s="2"/>
      <c r="O882" s="2"/>
      <c r="P882" s="6" t="s">
        <v>57</v>
      </c>
      <c r="Q882" s="6" t="s">
        <v>57</v>
      </c>
      <c r="R882" s="9">
        <v>0</v>
      </c>
      <c r="S882" s="2"/>
      <c r="T882" s="9">
        <v>0</v>
      </c>
      <c r="U882" s="9">
        <v>0</v>
      </c>
      <c r="V882" s="9">
        <v>0</v>
      </c>
      <c r="W882" s="9">
        <v>17</v>
      </c>
      <c r="X882" s="9">
        <v>17</v>
      </c>
      <c r="Y882" s="9">
        <v>17</v>
      </c>
      <c r="Z882" s="9">
        <v>17</v>
      </c>
      <c r="AA882" s="9">
        <v>17</v>
      </c>
      <c r="AB882" s="9">
        <v>0</v>
      </c>
      <c r="AC882" s="9">
        <v>0</v>
      </c>
      <c r="AD882" s="9">
        <v>0</v>
      </c>
      <c r="AE882" s="6" t="s">
        <v>57</v>
      </c>
      <c r="AF882" s="6" t="s">
        <v>57</v>
      </c>
      <c r="AG882" s="6" t="s">
        <v>57</v>
      </c>
      <c r="AH882" s="6" t="s">
        <v>57</v>
      </c>
      <c r="AI882" s="6" t="s">
        <v>57</v>
      </c>
      <c r="AJ882" s="6" t="s">
        <v>57</v>
      </c>
      <c r="AK882" s="6" t="s">
        <v>57</v>
      </c>
      <c r="AL882" s="6" t="s">
        <v>57</v>
      </c>
      <c r="AM882" s="6" t="s">
        <v>57</v>
      </c>
      <c r="AN882" s="6" t="s">
        <v>57</v>
      </c>
      <c r="AO882" s="6" t="s">
        <v>57</v>
      </c>
      <c r="AP882" s="6" t="s">
        <v>57</v>
      </c>
      <c r="AQ882" s="9">
        <v>0</v>
      </c>
    </row>
    <row r="883" spans="1:43" ht="15">
      <c r="A883" s="2" t="s">
        <v>3079</v>
      </c>
      <c r="B883" s="5">
        <v>114432753</v>
      </c>
      <c r="C883" s="2" t="s">
        <v>23</v>
      </c>
      <c r="D883" s="2" t="s">
        <v>3080</v>
      </c>
      <c r="E883" s="2" t="s">
        <v>3081</v>
      </c>
      <c r="F883" s="2" t="s">
        <v>26</v>
      </c>
      <c r="G883" s="2" t="s">
        <v>26</v>
      </c>
      <c r="H883" s="2" t="s">
        <v>27</v>
      </c>
      <c r="I883" s="2" t="s">
        <v>28</v>
      </c>
      <c r="J883" s="6"/>
      <c r="K883" s="2" t="s">
        <v>55</v>
      </c>
      <c r="L883" s="2" t="s">
        <v>56</v>
      </c>
      <c r="M883" s="2" t="s">
        <v>55</v>
      </c>
      <c r="N883" s="2"/>
      <c r="O883" s="2"/>
      <c r="P883" s="6" t="s">
        <v>57</v>
      </c>
      <c r="Q883" s="6" t="s">
        <v>57</v>
      </c>
      <c r="R883" s="6" t="s">
        <v>57</v>
      </c>
      <c r="S883" s="2"/>
      <c r="T883" s="6" t="s">
        <v>57</v>
      </c>
      <c r="U883" s="6" t="s">
        <v>57</v>
      </c>
      <c r="V883" s="6" t="s">
        <v>57</v>
      </c>
      <c r="W883" s="6" t="s">
        <v>57</v>
      </c>
      <c r="X883" s="6" t="s">
        <v>57</v>
      </c>
      <c r="Y883" s="6" t="s">
        <v>57</v>
      </c>
      <c r="Z883" s="6" t="s">
        <v>57</v>
      </c>
      <c r="AA883" s="6" t="s">
        <v>57</v>
      </c>
      <c r="AB883" s="6" t="s">
        <v>57</v>
      </c>
      <c r="AC883" s="6" t="s">
        <v>57</v>
      </c>
      <c r="AD883" s="6" t="s">
        <v>57</v>
      </c>
      <c r="AE883" s="6" t="s">
        <v>57</v>
      </c>
      <c r="AF883" s="6" t="s">
        <v>57</v>
      </c>
      <c r="AG883" s="6" t="s">
        <v>57</v>
      </c>
      <c r="AH883" s="6" t="s">
        <v>57</v>
      </c>
      <c r="AI883" s="6" t="s">
        <v>57</v>
      </c>
      <c r="AJ883" s="6" t="s">
        <v>57</v>
      </c>
      <c r="AK883" s="6" t="s">
        <v>57</v>
      </c>
      <c r="AL883" s="6" t="s">
        <v>57</v>
      </c>
      <c r="AM883" s="6" t="s">
        <v>57</v>
      </c>
      <c r="AN883" s="6" t="s">
        <v>57</v>
      </c>
      <c r="AO883" s="6" t="s">
        <v>57</v>
      </c>
      <c r="AP883" s="6" t="s">
        <v>57</v>
      </c>
      <c r="AQ883" s="6" t="s">
        <v>57</v>
      </c>
    </row>
    <row r="884" spans="1:43" ht="15">
      <c r="A884" s="2" t="s">
        <v>3082</v>
      </c>
      <c r="B884" s="5">
        <v>25680358</v>
      </c>
      <c r="C884" s="2" t="s">
        <v>23</v>
      </c>
      <c r="D884" s="2" t="s">
        <v>3083</v>
      </c>
      <c r="E884" s="2" t="s">
        <v>3084</v>
      </c>
      <c r="F884" s="2" t="s">
        <v>26</v>
      </c>
      <c r="G884" s="2"/>
      <c r="H884" s="2"/>
      <c r="I884" s="2" t="s">
        <v>28</v>
      </c>
      <c r="J884" s="6"/>
      <c r="K884" s="2" t="s">
        <v>55</v>
      </c>
      <c r="L884" s="2" t="s">
        <v>56</v>
      </c>
      <c r="M884" s="2" t="s">
        <v>55</v>
      </c>
      <c r="N884" s="2"/>
      <c r="O884" s="2"/>
      <c r="P884" s="7">
        <v>19.292459264130301</v>
      </c>
      <c r="Q884" s="6" t="s">
        <v>57</v>
      </c>
      <c r="R884" s="9">
        <v>0</v>
      </c>
      <c r="S884" s="2"/>
      <c r="T884" s="9">
        <v>0</v>
      </c>
      <c r="U884" s="9">
        <v>26</v>
      </c>
      <c r="V884" s="9">
        <v>2175</v>
      </c>
      <c r="W884" s="9">
        <v>1997</v>
      </c>
      <c r="X884" s="9">
        <v>2746</v>
      </c>
      <c r="Y884" s="9">
        <v>6056</v>
      </c>
      <c r="Z884" s="9">
        <v>5948</v>
      </c>
      <c r="AA884" s="9">
        <v>9268</v>
      </c>
      <c r="AB884" s="9">
        <v>30</v>
      </c>
      <c r="AC884" s="9">
        <v>2282</v>
      </c>
      <c r="AD884" s="9">
        <v>3660</v>
      </c>
      <c r="AE884" s="6" t="s">
        <v>57</v>
      </c>
      <c r="AF884" s="6" t="s">
        <v>57</v>
      </c>
      <c r="AG884" s="6" t="s">
        <v>57</v>
      </c>
      <c r="AH884" s="6" t="s">
        <v>57</v>
      </c>
      <c r="AI884" s="6" t="s">
        <v>57</v>
      </c>
      <c r="AJ884" s="6" t="s">
        <v>57</v>
      </c>
      <c r="AK884" s="6" t="s">
        <v>57</v>
      </c>
      <c r="AL884" s="6" t="s">
        <v>57</v>
      </c>
      <c r="AM884" s="6" t="s">
        <v>57</v>
      </c>
      <c r="AN884" s="6" t="s">
        <v>57</v>
      </c>
      <c r="AO884" s="6" t="s">
        <v>57</v>
      </c>
      <c r="AP884" s="6" t="s">
        <v>57</v>
      </c>
      <c r="AQ884" s="9">
        <v>0</v>
      </c>
    </row>
    <row r="885" spans="1:43" ht="15">
      <c r="A885" s="2" t="s">
        <v>3085</v>
      </c>
      <c r="B885" s="5">
        <v>124654393</v>
      </c>
      <c r="C885" s="2" t="s">
        <v>23</v>
      </c>
      <c r="D885" s="2" t="s">
        <v>3086</v>
      </c>
      <c r="E885" s="2" t="s">
        <v>3087</v>
      </c>
      <c r="F885" s="2" t="s">
        <v>26</v>
      </c>
      <c r="G885" s="2" t="s">
        <v>26</v>
      </c>
      <c r="H885" s="2" t="s">
        <v>27</v>
      </c>
      <c r="I885" s="2" t="s">
        <v>28</v>
      </c>
      <c r="J885" s="6"/>
      <c r="K885" s="2" t="s">
        <v>55</v>
      </c>
      <c r="L885" s="2" t="s">
        <v>56</v>
      </c>
      <c r="M885" s="2" t="s">
        <v>55</v>
      </c>
      <c r="N885" s="2"/>
      <c r="O885" s="2"/>
      <c r="P885" s="6" t="s">
        <v>57</v>
      </c>
      <c r="Q885" s="6" t="s">
        <v>57</v>
      </c>
      <c r="R885" s="9">
        <v>0</v>
      </c>
      <c r="S885" s="2"/>
      <c r="T885" s="9">
        <v>0</v>
      </c>
      <c r="U885" s="9">
        <v>0</v>
      </c>
      <c r="V885" s="9">
        <v>0</v>
      </c>
      <c r="W885" s="9">
        <v>0</v>
      </c>
      <c r="X885" s="9">
        <v>0</v>
      </c>
      <c r="Y885" s="9">
        <v>0</v>
      </c>
      <c r="Z885" s="9">
        <v>0</v>
      </c>
      <c r="AA885" s="9">
        <v>0</v>
      </c>
      <c r="AB885" s="9">
        <v>0</v>
      </c>
      <c r="AC885" s="9">
        <v>0</v>
      </c>
      <c r="AD885" s="9">
        <v>0</v>
      </c>
      <c r="AE885" s="6" t="s">
        <v>57</v>
      </c>
      <c r="AF885" s="6" t="s">
        <v>57</v>
      </c>
      <c r="AG885" s="6" t="s">
        <v>57</v>
      </c>
      <c r="AH885" s="6" t="s">
        <v>57</v>
      </c>
      <c r="AI885" s="6" t="s">
        <v>57</v>
      </c>
      <c r="AJ885" s="6" t="s">
        <v>57</v>
      </c>
      <c r="AK885" s="6" t="s">
        <v>57</v>
      </c>
      <c r="AL885" s="6" t="s">
        <v>57</v>
      </c>
      <c r="AM885" s="6" t="s">
        <v>57</v>
      </c>
      <c r="AN885" s="6" t="s">
        <v>57</v>
      </c>
      <c r="AO885" s="6" t="s">
        <v>57</v>
      </c>
      <c r="AP885" s="6" t="s">
        <v>57</v>
      </c>
      <c r="AQ885" s="9">
        <v>0</v>
      </c>
    </row>
    <row r="886" spans="1:43" ht="15">
      <c r="A886" s="2" t="s">
        <v>3088</v>
      </c>
      <c r="B886" s="5">
        <v>29560315</v>
      </c>
      <c r="C886" s="2" t="s">
        <v>23</v>
      </c>
      <c r="D886" s="2" t="s">
        <v>3089</v>
      </c>
      <c r="E886" s="2" t="s">
        <v>3063</v>
      </c>
      <c r="F886" s="2" t="s">
        <v>26</v>
      </c>
      <c r="G886" s="2" t="s">
        <v>26</v>
      </c>
      <c r="H886" s="2" t="s">
        <v>27</v>
      </c>
      <c r="I886" s="2" t="s">
        <v>28</v>
      </c>
      <c r="J886" s="6"/>
      <c r="K886" s="2" t="s">
        <v>55</v>
      </c>
      <c r="L886" s="2" t="s">
        <v>56</v>
      </c>
      <c r="M886" s="2" t="s">
        <v>55</v>
      </c>
      <c r="N886" s="2"/>
      <c r="O886" s="2"/>
      <c r="P886" s="6" t="s">
        <v>57</v>
      </c>
      <c r="Q886" s="6" t="s">
        <v>57</v>
      </c>
      <c r="R886" s="9">
        <v>0</v>
      </c>
      <c r="S886" s="2"/>
      <c r="T886" s="9">
        <v>0</v>
      </c>
      <c r="U886" s="9">
        <v>0</v>
      </c>
      <c r="V886" s="9">
        <v>0</v>
      </c>
      <c r="W886" s="9">
        <v>0</v>
      </c>
      <c r="X886" s="9">
        <v>0</v>
      </c>
      <c r="Y886" s="9">
        <v>0</v>
      </c>
      <c r="Z886" s="9">
        <v>0</v>
      </c>
      <c r="AA886" s="9">
        <v>0</v>
      </c>
      <c r="AB886" s="9">
        <v>0</v>
      </c>
      <c r="AC886" s="9">
        <v>0</v>
      </c>
      <c r="AD886" s="9">
        <v>0</v>
      </c>
      <c r="AE886" s="6" t="s">
        <v>57</v>
      </c>
      <c r="AF886" s="6" t="s">
        <v>57</v>
      </c>
      <c r="AG886" s="6" t="s">
        <v>57</v>
      </c>
      <c r="AH886" s="6" t="s">
        <v>57</v>
      </c>
      <c r="AI886" s="6" t="s">
        <v>57</v>
      </c>
      <c r="AJ886" s="6" t="s">
        <v>57</v>
      </c>
      <c r="AK886" s="6" t="s">
        <v>57</v>
      </c>
      <c r="AL886" s="6" t="s">
        <v>57</v>
      </c>
      <c r="AM886" s="6" t="s">
        <v>57</v>
      </c>
      <c r="AN886" s="6" t="s">
        <v>57</v>
      </c>
      <c r="AO886" s="6" t="s">
        <v>57</v>
      </c>
      <c r="AP886" s="6" t="s">
        <v>57</v>
      </c>
      <c r="AQ886" s="9">
        <v>0</v>
      </c>
    </row>
    <row r="887" spans="1:43" ht="15">
      <c r="A887" s="2" t="s">
        <v>3090</v>
      </c>
      <c r="B887" s="5">
        <v>138492533</v>
      </c>
      <c r="C887" s="2" t="s">
        <v>23</v>
      </c>
      <c r="D887" s="2" t="s">
        <v>3091</v>
      </c>
      <c r="E887" s="2" t="s">
        <v>3092</v>
      </c>
      <c r="F887" s="2" t="s">
        <v>26</v>
      </c>
      <c r="G887" s="2"/>
      <c r="H887" s="2"/>
      <c r="I887" s="2" t="s">
        <v>28</v>
      </c>
      <c r="J887" s="6"/>
      <c r="K887" s="2" t="s">
        <v>55</v>
      </c>
      <c r="L887" s="2" t="s">
        <v>56</v>
      </c>
      <c r="M887" s="2" t="s">
        <v>55</v>
      </c>
      <c r="N887" s="2"/>
      <c r="O887" s="2"/>
      <c r="P887" s="6" t="s">
        <v>57</v>
      </c>
      <c r="Q887" s="6" t="s">
        <v>57</v>
      </c>
      <c r="R887" s="9">
        <v>0</v>
      </c>
      <c r="S887" s="2"/>
      <c r="T887" s="9">
        <v>0</v>
      </c>
      <c r="U887" s="9">
        <v>0</v>
      </c>
      <c r="V887" s="9">
        <v>0</v>
      </c>
      <c r="W887" s="9">
        <v>11</v>
      </c>
      <c r="X887" s="9">
        <v>11</v>
      </c>
      <c r="Y887" s="9">
        <v>11</v>
      </c>
      <c r="Z887" s="9">
        <v>11</v>
      </c>
      <c r="AA887" s="9">
        <v>11</v>
      </c>
      <c r="AB887" s="9">
        <v>0</v>
      </c>
      <c r="AC887" s="9">
        <v>0</v>
      </c>
      <c r="AD887" s="9">
        <v>21</v>
      </c>
      <c r="AE887" s="6" t="s">
        <v>57</v>
      </c>
      <c r="AF887" s="6" t="s">
        <v>57</v>
      </c>
      <c r="AG887" s="6" t="s">
        <v>57</v>
      </c>
      <c r="AH887" s="6" t="s">
        <v>57</v>
      </c>
      <c r="AI887" s="6" t="s">
        <v>57</v>
      </c>
      <c r="AJ887" s="6" t="s">
        <v>57</v>
      </c>
      <c r="AK887" s="6" t="s">
        <v>57</v>
      </c>
      <c r="AL887" s="6" t="s">
        <v>57</v>
      </c>
      <c r="AM887" s="6" t="s">
        <v>57</v>
      </c>
      <c r="AN887" s="6" t="s">
        <v>57</v>
      </c>
      <c r="AO887" s="6" t="s">
        <v>57</v>
      </c>
      <c r="AP887" s="6" t="s">
        <v>57</v>
      </c>
      <c r="AQ887" s="9">
        <v>0</v>
      </c>
    </row>
    <row r="888" spans="1:43" ht="15">
      <c r="A888" s="2" t="s">
        <v>3093</v>
      </c>
      <c r="B888" s="5">
        <v>114463042</v>
      </c>
      <c r="C888" s="2" t="s">
        <v>23</v>
      </c>
      <c r="D888" s="2" t="s">
        <v>3094</v>
      </c>
      <c r="E888" s="2" t="s">
        <v>3095</v>
      </c>
      <c r="F888" s="2" t="s">
        <v>26</v>
      </c>
      <c r="G888" s="2" t="s">
        <v>26</v>
      </c>
      <c r="H888" s="2" t="s">
        <v>27</v>
      </c>
      <c r="I888" s="2" t="s">
        <v>28</v>
      </c>
      <c r="J888" s="6"/>
      <c r="K888" s="2" t="s">
        <v>55</v>
      </c>
      <c r="L888" s="2" t="s">
        <v>56</v>
      </c>
      <c r="M888" s="2" t="s">
        <v>55</v>
      </c>
      <c r="N888" s="2"/>
      <c r="O888" s="2"/>
      <c r="P888" s="6" t="s">
        <v>57</v>
      </c>
      <c r="Q888" s="6" t="s">
        <v>57</v>
      </c>
      <c r="R888" s="6" t="s">
        <v>57</v>
      </c>
      <c r="S888" s="2"/>
      <c r="T888" s="6" t="s">
        <v>57</v>
      </c>
      <c r="U888" s="6" t="s">
        <v>57</v>
      </c>
      <c r="V888" s="6" t="s">
        <v>57</v>
      </c>
      <c r="W888" s="6" t="s">
        <v>57</v>
      </c>
      <c r="X888" s="6" t="s">
        <v>57</v>
      </c>
      <c r="Y888" s="6" t="s">
        <v>57</v>
      </c>
      <c r="Z888" s="6" t="s">
        <v>57</v>
      </c>
      <c r="AA888" s="6" t="s">
        <v>57</v>
      </c>
      <c r="AB888" s="6" t="s">
        <v>57</v>
      </c>
      <c r="AC888" s="6" t="s">
        <v>57</v>
      </c>
      <c r="AD888" s="6" t="s">
        <v>57</v>
      </c>
      <c r="AE888" s="6" t="s">
        <v>57</v>
      </c>
      <c r="AF888" s="6" t="s">
        <v>57</v>
      </c>
      <c r="AG888" s="6" t="s">
        <v>57</v>
      </c>
      <c r="AH888" s="6" t="s">
        <v>57</v>
      </c>
      <c r="AI888" s="6" t="s">
        <v>57</v>
      </c>
      <c r="AJ888" s="6" t="s">
        <v>57</v>
      </c>
      <c r="AK888" s="6" t="s">
        <v>57</v>
      </c>
      <c r="AL888" s="6" t="s">
        <v>57</v>
      </c>
      <c r="AM888" s="6" t="s">
        <v>57</v>
      </c>
      <c r="AN888" s="6" t="s">
        <v>57</v>
      </c>
      <c r="AO888" s="6" t="s">
        <v>57</v>
      </c>
      <c r="AP888" s="6" t="s">
        <v>57</v>
      </c>
      <c r="AQ888" s="6" t="s">
        <v>57</v>
      </c>
    </row>
    <row r="889" spans="1:43" ht="15">
      <c r="A889" s="2" t="s">
        <v>3096</v>
      </c>
      <c r="B889" s="5">
        <v>5730522</v>
      </c>
      <c r="C889" s="2" t="s">
        <v>23</v>
      </c>
      <c r="D889" s="2" t="s">
        <v>3097</v>
      </c>
      <c r="E889" s="2" t="s">
        <v>3098</v>
      </c>
      <c r="F889" s="2" t="s">
        <v>26</v>
      </c>
      <c r="G889" s="2" t="s">
        <v>26</v>
      </c>
      <c r="H889" s="2" t="s">
        <v>27</v>
      </c>
      <c r="I889" s="2" t="s">
        <v>28</v>
      </c>
      <c r="J889" s="6"/>
      <c r="K889" s="2" t="s">
        <v>55</v>
      </c>
      <c r="L889" s="2" t="s">
        <v>56</v>
      </c>
      <c r="M889" s="2" t="s">
        <v>55</v>
      </c>
      <c r="N889" s="2"/>
      <c r="O889" s="2"/>
      <c r="P889" s="7">
        <v>323.79125512567902</v>
      </c>
      <c r="Q889" s="6" t="s">
        <v>57</v>
      </c>
      <c r="R889" s="9">
        <v>11</v>
      </c>
      <c r="S889" s="2" t="s">
        <v>3099</v>
      </c>
      <c r="T889" s="9">
        <v>61</v>
      </c>
      <c r="U889" s="9">
        <v>243</v>
      </c>
      <c r="V889" s="9">
        <v>253</v>
      </c>
      <c r="W889" s="9">
        <v>134</v>
      </c>
      <c r="X889" s="9">
        <v>134</v>
      </c>
      <c r="Y889" s="9">
        <v>67</v>
      </c>
      <c r="Z889" s="9">
        <v>47</v>
      </c>
      <c r="AA889" s="9">
        <v>47</v>
      </c>
      <c r="AB889" s="9">
        <v>243</v>
      </c>
      <c r="AC889" s="9">
        <v>248</v>
      </c>
      <c r="AD889" s="9">
        <v>233</v>
      </c>
      <c r="AE889" s="6" t="s">
        <v>57</v>
      </c>
      <c r="AF889" s="6" t="s">
        <v>57</v>
      </c>
      <c r="AG889" s="6" t="s">
        <v>57</v>
      </c>
      <c r="AH889" s="6" t="s">
        <v>57</v>
      </c>
      <c r="AI889" s="6" t="s">
        <v>57</v>
      </c>
      <c r="AJ889" s="6" t="s">
        <v>57</v>
      </c>
      <c r="AK889" s="6" t="s">
        <v>57</v>
      </c>
      <c r="AL889" s="6" t="s">
        <v>57</v>
      </c>
      <c r="AM889" s="6" t="s">
        <v>57</v>
      </c>
      <c r="AN889" s="6" t="s">
        <v>57</v>
      </c>
      <c r="AO889" s="6" t="s">
        <v>57</v>
      </c>
      <c r="AP889" s="6" t="s">
        <v>57</v>
      </c>
      <c r="AQ889" s="9">
        <v>0</v>
      </c>
    </row>
    <row r="890" spans="1:43" ht="15">
      <c r="A890" s="2" t="s">
        <v>3100</v>
      </c>
      <c r="B890" s="5">
        <v>4910419</v>
      </c>
      <c r="C890" s="2" t="s">
        <v>23</v>
      </c>
      <c r="D890" s="2" t="s">
        <v>3101</v>
      </c>
      <c r="E890" s="2" t="s">
        <v>3102</v>
      </c>
      <c r="F890" s="2" t="s">
        <v>26</v>
      </c>
      <c r="G890" s="2" t="s">
        <v>26</v>
      </c>
      <c r="H890" s="2" t="s">
        <v>27</v>
      </c>
      <c r="I890" s="2" t="s">
        <v>40</v>
      </c>
      <c r="J890" s="10">
        <v>39282</v>
      </c>
      <c r="K890" s="2" t="s">
        <v>211</v>
      </c>
      <c r="L890" s="2" t="s">
        <v>30</v>
      </c>
      <c r="M890" s="2" t="s">
        <v>189</v>
      </c>
      <c r="N890" s="2" t="s">
        <v>211</v>
      </c>
      <c r="O890" s="2"/>
      <c r="P890" s="7">
        <v>489.31001550438401</v>
      </c>
      <c r="Q890" s="8">
        <v>903.62916189670398</v>
      </c>
      <c r="R890" s="9">
        <v>465915</v>
      </c>
      <c r="S890" s="2" t="s">
        <v>3103</v>
      </c>
      <c r="T890" s="9">
        <v>156055</v>
      </c>
      <c r="U890" s="9">
        <v>228384</v>
      </c>
      <c r="V890" s="9">
        <v>182911</v>
      </c>
      <c r="W890" s="9">
        <v>334263</v>
      </c>
      <c r="X890" s="9">
        <v>333227</v>
      </c>
      <c r="Y890" s="9">
        <v>439281</v>
      </c>
      <c r="Z890" s="9">
        <v>368447</v>
      </c>
      <c r="AA890" s="9">
        <v>440241</v>
      </c>
      <c r="AB890" s="9">
        <v>107772</v>
      </c>
      <c r="AC890" s="9">
        <v>143377</v>
      </c>
      <c r="AD890" s="9">
        <v>212860</v>
      </c>
      <c r="AE890" s="7">
        <v>0.16514012959556101</v>
      </c>
      <c r="AF890" s="7">
        <v>0.055312659971765599</v>
      </c>
      <c r="AG890" s="7">
        <v>0.080949036279989603</v>
      </c>
      <c r="AH890" s="7">
        <v>0.064831330773926901</v>
      </c>
      <c r="AI890" s="7">
        <v>0.118477010976308</v>
      </c>
      <c r="AJ890" s="7">
        <v>0.118109726358961</v>
      </c>
      <c r="AK890" s="7">
        <v>0.15569975316211401</v>
      </c>
      <c r="AL890" s="7">
        <v>0.130593300929573</v>
      </c>
      <c r="AM890" s="7">
        <v>0.156040129547277</v>
      </c>
      <c r="AN890" s="7">
        <v>0.038198989186381198</v>
      </c>
      <c r="AO890" s="7">
        <v>0.050818796367369003</v>
      </c>
      <c r="AP890" s="7">
        <v>0.075446597233843907</v>
      </c>
      <c r="AQ890" s="9">
        <v>931677</v>
      </c>
    </row>
    <row r="891" spans="1:43" ht="15">
      <c r="A891" s="2" t="s">
        <v>3104</v>
      </c>
      <c r="B891" s="5">
        <v>148427121</v>
      </c>
      <c r="C891" s="2" t="s">
        <v>46</v>
      </c>
      <c r="D891" s="2" t="s">
        <v>3105</v>
      </c>
      <c r="E891" s="2" t="s">
        <v>3106</v>
      </c>
      <c r="F891" s="2" t="s">
        <v>38</v>
      </c>
      <c r="G891" s="2" t="s">
        <v>49</v>
      </c>
      <c r="H891" s="2" t="s">
        <v>50</v>
      </c>
      <c r="I891" s="2" t="s">
        <v>28</v>
      </c>
      <c r="J891" s="6"/>
      <c r="K891" s="2" t="s">
        <v>3107</v>
      </c>
      <c r="L891" s="2" t="s">
        <v>56</v>
      </c>
      <c r="M891" s="2" t="s">
        <v>602</v>
      </c>
      <c r="N891" s="2" t="s">
        <v>2589</v>
      </c>
      <c r="O891" s="2" t="s">
        <v>3107</v>
      </c>
      <c r="P891" s="6" t="s">
        <v>57</v>
      </c>
      <c r="Q891" s="6" t="s">
        <v>57</v>
      </c>
      <c r="R891" s="6" t="s">
        <v>57</v>
      </c>
      <c r="S891" s="2" t="s">
        <v>3108</v>
      </c>
      <c r="T891" s="6" t="s">
        <v>57</v>
      </c>
      <c r="U891" s="6" t="s">
        <v>57</v>
      </c>
      <c r="V891" s="6" t="s">
        <v>57</v>
      </c>
      <c r="W891" s="6" t="s">
        <v>57</v>
      </c>
      <c r="X891" s="6" t="s">
        <v>57</v>
      </c>
      <c r="Y891" s="6" t="s">
        <v>57</v>
      </c>
      <c r="Z891" s="6" t="s">
        <v>57</v>
      </c>
      <c r="AA891" s="6" t="s">
        <v>57</v>
      </c>
      <c r="AB891" s="6" t="s">
        <v>57</v>
      </c>
      <c r="AC891" s="6" t="s">
        <v>57</v>
      </c>
      <c r="AD891" s="6" t="s">
        <v>57</v>
      </c>
      <c r="AE891" s="6" t="s">
        <v>57</v>
      </c>
      <c r="AF891" s="6" t="s">
        <v>57</v>
      </c>
      <c r="AG891" s="6" t="s">
        <v>57</v>
      </c>
      <c r="AH891" s="6" t="s">
        <v>57</v>
      </c>
      <c r="AI891" s="6" t="s">
        <v>57</v>
      </c>
      <c r="AJ891" s="6" t="s">
        <v>57</v>
      </c>
      <c r="AK891" s="6" t="s">
        <v>57</v>
      </c>
      <c r="AL891" s="6" t="s">
        <v>57</v>
      </c>
      <c r="AM891" s="6" t="s">
        <v>57</v>
      </c>
      <c r="AN891" s="6" t="s">
        <v>57</v>
      </c>
      <c r="AO891" s="6" t="s">
        <v>57</v>
      </c>
      <c r="AP891" s="6" t="s">
        <v>57</v>
      </c>
      <c r="AQ891" s="6" t="s">
        <v>57</v>
      </c>
    </row>
    <row r="892" spans="1:43" ht="15">
      <c r="A892" s="2" t="s">
        <v>3109</v>
      </c>
      <c r="B892" s="5">
        <v>6676256</v>
      </c>
      <c r="C892" s="2" t="s">
        <v>23</v>
      </c>
      <c r="D892" s="2" t="s">
        <v>3110</v>
      </c>
      <c r="E892" s="2" t="s">
        <v>3111</v>
      </c>
      <c r="F892" s="2" t="s">
        <v>26</v>
      </c>
      <c r="G892" s="2" t="s">
        <v>26</v>
      </c>
      <c r="H892" s="2" t="s">
        <v>27</v>
      </c>
      <c r="I892" s="2" t="s">
        <v>40</v>
      </c>
      <c r="J892" s="6"/>
      <c r="K892" s="2" t="s">
        <v>1572</v>
      </c>
      <c r="L892" s="2" t="s">
        <v>217</v>
      </c>
      <c r="M892" s="2" t="s">
        <v>218</v>
      </c>
      <c r="N892" s="2" t="s">
        <v>1572</v>
      </c>
      <c r="O892" s="2"/>
      <c r="P892" s="7">
        <v>1373.2466270719899</v>
      </c>
      <c r="Q892" s="8">
        <v>2380.0990949751499</v>
      </c>
      <c r="R892" s="9">
        <v>50033</v>
      </c>
      <c r="S892" s="2" t="s">
        <v>3112</v>
      </c>
      <c r="T892" s="9">
        <v>44102</v>
      </c>
      <c r="U892" s="9">
        <v>39454</v>
      </c>
      <c r="V892" s="9">
        <v>38525</v>
      </c>
      <c r="W892" s="9">
        <v>67528</v>
      </c>
      <c r="X892" s="9">
        <v>67415</v>
      </c>
      <c r="Y892" s="9">
        <v>76642</v>
      </c>
      <c r="Z892" s="9">
        <v>78760</v>
      </c>
      <c r="AA892" s="9">
        <v>62873</v>
      </c>
      <c r="AB892" s="9">
        <v>39023</v>
      </c>
      <c r="AC892" s="9">
        <v>38245</v>
      </c>
      <c r="AD892" s="9">
        <v>44051</v>
      </c>
      <c r="AE892" s="7">
        <v>0.0119060953974636</v>
      </c>
      <c r="AF892" s="7">
        <v>0.0104947258653077</v>
      </c>
      <c r="AG892" s="7">
        <v>0.0093885561699505998</v>
      </c>
      <c r="AH892" s="7">
        <v>0.0091676181996628008</v>
      </c>
      <c r="AI892" s="7">
        <v>0.016069177697797699</v>
      </c>
      <c r="AJ892" s="7">
        <v>0.0160424823000185</v>
      </c>
      <c r="AK892" s="7">
        <v>0.018238037483308</v>
      </c>
      <c r="AL892" s="7">
        <v>0.018742114547267898</v>
      </c>
      <c r="AM892" s="7">
        <v>0.0149615533825578</v>
      </c>
      <c r="AN892" s="7">
        <v>0.0092860797230103105</v>
      </c>
      <c r="AO892" s="7">
        <v>0.0091009462268210294</v>
      </c>
      <c r="AP892" s="7">
        <v>0.0104825723862568</v>
      </c>
      <c r="AQ892" s="9">
        <v>39455</v>
      </c>
    </row>
    <row r="893" spans="1:43" ht="15">
      <c r="A893" s="2" t="s">
        <v>3113</v>
      </c>
      <c r="B893" s="5">
        <v>4990787</v>
      </c>
      <c r="C893" s="2" t="s">
        <v>23</v>
      </c>
      <c r="D893" s="2" t="s">
        <v>3114</v>
      </c>
      <c r="E893" s="2" t="s">
        <v>3115</v>
      </c>
      <c r="F893" s="2" t="s">
        <v>26</v>
      </c>
      <c r="G893" s="2" t="s">
        <v>26</v>
      </c>
      <c r="H893" s="2" t="s">
        <v>27</v>
      </c>
      <c r="I893" s="2" t="s">
        <v>28</v>
      </c>
      <c r="J893" s="6"/>
      <c r="K893" s="2" t="s">
        <v>435</v>
      </c>
      <c r="L893" s="2" t="s">
        <v>182</v>
      </c>
      <c r="M893" s="2" t="s">
        <v>183</v>
      </c>
      <c r="N893" s="2" t="s">
        <v>435</v>
      </c>
      <c r="O893" s="2"/>
      <c r="P893" s="7">
        <v>257.856803249915</v>
      </c>
      <c r="Q893" s="8">
        <v>4.7138514353280003</v>
      </c>
      <c r="R893" s="9">
        <v>0</v>
      </c>
      <c r="S893" s="2" t="s">
        <v>3116</v>
      </c>
      <c r="T893" s="9">
        <v>44</v>
      </c>
      <c r="U893" s="9">
        <v>39</v>
      </c>
      <c r="V893" s="9">
        <v>40</v>
      </c>
      <c r="W893" s="9">
        <v>75</v>
      </c>
      <c r="X893" s="9">
        <v>75</v>
      </c>
      <c r="Y893" s="9">
        <v>161</v>
      </c>
      <c r="Z893" s="9">
        <v>166</v>
      </c>
      <c r="AA893" s="9">
        <v>1897</v>
      </c>
      <c r="AB893" s="9">
        <v>44</v>
      </c>
      <c r="AC893" s="9">
        <v>42</v>
      </c>
      <c r="AD893" s="9">
        <v>42</v>
      </c>
      <c r="AE893" s="7">
        <v>0</v>
      </c>
      <c r="AF893" s="7">
        <v>0.00015566011607780401</v>
      </c>
      <c r="AG893" s="7">
        <v>0.00013701027198169001</v>
      </c>
      <c r="AH893" s="7">
        <v>0.00014169108915148301</v>
      </c>
      <c r="AI893" s="7">
        <v>0.00026588545401423598</v>
      </c>
      <c r="AJ893" s="7">
        <v>0.00026482191219817902</v>
      </c>
      <c r="AK893" s="7">
        <v>0.00056917673088503404</v>
      </c>
      <c r="AL893" s="7">
        <v>0.00058433369792351404</v>
      </c>
      <c r="AM893" s="7">
        <v>0.0066859611467551998</v>
      </c>
      <c r="AN893" s="7">
        <v>0.000156583167979074</v>
      </c>
      <c r="AO893" s="7">
        <v>0.00014865950337204699</v>
      </c>
      <c r="AP893" s="7">
        <v>0.00014756920073206799</v>
      </c>
      <c r="AQ893" s="9">
        <v>0</v>
      </c>
    </row>
    <row r="894" spans="1:43" ht="15">
      <c r="A894" s="2" t="s">
        <v>3117</v>
      </c>
      <c r="B894" s="5">
        <v>118819785</v>
      </c>
      <c r="C894" s="2" t="s">
        <v>23</v>
      </c>
      <c r="D894" s="2" t="s">
        <v>3118</v>
      </c>
      <c r="E894" s="2" t="s">
        <v>3119</v>
      </c>
      <c r="F894" s="2" t="s">
        <v>26</v>
      </c>
      <c r="G894" s="2" t="s">
        <v>26</v>
      </c>
      <c r="H894" s="2" t="s">
        <v>27</v>
      </c>
      <c r="I894" s="2" t="s">
        <v>28</v>
      </c>
      <c r="J894" s="6"/>
      <c r="K894" s="2" t="s">
        <v>55</v>
      </c>
      <c r="L894" s="2" t="s">
        <v>56</v>
      </c>
      <c r="M894" s="2" t="s">
        <v>55</v>
      </c>
      <c r="N894" s="2"/>
      <c r="O894" s="2"/>
      <c r="P894" s="6" t="s">
        <v>57</v>
      </c>
      <c r="Q894" s="6" t="s">
        <v>57</v>
      </c>
      <c r="R894" s="6" t="s">
        <v>57</v>
      </c>
      <c r="S894" s="2"/>
      <c r="T894" s="6" t="s">
        <v>57</v>
      </c>
      <c r="U894" s="6" t="s">
        <v>57</v>
      </c>
      <c r="V894" s="6" t="s">
        <v>57</v>
      </c>
      <c r="W894" s="6" t="s">
        <v>57</v>
      </c>
      <c r="X894" s="6" t="s">
        <v>57</v>
      </c>
      <c r="Y894" s="6" t="s">
        <v>57</v>
      </c>
      <c r="Z894" s="6" t="s">
        <v>57</v>
      </c>
      <c r="AA894" s="6" t="s">
        <v>57</v>
      </c>
      <c r="AB894" s="6" t="s">
        <v>57</v>
      </c>
      <c r="AC894" s="6" t="s">
        <v>57</v>
      </c>
      <c r="AD894" s="6" t="s">
        <v>57</v>
      </c>
      <c r="AE894" s="6" t="s">
        <v>57</v>
      </c>
      <c r="AF894" s="6" t="s">
        <v>57</v>
      </c>
      <c r="AG894" s="6" t="s">
        <v>57</v>
      </c>
      <c r="AH894" s="6" t="s">
        <v>57</v>
      </c>
      <c r="AI894" s="6" t="s">
        <v>57</v>
      </c>
      <c r="AJ894" s="6" t="s">
        <v>57</v>
      </c>
      <c r="AK894" s="6" t="s">
        <v>57</v>
      </c>
      <c r="AL894" s="6" t="s">
        <v>57</v>
      </c>
      <c r="AM894" s="6" t="s">
        <v>57</v>
      </c>
      <c r="AN894" s="6" t="s">
        <v>57</v>
      </c>
      <c r="AO894" s="6" t="s">
        <v>57</v>
      </c>
      <c r="AP894" s="6" t="s">
        <v>57</v>
      </c>
      <c r="AQ894" s="6" t="s">
        <v>57</v>
      </c>
    </row>
    <row r="895" spans="1:43" ht="15">
      <c r="A895" s="2" t="s">
        <v>3120</v>
      </c>
      <c r="B895" s="5">
        <v>29444714</v>
      </c>
      <c r="C895" s="2" t="s">
        <v>23</v>
      </c>
      <c r="D895" s="2" t="s">
        <v>3121</v>
      </c>
      <c r="E895" s="2" t="s">
        <v>3122</v>
      </c>
      <c r="F895" s="2" t="s">
        <v>26</v>
      </c>
      <c r="G895" s="2" t="s">
        <v>26</v>
      </c>
      <c r="H895" s="2" t="s">
        <v>27</v>
      </c>
      <c r="I895" s="2" t="s">
        <v>28</v>
      </c>
      <c r="J895" s="6"/>
      <c r="K895" s="2" t="s">
        <v>55</v>
      </c>
      <c r="L895" s="2" t="s">
        <v>56</v>
      </c>
      <c r="M895" s="2" t="s">
        <v>55</v>
      </c>
      <c r="N895" s="2"/>
      <c r="O895" s="2"/>
      <c r="P895" s="6" t="s">
        <v>57</v>
      </c>
      <c r="Q895" s="6" t="s">
        <v>57</v>
      </c>
      <c r="R895" s="9">
        <v>0</v>
      </c>
      <c r="S895" s="2"/>
      <c r="T895" s="9">
        <v>0</v>
      </c>
      <c r="U895" s="9">
        <v>0</v>
      </c>
      <c r="V895" s="9">
        <v>0</v>
      </c>
      <c r="W895" s="9">
        <v>0</v>
      </c>
      <c r="X895" s="9">
        <v>0</v>
      </c>
      <c r="Y895" s="9">
        <v>13</v>
      </c>
      <c r="Z895" s="9">
        <v>9</v>
      </c>
      <c r="AA895" s="9">
        <v>7</v>
      </c>
      <c r="AB895" s="9">
        <v>0</v>
      </c>
      <c r="AC895" s="9">
        <v>0</v>
      </c>
      <c r="AD895" s="9">
        <v>0</v>
      </c>
      <c r="AE895" s="6" t="s">
        <v>57</v>
      </c>
      <c r="AF895" s="6" t="s">
        <v>57</v>
      </c>
      <c r="AG895" s="6" t="s">
        <v>57</v>
      </c>
      <c r="AH895" s="6" t="s">
        <v>57</v>
      </c>
      <c r="AI895" s="6" t="s">
        <v>57</v>
      </c>
      <c r="AJ895" s="6" t="s">
        <v>57</v>
      </c>
      <c r="AK895" s="6" t="s">
        <v>57</v>
      </c>
      <c r="AL895" s="6" t="s">
        <v>57</v>
      </c>
      <c r="AM895" s="6" t="s">
        <v>57</v>
      </c>
      <c r="AN895" s="6" t="s">
        <v>57</v>
      </c>
      <c r="AO895" s="6" t="s">
        <v>57</v>
      </c>
      <c r="AP895" s="6" t="s">
        <v>57</v>
      </c>
      <c r="AQ895" s="9">
        <v>0</v>
      </c>
    </row>
    <row r="896" spans="1:43" ht="15">
      <c r="A896" s="2" t="s">
        <v>3123</v>
      </c>
      <c r="B896" s="5">
        <v>141698591</v>
      </c>
      <c r="C896" s="2" t="s">
        <v>23</v>
      </c>
      <c r="D896" s="2" t="s">
        <v>3124</v>
      </c>
      <c r="E896" s="2" t="s">
        <v>3125</v>
      </c>
      <c r="F896" s="2" t="s">
        <v>26</v>
      </c>
      <c r="G896" s="2"/>
      <c r="H896" s="2"/>
      <c r="I896" s="2" t="s">
        <v>28</v>
      </c>
      <c r="J896" s="6"/>
      <c r="K896" s="2" t="s">
        <v>55</v>
      </c>
      <c r="L896" s="2" t="s">
        <v>56</v>
      </c>
      <c r="M896" s="2" t="s">
        <v>55</v>
      </c>
      <c r="N896" s="2"/>
      <c r="O896" s="2"/>
      <c r="P896" s="6" t="s">
        <v>57</v>
      </c>
      <c r="Q896" s="6" t="s">
        <v>57</v>
      </c>
      <c r="R896" s="6" t="s">
        <v>57</v>
      </c>
      <c r="S896" s="2"/>
      <c r="T896" s="6" t="s">
        <v>57</v>
      </c>
      <c r="U896" s="6" t="s">
        <v>57</v>
      </c>
      <c r="V896" s="6" t="s">
        <v>57</v>
      </c>
      <c r="W896" s="6" t="s">
        <v>57</v>
      </c>
      <c r="X896" s="6" t="s">
        <v>57</v>
      </c>
      <c r="Y896" s="6" t="s">
        <v>57</v>
      </c>
      <c r="Z896" s="6" t="s">
        <v>57</v>
      </c>
      <c r="AA896" s="6" t="s">
        <v>57</v>
      </c>
      <c r="AB896" s="6" t="s">
        <v>57</v>
      </c>
      <c r="AC896" s="6" t="s">
        <v>57</v>
      </c>
      <c r="AD896" s="6" t="s">
        <v>57</v>
      </c>
      <c r="AE896" s="6" t="s">
        <v>57</v>
      </c>
      <c r="AF896" s="6" t="s">
        <v>57</v>
      </c>
      <c r="AG896" s="6" t="s">
        <v>57</v>
      </c>
      <c r="AH896" s="6" t="s">
        <v>57</v>
      </c>
      <c r="AI896" s="6" t="s">
        <v>57</v>
      </c>
      <c r="AJ896" s="6" t="s">
        <v>57</v>
      </c>
      <c r="AK896" s="6" t="s">
        <v>57</v>
      </c>
      <c r="AL896" s="6" t="s">
        <v>57</v>
      </c>
      <c r="AM896" s="6" t="s">
        <v>57</v>
      </c>
      <c r="AN896" s="6" t="s">
        <v>57</v>
      </c>
      <c r="AO896" s="6" t="s">
        <v>57</v>
      </c>
      <c r="AP896" s="6" t="s">
        <v>57</v>
      </c>
      <c r="AQ896" s="6" t="s">
        <v>57</v>
      </c>
    </row>
    <row r="897" spans="1:43" ht="15">
      <c r="A897" s="2" t="s">
        <v>3126</v>
      </c>
      <c r="B897" s="5">
        <v>125260251</v>
      </c>
      <c r="C897" s="2" t="s">
        <v>23</v>
      </c>
      <c r="D897" s="2" t="s">
        <v>3124</v>
      </c>
      <c r="E897" s="2" t="s">
        <v>3127</v>
      </c>
      <c r="F897" s="2" t="s">
        <v>26</v>
      </c>
      <c r="G897" s="2" t="s">
        <v>26</v>
      </c>
      <c r="H897" s="2" t="s">
        <v>27</v>
      </c>
      <c r="I897" s="2" t="s">
        <v>28</v>
      </c>
      <c r="J897" s="6"/>
      <c r="K897" s="2" t="s">
        <v>55</v>
      </c>
      <c r="L897" s="2" t="s">
        <v>56</v>
      </c>
      <c r="M897" s="2" t="s">
        <v>55</v>
      </c>
      <c r="N897" s="2"/>
      <c r="O897" s="2"/>
      <c r="P897" s="6" t="s">
        <v>57</v>
      </c>
      <c r="Q897" s="6" t="s">
        <v>57</v>
      </c>
      <c r="R897" s="6" t="s">
        <v>57</v>
      </c>
      <c r="S897" s="2"/>
      <c r="T897" s="6" t="s">
        <v>57</v>
      </c>
      <c r="U897" s="6" t="s">
        <v>57</v>
      </c>
      <c r="V897" s="6" t="s">
        <v>57</v>
      </c>
      <c r="W897" s="6" t="s">
        <v>57</v>
      </c>
      <c r="X897" s="6" t="s">
        <v>57</v>
      </c>
      <c r="Y897" s="6" t="s">
        <v>57</v>
      </c>
      <c r="Z897" s="6" t="s">
        <v>57</v>
      </c>
      <c r="AA897" s="6" t="s">
        <v>57</v>
      </c>
      <c r="AB897" s="6" t="s">
        <v>57</v>
      </c>
      <c r="AC897" s="6" t="s">
        <v>57</v>
      </c>
      <c r="AD897" s="6" t="s">
        <v>57</v>
      </c>
      <c r="AE897" s="6" t="s">
        <v>57</v>
      </c>
      <c r="AF897" s="6" t="s">
        <v>57</v>
      </c>
      <c r="AG897" s="6" t="s">
        <v>57</v>
      </c>
      <c r="AH897" s="6" t="s">
        <v>57</v>
      </c>
      <c r="AI897" s="6" t="s">
        <v>57</v>
      </c>
      <c r="AJ897" s="6" t="s">
        <v>57</v>
      </c>
      <c r="AK897" s="6" t="s">
        <v>57</v>
      </c>
      <c r="AL897" s="6" t="s">
        <v>57</v>
      </c>
      <c r="AM897" s="6" t="s">
        <v>57</v>
      </c>
      <c r="AN897" s="6" t="s">
        <v>57</v>
      </c>
      <c r="AO897" s="6" t="s">
        <v>57</v>
      </c>
      <c r="AP897" s="6" t="s">
        <v>57</v>
      </c>
      <c r="AQ897" s="6" t="s">
        <v>57</v>
      </c>
    </row>
    <row r="898" spans="1:43" ht="15">
      <c r="A898" s="2" t="s">
        <v>3128</v>
      </c>
      <c r="B898" s="5">
        <v>15090538</v>
      </c>
      <c r="C898" s="2" t="s">
        <v>23</v>
      </c>
      <c r="D898" s="2" t="s">
        <v>3129</v>
      </c>
      <c r="E898" s="2" t="s">
        <v>3130</v>
      </c>
      <c r="F898" s="2" t="s">
        <v>26</v>
      </c>
      <c r="G898" s="2" t="s">
        <v>26</v>
      </c>
      <c r="H898" s="2" t="s">
        <v>27</v>
      </c>
      <c r="I898" s="2" t="s">
        <v>28</v>
      </c>
      <c r="J898" s="6"/>
      <c r="K898" s="2" t="s">
        <v>55</v>
      </c>
      <c r="L898" s="2" t="s">
        <v>56</v>
      </c>
      <c r="M898" s="2" t="s">
        <v>55</v>
      </c>
      <c r="N898" s="2"/>
      <c r="O898" s="2"/>
      <c r="P898" s="7">
        <v>1.4679021853697101</v>
      </c>
      <c r="Q898" s="6" t="s">
        <v>57</v>
      </c>
      <c r="R898" s="9">
        <v>0</v>
      </c>
      <c r="S898" s="2"/>
      <c r="T898" s="9">
        <v>0</v>
      </c>
      <c r="U898" s="9">
        <v>0</v>
      </c>
      <c r="V898" s="9">
        <v>0</v>
      </c>
      <c r="W898" s="9">
        <v>0</v>
      </c>
      <c r="X898" s="9">
        <v>0</v>
      </c>
      <c r="Y898" s="9">
        <v>5</v>
      </c>
      <c r="Z898" s="9">
        <v>3</v>
      </c>
      <c r="AA898" s="9">
        <v>24</v>
      </c>
      <c r="AB898" s="9">
        <v>0</v>
      </c>
      <c r="AC898" s="9">
        <v>0</v>
      </c>
      <c r="AD898" s="9">
        <v>0</v>
      </c>
      <c r="AE898" s="6" t="s">
        <v>57</v>
      </c>
      <c r="AF898" s="6" t="s">
        <v>57</v>
      </c>
      <c r="AG898" s="6" t="s">
        <v>57</v>
      </c>
      <c r="AH898" s="6" t="s">
        <v>57</v>
      </c>
      <c r="AI898" s="6" t="s">
        <v>57</v>
      </c>
      <c r="AJ898" s="6" t="s">
        <v>57</v>
      </c>
      <c r="AK898" s="6" t="s">
        <v>57</v>
      </c>
      <c r="AL898" s="6" t="s">
        <v>57</v>
      </c>
      <c r="AM898" s="6" t="s">
        <v>57</v>
      </c>
      <c r="AN898" s="6" t="s">
        <v>57</v>
      </c>
      <c r="AO898" s="6" t="s">
        <v>57</v>
      </c>
      <c r="AP898" s="6" t="s">
        <v>57</v>
      </c>
      <c r="AQ898" s="9">
        <v>0</v>
      </c>
    </row>
    <row r="899" spans="1:43" ht="15">
      <c r="A899" s="2" t="s">
        <v>3131</v>
      </c>
      <c r="B899" s="5">
        <v>19126499</v>
      </c>
      <c r="C899" s="2" t="s">
        <v>23</v>
      </c>
      <c r="D899" s="2" t="s">
        <v>3132</v>
      </c>
      <c r="E899" s="2" t="s">
        <v>3133</v>
      </c>
      <c r="F899" s="2" t="s">
        <v>26</v>
      </c>
      <c r="G899" s="2" t="s">
        <v>26</v>
      </c>
      <c r="H899" s="2" t="s">
        <v>27</v>
      </c>
      <c r="I899" s="2" t="s">
        <v>28</v>
      </c>
      <c r="J899" s="6"/>
      <c r="K899" s="2" t="s">
        <v>55</v>
      </c>
      <c r="L899" s="2" t="s">
        <v>56</v>
      </c>
      <c r="M899" s="2" t="s">
        <v>55</v>
      </c>
      <c r="N899" s="2"/>
      <c r="O899" s="2"/>
      <c r="P899" s="7">
        <v>2.1696758799689002</v>
      </c>
      <c r="Q899" s="6" t="s">
        <v>57</v>
      </c>
      <c r="R899" s="9">
        <v>0</v>
      </c>
      <c r="S899" s="2"/>
      <c r="T899" s="9">
        <v>0</v>
      </c>
      <c r="U899" s="9">
        <v>192</v>
      </c>
      <c r="V899" s="9">
        <v>253</v>
      </c>
      <c r="W899" s="9">
        <v>954</v>
      </c>
      <c r="X899" s="9">
        <v>967</v>
      </c>
      <c r="Y899" s="9">
        <v>3578</v>
      </c>
      <c r="Z899" s="9">
        <v>10190</v>
      </c>
      <c r="AA899" s="9">
        <v>9091</v>
      </c>
      <c r="AB899" s="9">
        <v>219</v>
      </c>
      <c r="AC899" s="9">
        <v>170</v>
      </c>
      <c r="AD899" s="9">
        <v>299</v>
      </c>
      <c r="AE899" s="6" t="s">
        <v>57</v>
      </c>
      <c r="AF899" s="6" t="s">
        <v>57</v>
      </c>
      <c r="AG899" s="6" t="s">
        <v>57</v>
      </c>
      <c r="AH899" s="6" t="s">
        <v>57</v>
      </c>
      <c r="AI899" s="6" t="s">
        <v>57</v>
      </c>
      <c r="AJ899" s="6" t="s">
        <v>57</v>
      </c>
      <c r="AK899" s="6" t="s">
        <v>57</v>
      </c>
      <c r="AL899" s="6" t="s">
        <v>57</v>
      </c>
      <c r="AM899" s="6" t="s">
        <v>57</v>
      </c>
      <c r="AN899" s="6" t="s">
        <v>57</v>
      </c>
      <c r="AO899" s="6" t="s">
        <v>57</v>
      </c>
      <c r="AP899" s="6" t="s">
        <v>57</v>
      </c>
      <c r="AQ899" s="9">
        <v>0</v>
      </c>
    </row>
    <row r="900" spans="1:43" ht="15">
      <c r="A900" s="2" t="s">
        <v>3134</v>
      </c>
      <c r="B900" s="5">
        <v>105872368</v>
      </c>
      <c r="C900" s="2" t="s">
        <v>23</v>
      </c>
      <c r="D900" s="2" t="s">
        <v>3135</v>
      </c>
      <c r="E900" s="2" t="s">
        <v>3136</v>
      </c>
      <c r="F900" s="2" t="s">
        <v>26</v>
      </c>
      <c r="G900" s="2" t="s">
        <v>26</v>
      </c>
      <c r="H900" s="2" t="s">
        <v>27</v>
      </c>
      <c r="I900" s="2" t="s">
        <v>28</v>
      </c>
      <c r="J900" s="6"/>
      <c r="K900" s="2" t="s">
        <v>55</v>
      </c>
      <c r="L900" s="2" t="s">
        <v>56</v>
      </c>
      <c r="M900" s="2" t="s">
        <v>55</v>
      </c>
      <c r="N900" s="2"/>
      <c r="O900" s="2"/>
      <c r="P900" s="6" t="s">
        <v>57</v>
      </c>
      <c r="Q900" s="6" t="s">
        <v>57</v>
      </c>
      <c r="R900" s="9">
        <v>57378</v>
      </c>
      <c r="S900" s="2"/>
      <c r="T900" s="9">
        <v>23352</v>
      </c>
      <c r="U900" s="9">
        <v>10587</v>
      </c>
      <c r="V900" s="9">
        <v>23978</v>
      </c>
      <c r="W900" s="9">
        <v>19019</v>
      </c>
      <c r="X900" s="9">
        <v>19013</v>
      </c>
      <c r="Y900" s="9">
        <v>32164</v>
      </c>
      <c r="Z900" s="9">
        <v>47425</v>
      </c>
      <c r="AA900" s="9">
        <v>47425</v>
      </c>
      <c r="AB900" s="9">
        <v>10901</v>
      </c>
      <c r="AC900" s="9">
        <v>21687</v>
      </c>
      <c r="AD900" s="9">
        <v>18645</v>
      </c>
      <c r="AE900" s="6" t="s">
        <v>57</v>
      </c>
      <c r="AF900" s="6" t="s">
        <v>57</v>
      </c>
      <c r="AG900" s="6" t="s">
        <v>57</v>
      </c>
      <c r="AH900" s="6" t="s">
        <v>57</v>
      </c>
      <c r="AI900" s="6" t="s">
        <v>57</v>
      </c>
      <c r="AJ900" s="6" t="s">
        <v>57</v>
      </c>
      <c r="AK900" s="6" t="s">
        <v>57</v>
      </c>
      <c r="AL900" s="6" t="s">
        <v>57</v>
      </c>
      <c r="AM900" s="6" t="s">
        <v>57</v>
      </c>
      <c r="AN900" s="6" t="s">
        <v>57</v>
      </c>
      <c r="AO900" s="6" t="s">
        <v>57</v>
      </c>
      <c r="AP900" s="6" t="s">
        <v>57</v>
      </c>
      <c r="AQ900" s="9">
        <v>0</v>
      </c>
    </row>
    <row r="901" spans="1:43" ht="15">
      <c r="A901" s="2" t="s">
        <v>3137</v>
      </c>
      <c r="B901" s="5">
        <v>13397014</v>
      </c>
      <c r="C901" s="2" t="s">
        <v>23</v>
      </c>
      <c r="D901" s="2" t="s">
        <v>3138</v>
      </c>
      <c r="E901" s="2" t="s">
        <v>3139</v>
      </c>
      <c r="F901" s="2" t="s">
        <v>26</v>
      </c>
      <c r="G901" s="2"/>
      <c r="H901" s="2"/>
      <c r="I901" s="2" t="s">
        <v>28</v>
      </c>
      <c r="J901" s="6"/>
      <c r="K901" s="2" t="s">
        <v>55</v>
      </c>
      <c r="L901" s="2" t="s">
        <v>56</v>
      </c>
      <c r="M901" s="2" t="s">
        <v>55</v>
      </c>
      <c r="N901" s="2"/>
      <c r="O901" s="2"/>
      <c r="P901" s="6" t="s">
        <v>57</v>
      </c>
      <c r="Q901" s="6" t="s">
        <v>57</v>
      </c>
      <c r="R901" s="9">
        <v>0</v>
      </c>
      <c r="S901" s="2"/>
      <c r="T901" s="9">
        <v>14205</v>
      </c>
      <c r="U901" s="9">
        <v>3551</v>
      </c>
      <c r="V901" s="9">
        <v>1332</v>
      </c>
      <c r="W901" s="9">
        <v>342</v>
      </c>
      <c r="X901" s="9">
        <v>341</v>
      </c>
      <c r="Y901" s="9">
        <v>225</v>
      </c>
      <c r="Z901" s="9">
        <v>186</v>
      </c>
      <c r="AA901" s="9">
        <v>499</v>
      </c>
      <c r="AB901" s="9">
        <v>4059</v>
      </c>
      <c r="AC901" s="9">
        <v>1397</v>
      </c>
      <c r="AD901" s="9">
        <v>687</v>
      </c>
      <c r="AE901" s="6" t="s">
        <v>57</v>
      </c>
      <c r="AF901" s="6" t="s">
        <v>57</v>
      </c>
      <c r="AG901" s="6" t="s">
        <v>57</v>
      </c>
      <c r="AH901" s="6" t="s">
        <v>57</v>
      </c>
      <c r="AI901" s="6" t="s">
        <v>57</v>
      </c>
      <c r="AJ901" s="6" t="s">
        <v>57</v>
      </c>
      <c r="AK901" s="6" t="s">
        <v>57</v>
      </c>
      <c r="AL901" s="6" t="s">
        <v>57</v>
      </c>
      <c r="AM901" s="6" t="s">
        <v>57</v>
      </c>
      <c r="AN901" s="6" t="s">
        <v>57</v>
      </c>
      <c r="AO901" s="6" t="s">
        <v>57</v>
      </c>
      <c r="AP901" s="6" t="s">
        <v>57</v>
      </c>
      <c r="AQ901" s="9">
        <v>0</v>
      </c>
    </row>
    <row r="902" spans="1:43" ht="15">
      <c r="A902" s="2" t="s">
        <v>3140</v>
      </c>
      <c r="B902" s="5">
        <v>8233209</v>
      </c>
      <c r="C902" s="2" t="s">
        <v>23</v>
      </c>
      <c r="D902" s="2" t="s">
        <v>3141</v>
      </c>
      <c r="E902" s="2" t="s">
        <v>3142</v>
      </c>
      <c r="F902" s="2" t="s">
        <v>26</v>
      </c>
      <c r="G902" s="2" t="s">
        <v>26</v>
      </c>
      <c r="H902" s="2" t="s">
        <v>27</v>
      </c>
      <c r="I902" s="2" t="s">
        <v>28</v>
      </c>
      <c r="J902" s="6"/>
      <c r="K902" s="2" t="s">
        <v>55</v>
      </c>
      <c r="L902" s="2" t="s">
        <v>56</v>
      </c>
      <c r="M902" s="2" t="s">
        <v>55</v>
      </c>
      <c r="N902" s="2"/>
      <c r="O902" s="2"/>
      <c r="P902" s="7">
        <v>6.8967788127687397</v>
      </c>
      <c r="Q902" s="6" t="s">
        <v>57</v>
      </c>
      <c r="R902" s="9">
        <v>0</v>
      </c>
      <c r="S902" s="2"/>
      <c r="T902" s="9">
        <v>0</v>
      </c>
      <c r="U902" s="9">
        <v>0</v>
      </c>
      <c r="V902" s="9">
        <v>478</v>
      </c>
      <c r="W902" s="9">
        <v>568</v>
      </c>
      <c r="X902" s="9">
        <v>565</v>
      </c>
      <c r="Y902" s="9">
        <v>443</v>
      </c>
      <c r="Z902" s="9">
        <v>381</v>
      </c>
      <c r="AA902" s="9">
        <v>443</v>
      </c>
      <c r="AB902" s="9">
        <v>0</v>
      </c>
      <c r="AC902" s="9">
        <v>502</v>
      </c>
      <c r="AD902" s="9">
        <v>901</v>
      </c>
      <c r="AE902" s="6" t="s">
        <v>57</v>
      </c>
      <c r="AF902" s="6" t="s">
        <v>57</v>
      </c>
      <c r="AG902" s="6" t="s">
        <v>57</v>
      </c>
      <c r="AH902" s="6" t="s">
        <v>57</v>
      </c>
      <c r="AI902" s="6" t="s">
        <v>57</v>
      </c>
      <c r="AJ902" s="6" t="s">
        <v>57</v>
      </c>
      <c r="AK902" s="6" t="s">
        <v>57</v>
      </c>
      <c r="AL902" s="6" t="s">
        <v>57</v>
      </c>
      <c r="AM902" s="6" t="s">
        <v>57</v>
      </c>
      <c r="AN902" s="6" t="s">
        <v>57</v>
      </c>
      <c r="AO902" s="6" t="s">
        <v>57</v>
      </c>
      <c r="AP902" s="6" t="s">
        <v>57</v>
      </c>
      <c r="AQ902" s="9">
        <v>0</v>
      </c>
    </row>
    <row r="903" spans="1:43" ht="15">
      <c r="A903" s="2" t="s">
        <v>3143</v>
      </c>
      <c r="B903" s="5">
        <v>11060761</v>
      </c>
      <c r="C903" s="2" t="s">
        <v>23</v>
      </c>
      <c r="D903" s="2" t="s">
        <v>3144</v>
      </c>
      <c r="E903" s="2" t="s">
        <v>3145</v>
      </c>
      <c r="F903" s="2" t="s">
        <v>113</v>
      </c>
      <c r="G903" s="2" t="s">
        <v>26</v>
      </c>
      <c r="H903" s="2" t="s">
        <v>27</v>
      </c>
      <c r="I903" s="2" t="s">
        <v>28</v>
      </c>
      <c r="J903" s="6"/>
      <c r="K903" s="2" t="s">
        <v>55</v>
      </c>
      <c r="L903" s="2" t="s">
        <v>56</v>
      </c>
      <c r="M903" s="2" t="s">
        <v>55</v>
      </c>
      <c r="N903" s="2"/>
      <c r="O903" s="2"/>
      <c r="P903" s="6" t="s">
        <v>57</v>
      </c>
      <c r="Q903" s="6" t="s">
        <v>57</v>
      </c>
      <c r="R903" s="9">
        <v>0</v>
      </c>
      <c r="S903" s="2"/>
      <c r="T903" s="9">
        <v>0</v>
      </c>
      <c r="U903" s="9">
        <v>0</v>
      </c>
      <c r="V903" s="9">
        <v>0</v>
      </c>
      <c r="W903" s="9">
        <v>0</v>
      </c>
      <c r="X903" s="9">
        <v>0</v>
      </c>
      <c r="Y903" s="9">
        <v>0</v>
      </c>
      <c r="Z903" s="9">
        <v>0</v>
      </c>
      <c r="AA903" s="9">
        <v>411</v>
      </c>
      <c r="AB903" s="9">
        <v>0</v>
      </c>
      <c r="AC903" s="9">
        <v>0</v>
      </c>
      <c r="AD903" s="9">
        <v>0</v>
      </c>
      <c r="AE903" s="6" t="s">
        <v>57</v>
      </c>
      <c r="AF903" s="6" t="s">
        <v>57</v>
      </c>
      <c r="AG903" s="6" t="s">
        <v>57</v>
      </c>
      <c r="AH903" s="6" t="s">
        <v>57</v>
      </c>
      <c r="AI903" s="6" t="s">
        <v>57</v>
      </c>
      <c r="AJ903" s="6" t="s">
        <v>57</v>
      </c>
      <c r="AK903" s="6" t="s">
        <v>57</v>
      </c>
      <c r="AL903" s="6" t="s">
        <v>57</v>
      </c>
      <c r="AM903" s="6" t="s">
        <v>57</v>
      </c>
      <c r="AN903" s="6" t="s">
        <v>57</v>
      </c>
      <c r="AO903" s="6" t="s">
        <v>57</v>
      </c>
      <c r="AP903" s="6" t="s">
        <v>57</v>
      </c>
      <c r="AQ903" s="9">
        <v>0</v>
      </c>
    </row>
    <row r="904" spans="1:43" ht="15">
      <c r="A904" s="2" t="s">
        <v>3146</v>
      </c>
      <c r="B904" s="5">
        <v>26526018</v>
      </c>
      <c r="C904" s="2" t="s">
        <v>23</v>
      </c>
      <c r="D904" s="2" t="s">
        <v>3147</v>
      </c>
      <c r="E904" s="2" t="s">
        <v>3148</v>
      </c>
      <c r="F904" s="2" t="s">
        <v>26</v>
      </c>
      <c r="G904" s="2" t="s">
        <v>26</v>
      </c>
      <c r="H904" s="2" t="s">
        <v>27</v>
      </c>
      <c r="I904" s="2" t="s">
        <v>28</v>
      </c>
      <c r="J904" s="6"/>
      <c r="K904" s="2" t="s">
        <v>55</v>
      </c>
      <c r="L904" s="2" t="s">
        <v>56</v>
      </c>
      <c r="M904" s="2" t="s">
        <v>55</v>
      </c>
      <c r="N904" s="2"/>
      <c r="O904" s="2"/>
      <c r="P904" s="6" t="s">
        <v>57</v>
      </c>
      <c r="Q904" s="6" t="s">
        <v>57</v>
      </c>
      <c r="R904" s="9">
        <v>0</v>
      </c>
      <c r="S904" s="2"/>
      <c r="T904" s="9">
        <v>0</v>
      </c>
      <c r="U904" s="9">
        <v>0</v>
      </c>
      <c r="V904" s="9">
        <v>120</v>
      </c>
      <c r="W904" s="9">
        <v>1987</v>
      </c>
      <c r="X904" s="9">
        <v>1980</v>
      </c>
      <c r="Y904" s="9">
        <v>4646</v>
      </c>
      <c r="Z904" s="9">
        <v>9890</v>
      </c>
      <c r="AA904" s="9">
        <v>30426</v>
      </c>
      <c r="AB904" s="9">
        <v>0</v>
      </c>
      <c r="AC904" s="9">
        <v>126</v>
      </c>
      <c r="AD904" s="9">
        <v>174</v>
      </c>
      <c r="AE904" s="6" t="s">
        <v>57</v>
      </c>
      <c r="AF904" s="6" t="s">
        <v>57</v>
      </c>
      <c r="AG904" s="6" t="s">
        <v>57</v>
      </c>
      <c r="AH904" s="6" t="s">
        <v>57</v>
      </c>
      <c r="AI904" s="6" t="s">
        <v>57</v>
      </c>
      <c r="AJ904" s="6" t="s">
        <v>57</v>
      </c>
      <c r="AK904" s="6" t="s">
        <v>57</v>
      </c>
      <c r="AL904" s="6" t="s">
        <v>57</v>
      </c>
      <c r="AM904" s="6" t="s">
        <v>57</v>
      </c>
      <c r="AN904" s="6" t="s">
        <v>57</v>
      </c>
      <c r="AO904" s="6" t="s">
        <v>57</v>
      </c>
      <c r="AP904" s="6" t="s">
        <v>57</v>
      </c>
      <c r="AQ904" s="9">
        <v>0</v>
      </c>
    </row>
    <row r="905" spans="1:43" ht="15">
      <c r="A905" s="2" t="s">
        <v>3149</v>
      </c>
      <c r="B905" s="5">
        <v>5737612</v>
      </c>
      <c r="C905" s="2" t="s">
        <v>23</v>
      </c>
      <c r="D905" s="2" t="s">
        <v>3150</v>
      </c>
      <c r="E905" s="2" t="s">
        <v>3151</v>
      </c>
      <c r="F905" s="2" t="s">
        <v>26</v>
      </c>
      <c r="G905" s="2"/>
      <c r="H905" s="2"/>
      <c r="I905" s="2" t="s">
        <v>28</v>
      </c>
      <c r="J905" s="6"/>
      <c r="K905" s="2" t="s">
        <v>55</v>
      </c>
      <c r="L905" s="2" t="s">
        <v>56</v>
      </c>
      <c r="M905" s="2" t="s">
        <v>55</v>
      </c>
      <c r="N905" s="2"/>
      <c r="O905" s="2"/>
      <c r="P905" s="7">
        <v>9.2473930882125703</v>
      </c>
      <c r="Q905" s="6" t="s">
        <v>57</v>
      </c>
      <c r="R905" s="9">
        <v>0</v>
      </c>
      <c r="S905" s="2"/>
      <c r="T905" s="9">
        <v>0</v>
      </c>
      <c r="U905" s="9">
        <v>0</v>
      </c>
      <c r="V905" s="9">
        <v>0</v>
      </c>
      <c r="W905" s="9">
        <v>0</v>
      </c>
      <c r="X905" s="9">
        <v>0</v>
      </c>
      <c r="Y905" s="9">
        <v>0</v>
      </c>
      <c r="Z905" s="9">
        <v>35</v>
      </c>
      <c r="AA905" s="9">
        <v>30</v>
      </c>
      <c r="AB905" s="9">
        <v>0</v>
      </c>
      <c r="AC905" s="9">
        <v>0</v>
      </c>
      <c r="AD905" s="9">
        <v>0</v>
      </c>
      <c r="AE905" s="6" t="s">
        <v>57</v>
      </c>
      <c r="AF905" s="6" t="s">
        <v>57</v>
      </c>
      <c r="AG905" s="6" t="s">
        <v>57</v>
      </c>
      <c r="AH905" s="6" t="s">
        <v>57</v>
      </c>
      <c r="AI905" s="6" t="s">
        <v>57</v>
      </c>
      <c r="AJ905" s="6" t="s">
        <v>57</v>
      </c>
      <c r="AK905" s="6" t="s">
        <v>57</v>
      </c>
      <c r="AL905" s="6" t="s">
        <v>57</v>
      </c>
      <c r="AM905" s="6" t="s">
        <v>57</v>
      </c>
      <c r="AN905" s="6" t="s">
        <v>57</v>
      </c>
      <c r="AO905" s="6" t="s">
        <v>57</v>
      </c>
      <c r="AP905" s="6" t="s">
        <v>57</v>
      </c>
      <c r="AQ905" s="9">
        <v>0</v>
      </c>
    </row>
    <row r="906" spans="1:43" ht="15">
      <c r="A906" s="2" t="s">
        <v>3152</v>
      </c>
      <c r="B906" s="5">
        <v>4349212</v>
      </c>
      <c r="C906" s="2" t="s">
        <v>46</v>
      </c>
      <c r="D906" s="2" t="s">
        <v>3153</v>
      </c>
      <c r="E906" s="2" t="s">
        <v>3154</v>
      </c>
      <c r="F906" s="2" t="s">
        <v>49</v>
      </c>
      <c r="G906" s="2" t="s">
        <v>49</v>
      </c>
      <c r="H906" s="2" t="s">
        <v>50</v>
      </c>
      <c r="I906" s="2" t="s">
        <v>40</v>
      </c>
      <c r="J906" s="6"/>
      <c r="K906" s="2" t="s">
        <v>1139</v>
      </c>
      <c r="L906" s="2" t="s">
        <v>42</v>
      </c>
      <c r="M906" s="2" t="s">
        <v>43</v>
      </c>
      <c r="N906" s="2" t="s">
        <v>1139</v>
      </c>
      <c r="O906" s="2"/>
      <c r="P906" s="7">
        <v>396.04141532393697</v>
      </c>
      <c r="Q906" s="8">
        <v>322.79743101168799</v>
      </c>
      <c r="R906" s="9">
        <v>0</v>
      </c>
      <c r="S906" s="2" t="s">
        <v>3155</v>
      </c>
      <c r="T906" s="9">
        <v>0</v>
      </c>
      <c r="U906" s="9">
        <v>0</v>
      </c>
      <c r="V906" s="9">
        <v>0</v>
      </c>
      <c r="W906" s="9">
        <v>771</v>
      </c>
      <c r="X906" s="9">
        <v>768</v>
      </c>
      <c r="Y906" s="9">
        <v>73414</v>
      </c>
      <c r="Z906" s="9">
        <v>48862</v>
      </c>
      <c r="AA906" s="9">
        <v>30159</v>
      </c>
      <c r="AB906" s="9">
        <v>0</v>
      </c>
      <c r="AC906" s="9">
        <v>0</v>
      </c>
      <c r="AD906" s="9">
        <v>1136</v>
      </c>
      <c r="AE906" s="7">
        <v>0</v>
      </c>
      <c r="AF906" s="7">
        <v>0</v>
      </c>
      <c r="AG906" s="7">
        <v>0</v>
      </c>
      <c r="AH906" s="7">
        <v>0</v>
      </c>
      <c r="AI906" s="7">
        <v>0.000223505890877722</v>
      </c>
      <c r="AJ906" s="7">
        <v>0.00022261186731421101</v>
      </c>
      <c r="AK906" s="7">
        <v>0.0212863416816408</v>
      </c>
      <c r="AL906" s="7">
        <v>0.014167665293814399</v>
      </c>
      <c r="AM906" s="7">
        <v>0.0087447252983127392</v>
      </c>
      <c r="AN906" s="7">
        <v>0</v>
      </c>
      <c r="AO906" s="7">
        <v>0</v>
      </c>
      <c r="AP906" s="7">
        <v>0.00032944549824527602</v>
      </c>
      <c r="AQ906" s="9">
        <v>0</v>
      </c>
    </row>
    <row r="907" spans="1:43" ht="15">
      <c r="A907" s="2" t="s">
        <v>3156</v>
      </c>
      <c r="B907" s="5">
        <v>4349227</v>
      </c>
      <c r="C907" s="2" t="s">
        <v>46</v>
      </c>
      <c r="D907" s="2" t="s">
        <v>3157</v>
      </c>
      <c r="E907" s="2" t="s">
        <v>3158</v>
      </c>
      <c r="F907" s="2" t="s">
        <v>49</v>
      </c>
      <c r="G907" s="2" t="s">
        <v>49</v>
      </c>
      <c r="H907" s="2" t="s">
        <v>50</v>
      </c>
      <c r="I907" s="2" t="s">
        <v>40</v>
      </c>
      <c r="J907" s="6"/>
      <c r="K907" s="2" t="s">
        <v>1139</v>
      </c>
      <c r="L907" s="2" t="s">
        <v>42</v>
      </c>
      <c r="M907" s="2" t="s">
        <v>43</v>
      </c>
      <c r="N907" s="2" t="s">
        <v>1139</v>
      </c>
      <c r="O907" s="2"/>
      <c r="P907" s="7">
        <v>1348.60150111249</v>
      </c>
      <c r="Q907" s="8">
        <v>1260.7105611638201</v>
      </c>
      <c r="R907" s="9">
        <v>58957</v>
      </c>
      <c r="S907" s="2" t="s">
        <v>3159</v>
      </c>
      <c r="T907" s="9">
        <v>146817</v>
      </c>
      <c r="U907" s="9">
        <v>198842</v>
      </c>
      <c r="V907" s="9">
        <v>228424</v>
      </c>
      <c r="W907" s="9">
        <v>303695</v>
      </c>
      <c r="X907" s="9">
        <v>302825</v>
      </c>
      <c r="Y907" s="9">
        <v>165422</v>
      </c>
      <c r="Z907" s="9">
        <v>120220</v>
      </c>
      <c r="AA907" s="9">
        <v>79490</v>
      </c>
      <c r="AB907" s="9">
        <v>200872</v>
      </c>
      <c r="AC907" s="9">
        <v>234474</v>
      </c>
      <c r="AD907" s="9">
        <v>302310</v>
      </c>
      <c r="AE907" s="7">
        <v>0.023437207694561601</v>
      </c>
      <c r="AF907" s="7">
        <v>0.058364867902521697</v>
      </c>
      <c r="AG907" s="7">
        <v>0.079046569331703703</v>
      </c>
      <c r="AH907" s="7">
        <v>0.0908064214626495</v>
      </c>
      <c r="AI907" s="7">
        <v>0.120729107300465</v>
      </c>
      <c r="AJ907" s="7">
        <v>0.120383352789716</v>
      </c>
      <c r="AK907" s="7">
        <v>0.065760694369227393</v>
      </c>
      <c r="AL907" s="7">
        <v>0.047791479994981199</v>
      </c>
      <c r="AM907" s="7">
        <v>0.031599880601002897</v>
      </c>
      <c r="AN907" s="7">
        <v>0.079853354927649195</v>
      </c>
      <c r="AO907" s="7">
        <v>0.093211456175416096</v>
      </c>
      <c r="AP907" s="7">
        <v>0.120178532652349</v>
      </c>
      <c r="AQ907" s="9">
        <v>89258</v>
      </c>
    </row>
    <row r="908" spans="1:43" ht="15">
      <c r="A908" s="2" t="s">
        <v>3160</v>
      </c>
      <c r="B908" s="5">
        <v>4992711</v>
      </c>
      <c r="C908" s="2" t="s">
        <v>23</v>
      </c>
      <c r="D908" s="2" t="s">
        <v>3161</v>
      </c>
      <c r="E908" s="2" t="s">
        <v>3162</v>
      </c>
      <c r="F908" s="2" t="s">
        <v>26</v>
      </c>
      <c r="G908" s="2" t="s">
        <v>26</v>
      </c>
      <c r="H908" s="2" t="s">
        <v>27</v>
      </c>
      <c r="I908" s="2" t="s">
        <v>28</v>
      </c>
      <c r="J908" s="6"/>
      <c r="K908" s="2" t="s">
        <v>3163</v>
      </c>
      <c r="L908" s="2" t="s">
        <v>182</v>
      </c>
      <c r="M908" s="2" t="s">
        <v>183</v>
      </c>
      <c r="N908" s="2" t="s">
        <v>3163</v>
      </c>
      <c r="O908" s="2"/>
      <c r="P908" s="7">
        <v>5.0403767999999998</v>
      </c>
      <c r="Q908" s="8">
        <v>2.3579446325440001</v>
      </c>
      <c r="R908" s="9">
        <v>0</v>
      </c>
      <c r="S908" s="2" t="s">
        <v>3164</v>
      </c>
      <c r="T908" s="9">
        <v>0</v>
      </c>
      <c r="U908" s="9">
        <v>21</v>
      </c>
      <c r="V908" s="9">
        <v>22</v>
      </c>
      <c r="W908" s="9">
        <v>66</v>
      </c>
      <c r="X908" s="9">
        <v>65</v>
      </c>
      <c r="Y908" s="9">
        <v>68</v>
      </c>
      <c r="Z908" s="9">
        <v>128</v>
      </c>
      <c r="AA908" s="9">
        <v>132</v>
      </c>
      <c r="AB908" s="9">
        <v>24</v>
      </c>
      <c r="AC908" s="9">
        <v>23</v>
      </c>
      <c r="AD908" s="9">
        <v>22</v>
      </c>
      <c r="AE908" s="7">
        <v>0</v>
      </c>
      <c r="AF908" s="7">
        <v>0</v>
      </c>
      <c r="AG908" s="7">
        <v>0.011335125448028701</v>
      </c>
      <c r="AH908" s="7">
        <v>0.0116179435483871</v>
      </c>
      <c r="AI908" s="7">
        <v>0.035306818672539597</v>
      </c>
      <c r="AJ908" s="7">
        <v>0.035165591397849499</v>
      </c>
      <c r="AK908" s="7">
        <v>0.036726812487830197</v>
      </c>
      <c r="AL908" s="7">
        <v>0.068571449162558695</v>
      </c>
      <c r="AM908" s="7">
        <v>0.070757006520706503</v>
      </c>
      <c r="AN908" s="7">
        <v>0.0129544290834613</v>
      </c>
      <c r="AO908" s="7">
        <v>0.012189317821258599</v>
      </c>
      <c r="AP908" s="7">
        <v>0.012014394727714201</v>
      </c>
      <c r="AQ908" s="9">
        <v>0</v>
      </c>
    </row>
    <row r="909" spans="1:43" ht="15">
      <c r="A909" s="2" t="s">
        <v>3165</v>
      </c>
      <c r="B909" s="5">
        <v>4773443</v>
      </c>
      <c r="C909" s="2" t="s">
        <v>23</v>
      </c>
      <c r="D909" s="2" t="s">
        <v>3166</v>
      </c>
      <c r="E909" s="2" t="s">
        <v>3167</v>
      </c>
      <c r="F909" s="2" t="s">
        <v>26</v>
      </c>
      <c r="G909" s="2" t="s">
        <v>26</v>
      </c>
      <c r="H909" s="2" t="s">
        <v>27</v>
      </c>
      <c r="I909" s="2" t="s">
        <v>40</v>
      </c>
      <c r="J909" s="6"/>
      <c r="K909" s="2" t="s">
        <v>55</v>
      </c>
      <c r="L909" s="2" t="s">
        <v>56</v>
      </c>
      <c r="M909" s="2" t="s">
        <v>55</v>
      </c>
      <c r="N909" s="2"/>
      <c r="O909" s="2"/>
      <c r="P909" s="7">
        <v>3086.1151763572798</v>
      </c>
      <c r="Q909" s="8">
        <v>3694.1003275501798</v>
      </c>
      <c r="R909" s="9">
        <v>46059</v>
      </c>
      <c r="S909" s="2" t="s">
        <v>3168</v>
      </c>
      <c r="T909" s="9">
        <v>6200240</v>
      </c>
      <c r="U909" s="9">
        <v>15049412</v>
      </c>
      <c r="V909" s="9">
        <v>18984675</v>
      </c>
      <c r="W909" s="9">
        <v>28318886</v>
      </c>
      <c r="X909" s="9">
        <v>29249559</v>
      </c>
      <c r="Y909" s="9">
        <v>25504428</v>
      </c>
      <c r="Z909" s="9">
        <v>22285650</v>
      </c>
      <c r="AA909" s="9">
        <v>49556554</v>
      </c>
      <c r="AB909" s="9">
        <v>15673124</v>
      </c>
      <c r="AC909" s="9">
        <v>19273202</v>
      </c>
      <c r="AD909" s="9">
        <v>25591690</v>
      </c>
      <c r="AE909" s="7">
        <v>0.000116640048115822</v>
      </c>
      <c r="AF909" s="7">
        <v>0.0157015200366846</v>
      </c>
      <c r="AG909" s="7">
        <v>0.0381112083339811</v>
      </c>
      <c r="AH909" s="7">
        <v>0.048076887745244899</v>
      </c>
      <c r="AI909" s="7">
        <v>0.071714892813810896</v>
      </c>
      <c r="AJ909" s="7">
        <v>0.074071734544417497</v>
      </c>
      <c r="AK909" s="7">
        <v>0.064587544306635394</v>
      </c>
      <c r="AL909" s="7">
        <v>0.0564362941010218</v>
      </c>
      <c r="AM909" s="7">
        <v>0.12549727297685701</v>
      </c>
      <c r="AN909" s="7">
        <v>0.039690698494156899</v>
      </c>
      <c r="AO909" s="7">
        <v>0.048807556668729199</v>
      </c>
      <c r="AP909" s="7">
        <v>0.064808526170207298</v>
      </c>
      <c r="AQ909" s="9">
        <v>6910</v>
      </c>
    </row>
    <row r="910" spans="1:43" ht="15">
      <c r="A910" s="2" t="s">
        <v>3169</v>
      </c>
      <c r="B910" s="5">
        <v>111698372</v>
      </c>
      <c r="C910" s="2" t="s">
        <v>23</v>
      </c>
      <c r="D910" s="2" t="s">
        <v>3170</v>
      </c>
      <c r="E910" s="2" t="s">
        <v>3171</v>
      </c>
      <c r="F910" s="2" t="s">
        <v>26</v>
      </c>
      <c r="G910" s="2" t="s">
        <v>26</v>
      </c>
      <c r="H910" s="2" t="s">
        <v>27</v>
      </c>
      <c r="I910" s="2" t="s">
        <v>28</v>
      </c>
      <c r="J910" s="6"/>
      <c r="K910" s="2" t="s">
        <v>756</v>
      </c>
      <c r="L910" s="2" t="s">
        <v>56</v>
      </c>
      <c r="M910" s="2" t="s">
        <v>756</v>
      </c>
      <c r="N910" s="2"/>
      <c r="O910" s="2"/>
      <c r="P910" s="7">
        <v>582.10979047672697</v>
      </c>
      <c r="Q910" s="8">
        <v>549.73588988142399</v>
      </c>
      <c r="R910" s="9">
        <v>1550</v>
      </c>
      <c r="S910" s="2" t="s">
        <v>3172</v>
      </c>
      <c r="T910" s="9">
        <v>5947</v>
      </c>
      <c r="U910" s="9">
        <v>34837</v>
      </c>
      <c r="V910" s="9">
        <v>80957</v>
      </c>
      <c r="W910" s="9">
        <v>47897</v>
      </c>
      <c r="X910" s="9">
        <v>47941</v>
      </c>
      <c r="Y910" s="9">
        <v>44326</v>
      </c>
      <c r="Z910" s="9">
        <v>40751</v>
      </c>
      <c r="AA910" s="9">
        <v>40751</v>
      </c>
      <c r="AB910" s="9">
        <v>18831</v>
      </c>
      <c r="AC910" s="9">
        <v>84039</v>
      </c>
      <c r="AD910" s="9">
        <v>65040</v>
      </c>
      <c r="AE910" s="7">
        <v>0.0087665230997402803</v>
      </c>
      <c r="AF910" s="7">
        <v>0.033646966093151799</v>
      </c>
      <c r="AG910" s="7">
        <v>0.197095191967639</v>
      </c>
      <c r="AH910" s="7">
        <v>0.45802537255262099</v>
      </c>
      <c r="AI910" s="7">
        <v>0.270986016543521</v>
      </c>
      <c r="AJ910" s="7">
        <v>0.27123358824274102</v>
      </c>
      <c r="AK910" s="7">
        <v>0.25077825033459</v>
      </c>
      <c r="AL910" s="7">
        <v>0.230554153902468</v>
      </c>
      <c r="AM910" s="7">
        <v>0.230554153902468</v>
      </c>
      <c r="AN910" s="7">
        <v>0.106539408805866</v>
      </c>
      <c r="AO910" s="7">
        <v>0.47546350245888003</v>
      </c>
      <c r="AP910" s="7">
        <v>0.367971086296565</v>
      </c>
      <c r="AQ910" s="9">
        <v>2345</v>
      </c>
    </row>
    <row r="911" spans="1:43" ht="15">
      <c r="A911" s="2" t="s">
        <v>3173</v>
      </c>
      <c r="B911" s="5">
        <v>138393491</v>
      </c>
      <c r="C911" s="2" t="s">
        <v>23</v>
      </c>
      <c r="D911" s="2" t="s">
        <v>3174</v>
      </c>
      <c r="E911" s="2" t="s">
        <v>3175</v>
      </c>
      <c r="F911" s="2" t="s">
        <v>26</v>
      </c>
      <c r="G911" s="2" t="s">
        <v>26</v>
      </c>
      <c r="H911" s="2" t="s">
        <v>27</v>
      </c>
      <c r="I911" s="2" t="s">
        <v>28</v>
      </c>
      <c r="J911" s="6"/>
      <c r="K911" s="2" t="s">
        <v>55</v>
      </c>
      <c r="L911" s="2" t="s">
        <v>56</v>
      </c>
      <c r="M911" s="2" t="s">
        <v>55</v>
      </c>
      <c r="N911" s="2"/>
      <c r="O911" s="2"/>
      <c r="P911" s="6" t="s">
        <v>57</v>
      </c>
      <c r="Q911" s="6" t="s">
        <v>57</v>
      </c>
      <c r="R911" s="6" t="s">
        <v>57</v>
      </c>
      <c r="S911" s="2"/>
      <c r="T911" s="6" t="s">
        <v>57</v>
      </c>
      <c r="U911" s="6" t="s">
        <v>57</v>
      </c>
      <c r="V911" s="6" t="s">
        <v>57</v>
      </c>
      <c r="W911" s="6" t="s">
        <v>57</v>
      </c>
      <c r="X911" s="6" t="s">
        <v>57</v>
      </c>
      <c r="Y911" s="6" t="s">
        <v>57</v>
      </c>
      <c r="Z911" s="6" t="s">
        <v>57</v>
      </c>
      <c r="AA911" s="6" t="s">
        <v>57</v>
      </c>
      <c r="AB911" s="6" t="s">
        <v>57</v>
      </c>
      <c r="AC911" s="6" t="s">
        <v>57</v>
      </c>
      <c r="AD911" s="6" t="s">
        <v>57</v>
      </c>
      <c r="AE911" s="6" t="s">
        <v>57</v>
      </c>
      <c r="AF911" s="6" t="s">
        <v>57</v>
      </c>
      <c r="AG911" s="6" t="s">
        <v>57</v>
      </c>
      <c r="AH911" s="6" t="s">
        <v>57</v>
      </c>
      <c r="AI911" s="6" t="s">
        <v>57</v>
      </c>
      <c r="AJ911" s="6" t="s">
        <v>57</v>
      </c>
      <c r="AK911" s="6" t="s">
        <v>57</v>
      </c>
      <c r="AL911" s="6" t="s">
        <v>57</v>
      </c>
      <c r="AM911" s="6" t="s">
        <v>57</v>
      </c>
      <c r="AN911" s="6" t="s">
        <v>57</v>
      </c>
      <c r="AO911" s="6" t="s">
        <v>57</v>
      </c>
      <c r="AP911" s="6" t="s">
        <v>57</v>
      </c>
      <c r="AQ911" s="6" t="s">
        <v>57</v>
      </c>
    </row>
    <row r="912" spans="1:43" ht="15">
      <c r="A912" s="2" t="s">
        <v>3176</v>
      </c>
      <c r="B912" s="5">
        <v>4915430</v>
      </c>
      <c r="C912" s="2" t="s">
        <v>35</v>
      </c>
      <c r="D912" s="2" t="s">
        <v>3177</v>
      </c>
      <c r="E912" s="2" t="s">
        <v>3178</v>
      </c>
      <c r="F912" s="2" t="s">
        <v>38</v>
      </c>
      <c r="G912" s="2" t="s">
        <v>38</v>
      </c>
      <c r="H912" s="2" t="s">
        <v>39</v>
      </c>
      <c r="I912" s="2" t="s">
        <v>40</v>
      </c>
      <c r="J912" s="6"/>
      <c r="K912" s="2" t="s">
        <v>3179</v>
      </c>
      <c r="L912" s="2" t="s">
        <v>30</v>
      </c>
      <c r="M912" s="2" t="s">
        <v>31</v>
      </c>
      <c r="N912" s="2" t="s">
        <v>32</v>
      </c>
      <c r="O912" s="2" t="s">
        <v>3179</v>
      </c>
      <c r="P912" s="7">
        <v>938.33838178841904</v>
      </c>
      <c r="Q912" s="8">
        <v>1727.30549200373</v>
      </c>
      <c r="R912" s="9">
        <v>9482</v>
      </c>
      <c r="S912" s="2" t="s">
        <v>3180</v>
      </c>
      <c r="T912" s="9">
        <v>19871</v>
      </c>
      <c r="U912" s="9">
        <v>29523</v>
      </c>
      <c r="V912" s="9">
        <v>38039</v>
      </c>
      <c r="W912" s="9">
        <v>90351</v>
      </c>
      <c r="X912" s="9">
        <v>90038</v>
      </c>
      <c r="Y912" s="9">
        <v>63234</v>
      </c>
      <c r="Z912" s="9">
        <v>48139</v>
      </c>
      <c r="AA912" s="9">
        <v>37527</v>
      </c>
      <c r="AB912" s="9">
        <v>31648</v>
      </c>
      <c r="AC912" s="9">
        <v>37896</v>
      </c>
      <c r="AD912" s="9">
        <v>120399</v>
      </c>
      <c r="AE912" s="7">
        <v>0.026132081771423302</v>
      </c>
      <c r="AF912" s="7">
        <v>0.054763366540074999</v>
      </c>
      <c r="AG912" s="7">
        <v>0.081363670449940806</v>
      </c>
      <c r="AH912" s="7">
        <v>0.104834465352994</v>
      </c>
      <c r="AI912" s="7">
        <v>0.249005749559394</v>
      </c>
      <c r="AJ912" s="7">
        <v>0.24814148850129999</v>
      </c>
      <c r="AK912" s="7">
        <v>0.174269860118315</v>
      </c>
      <c r="AL912" s="7">
        <v>0.13267044272165501</v>
      </c>
      <c r="AM912" s="7">
        <v>0.10342212196275501</v>
      </c>
      <c r="AN912" s="7">
        <v>0.087221867908782794</v>
      </c>
      <c r="AO912" s="7">
        <v>0.104441181499558</v>
      </c>
      <c r="AP912" s="7">
        <v>0.33181700175573098</v>
      </c>
      <c r="AQ912" s="9">
        <v>11292</v>
      </c>
    </row>
    <row r="913" spans="1:43" ht="15">
      <c r="A913" s="2" t="s">
        <v>3181</v>
      </c>
      <c r="B913" s="5">
        <v>5001331</v>
      </c>
      <c r="C913" s="2" t="s">
        <v>46</v>
      </c>
      <c r="D913" s="2" t="s">
        <v>3182</v>
      </c>
      <c r="E913" s="2" t="s">
        <v>3183</v>
      </c>
      <c r="F913" s="2" t="s">
        <v>49</v>
      </c>
      <c r="G913" s="2" t="s">
        <v>49</v>
      </c>
      <c r="H913" s="2" t="s">
        <v>50</v>
      </c>
      <c r="I913" s="2" t="s">
        <v>40</v>
      </c>
      <c r="J913" s="6"/>
      <c r="K913" s="2" t="s">
        <v>1487</v>
      </c>
      <c r="L913" s="2" t="s">
        <v>217</v>
      </c>
      <c r="M913" s="2" t="s">
        <v>1487</v>
      </c>
      <c r="N913" s="2"/>
      <c r="O913" s="2"/>
      <c r="P913" s="7">
        <v>2565.3586622858502</v>
      </c>
      <c r="Q913" s="8">
        <v>2894.2517221931198</v>
      </c>
      <c r="R913" s="9">
        <v>45859</v>
      </c>
      <c r="S913" s="2" t="s">
        <v>3184</v>
      </c>
      <c r="T913" s="9">
        <v>37436</v>
      </c>
      <c r="U913" s="9">
        <v>42973</v>
      </c>
      <c r="V913" s="9">
        <v>39295</v>
      </c>
      <c r="W913" s="9">
        <v>73496</v>
      </c>
      <c r="X913" s="9">
        <v>73447</v>
      </c>
      <c r="Y913" s="9">
        <v>89668</v>
      </c>
      <c r="Z913" s="9">
        <v>164249</v>
      </c>
      <c r="AA913" s="9">
        <v>161231</v>
      </c>
      <c r="AB913" s="9">
        <v>47920</v>
      </c>
      <c r="AC913" s="9">
        <v>39630</v>
      </c>
      <c r="AD913" s="9">
        <v>69600</v>
      </c>
      <c r="AE913" s="7">
        <v>0.0073142994827305498</v>
      </c>
      <c r="AF913" s="7">
        <v>0.0059708431580624798</v>
      </c>
      <c r="AG913" s="7">
        <v>0.0068540090537590704</v>
      </c>
      <c r="AH913" s="7">
        <v>0.0062674165446395796</v>
      </c>
      <c r="AI913" s="7">
        <v>0.0117222520343461</v>
      </c>
      <c r="AJ913" s="7">
        <v>0.011714389636292399</v>
      </c>
      <c r="AK913" s="7">
        <v>0.014301602394290101</v>
      </c>
      <c r="AL913" s="7">
        <v>0.026196963546571</v>
      </c>
      <c r="AM913" s="7">
        <v>0.025715525788144299</v>
      </c>
      <c r="AN913" s="7">
        <v>0.0076429967141132997</v>
      </c>
      <c r="AO913" s="7">
        <v>0.0063207817276482404</v>
      </c>
      <c r="AP913" s="7">
        <v>0.011100848869953101</v>
      </c>
      <c r="AQ913" s="9">
        <v>43412</v>
      </c>
    </row>
    <row r="914" spans="1:43" ht="15">
      <c r="A914" s="2" t="s">
        <v>3185</v>
      </c>
      <c r="B914" s="5">
        <v>107531688</v>
      </c>
      <c r="C914" s="2" t="s">
        <v>23</v>
      </c>
      <c r="D914" s="2" t="s">
        <v>3186</v>
      </c>
      <c r="E914" s="2" t="s">
        <v>3187</v>
      </c>
      <c r="F914" s="2" t="s">
        <v>26</v>
      </c>
      <c r="G914" s="2" t="s">
        <v>26</v>
      </c>
      <c r="H914" s="2" t="s">
        <v>27</v>
      </c>
      <c r="I914" s="2" t="s">
        <v>28</v>
      </c>
      <c r="J914" s="10">
        <v>44861</v>
      </c>
      <c r="K914" s="2" t="s">
        <v>3188</v>
      </c>
      <c r="L914" s="2" t="s">
        <v>30</v>
      </c>
      <c r="M914" s="2" t="s">
        <v>189</v>
      </c>
      <c r="N914" s="2" t="s">
        <v>1160</v>
      </c>
      <c r="O914" s="2" t="s">
        <v>3188</v>
      </c>
      <c r="P914" s="7">
        <v>2.2013459657013801</v>
      </c>
      <c r="Q914" s="6" t="s">
        <v>57</v>
      </c>
      <c r="R914" s="9">
        <v>0</v>
      </c>
      <c r="S914" s="2" t="s">
        <v>3189</v>
      </c>
      <c r="T914" s="9">
        <v>0</v>
      </c>
      <c r="U914" s="9">
        <v>0</v>
      </c>
      <c r="V914" s="9">
        <v>1</v>
      </c>
      <c r="W914" s="9">
        <v>0</v>
      </c>
      <c r="X914" s="9">
        <v>0</v>
      </c>
      <c r="Y914" s="9">
        <v>0</v>
      </c>
      <c r="Z914" s="9">
        <v>1</v>
      </c>
      <c r="AA914" s="9">
        <v>23</v>
      </c>
      <c r="AB914" s="9">
        <v>0</v>
      </c>
      <c r="AC914" s="9">
        <v>1</v>
      </c>
      <c r="AD914" s="9">
        <v>0</v>
      </c>
      <c r="AE914" s="7">
        <v>0</v>
      </c>
      <c r="AF914" s="7">
        <v>0</v>
      </c>
      <c r="AG914" s="7">
        <v>0</v>
      </c>
      <c r="AH914" s="7">
        <v>0.0023896991349671502</v>
      </c>
      <c r="AI914" s="7">
        <v>0.00061421985798352401</v>
      </c>
      <c r="AJ914" s="7">
        <v>0.00061176297855158998</v>
      </c>
      <c r="AK914" s="7">
        <v>0.00030772785641428101</v>
      </c>
      <c r="AL914" s="7">
        <v>0.0023617659225584199</v>
      </c>
      <c r="AM914" s="7">
        <v>0.069079344594382502</v>
      </c>
      <c r="AN914" s="7">
        <v>0</v>
      </c>
      <c r="AO914" s="7">
        <v>0.0025072253219327501</v>
      </c>
      <c r="AP914" s="7">
        <v>0.00123339310191853</v>
      </c>
      <c r="AQ914" s="9">
        <v>0</v>
      </c>
    </row>
    <row r="915" spans="1:43" ht="15">
      <c r="A915" s="2" t="s">
        <v>3190</v>
      </c>
      <c r="B915" s="5">
        <v>4986870</v>
      </c>
      <c r="C915" s="2" t="s">
        <v>23</v>
      </c>
      <c r="D915" s="2" t="s">
        <v>3191</v>
      </c>
      <c r="E915" s="2" t="s">
        <v>3192</v>
      </c>
      <c r="F915" s="2" t="s">
        <v>26</v>
      </c>
      <c r="G915" s="2" t="s">
        <v>26</v>
      </c>
      <c r="H915" s="2" t="s">
        <v>27</v>
      </c>
      <c r="I915" s="2" t="s">
        <v>28</v>
      </c>
      <c r="J915" s="6"/>
      <c r="K915" s="2" t="s">
        <v>1595</v>
      </c>
      <c r="L915" s="2" t="s">
        <v>42</v>
      </c>
      <c r="M915" s="2" t="s">
        <v>1596</v>
      </c>
      <c r="N915" s="2" t="s">
        <v>1595</v>
      </c>
      <c r="O915" s="2"/>
      <c r="P915" s="7">
        <v>335.60833710116901</v>
      </c>
      <c r="Q915" s="8">
        <v>381.92693834115198</v>
      </c>
      <c r="R915" s="9">
        <v>87</v>
      </c>
      <c r="S915" s="2" t="s">
        <v>3193</v>
      </c>
      <c r="T915" s="9">
        <v>243</v>
      </c>
      <c r="U915" s="9">
        <v>193</v>
      </c>
      <c r="V915" s="9">
        <v>1278</v>
      </c>
      <c r="W915" s="9">
        <v>436</v>
      </c>
      <c r="X915" s="9">
        <v>434</v>
      </c>
      <c r="Y915" s="9">
        <v>415</v>
      </c>
      <c r="Z915" s="9">
        <v>357</v>
      </c>
      <c r="AA915" s="9">
        <v>292</v>
      </c>
      <c r="AB915" s="9">
        <v>212</v>
      </c>
      <c r="AC915" s="9">
        <v>1339</v>
      </c>
      <c r="AD915" s="9">
        <v>761</v>
      </c>
      <c r="AE915" s="7">
        <v>0.0017378757051204599</v>
      </c>
      <c r="AF915" s="7">
        <v>0.0048720792889215296</v>
      </c>
      <c r="AG915" s="7">
        <v>0.0038675268582160599</v>
      </c>
      <c r="AH915" s="7">
        <v>0.025674476593024301</v>
      </c>
      <c r="AI915" s="7">
        <v>0.0087557435355826597</v>
      </c>
      <c r="AJ915" s="7">
        <v>0.0087207205614403399</v>
      </c>
      <c r="AK915" s="7">
        <v>0.0083279215614513007</v>
      </c>
      <c r="AL915" s="7">
        <v>0.0071698381168821103</v>
      </c>
      <c r="AM915" s="7">
        <v>0.0058624711612664604</v>
      </c>
      <c r="AN915" s="7">
        <v>0.0042669560389965704</v>
      </c>
      <c r="AO915" s="7">
        <v>0.026908501323346299</v>
      </c>
      <c r="AP915" s="7">
        <v>0.015288477872409299</v>
      </c>
      <c r="AQ915" s="9">
        <v>104</v>
      </c>
    </row>
    <row r="916" spans="1:43" ht="15">
      <c r="A916" s="2" t="s">
        <v>3194</v>
      </c>
      <c r="B916" s="5">
        <v>4435885</v>
      </c>
      <c r="C916" s="2" t="s">
        <v>46</v>
      </c>
      <c r="D916" s="2" t="s">
        <v>3195</v>
      </c>
      <c r="E916" s="2" t="s">
        <v>3196</v>
      </c>
      <c r="F916" s="2" t="s">
        <v>49</v>
      </c>
      <c r="G916" s="2" t="s">
        <v>49</v>
      </c>
      <c r="H916" s="2" t="s">
        <v>50</v>
      </c>
      <c r="I916" s="2" t="s">
        <v>40</v>
      </c>
      <c r="J916" s="6"/>
      <c r="K916" s="2" t="s">
        <v>3197</v>
      </c>
      <c r="L916" s="2" t="s">
        <v>56</v>
      </c>
      <c r="M916" s="2" t="s">
        <v>602</v>
      </c>
      <c r="N916" s="2" t="s">
        <v>2589</v>
      </c>
      <c r="O916" s="2" t="s">
        <v>3197</v>
      </c>
      <c r="P916" s="7">
        <v>1775.02146231087</v>
      </c>
      <c r="Q916" s="8">
        <v>1914.62051176047</v>
      </c>
      <c r="R916" s="9">
        <v>0</v>
      </c>
      <c r="S916" s="2" t="s">
        <v>3198</v>
      </c>
      <c r="T916" s="9">
        <v>14</v>
      </c>
      <c r="U916" s="9">
        <v>3</v>
      </c>
      <c r="V916" s="9">
        <v>1</v>
      </c>
      <c r="W916" s="9">
        <v>13</v>
      </c>
      <c r="X916" s="9">
        <v>13</v>
      </c>
      <c r="Y916" s="9">
        <v>7</v>
      </c>
      <c r="Z916" s="9">
        <v>5</v>
      </c>
      <c r="AA916" s="9">
        <v>3</v>
      </c>
      <c r="AB916" s="9">
        <v>4</v>
      </c>
      <c r="AC916" s="9">
        <v>1</v>
      </c>
      <c r="AD916" s="9">
        <v>1</v>
      </c>
      <c r="AE916" s="7">
        <v>0</v>
      </c>
      <c r="AF916" s="7">
        <v>4.6065125509552797E-05</v>
      </c>
      <c r="AG916" s="7">
        <v>1.1516281377388199E-05</v>
      </c>
      <c r="AH916" s="7">
        <v>4.3186055165205802E-06</v>
      </c>
      <c r="AI916" s="7">
        <v>4.5893828746539401E-05</v>
      </c>
      <c r="AJ916" s="7">
        <v>4.5710253431553298E-05</v>
      </c>
      <c r="AK916" s="7">
        <v>2.4925017810780099E-05</v>
      </c>
      <c r="AL916" s="7">
        <v>1.6583445183438999E-05</v>
      </c>
      <c r="AM916" s="7">
        <v>1.09262269653175E-05</v>
      </c>
      <c r="AN916" s="7">
        <v>1.31614644313008E-05</v>
      </c>
      <c r="AO916" s="7">
        <v>4.5309959517592902E-06</v>
      </c>
      <c r="AP916" s="7">
        <v>2.2289576859461001E-06</v>
      </c>
      <c r="AQ916" s="9">
        <v>0</v>
      </c>
    </row>
    <row r="917" spans="1:43" ht="15">
      <c r="A917" s="2" t="s">
        <v>3199</v>
      </c>
      <c r="B917" s="5">
        <v>6556265</v>
      </c>
      <c r="C917" s="2" t="s">
        <v>23</v>
      </c>
      <c r="D917" s="2" t="s">
        <v>3200</v>
      </c>
      <c r="E917" s="2" t="s">
        <v>3201</v>
      </c>
      <c r="F917" s="2" t="s">
        <v>26</v>
      </c>
      <c r="G917" s="2" t="s">
        <v>26</v>
      </c>
      <c r="H917" s="2" t="s">
        <v>27</v>
      </c>
      <c r="I917" s="2" t="s">
        <v>28</v>
      </c>
      <c r="J917" s="10">
        <v>45260</v>
      </c>
      <c r="K917" s="2" t="s">
        <v>3202</v>
      </c>
      <c r="L917" s="2" t="s">
        <v>42</v>
      </c>
      <c r="M917" s="2" t="s">
        <v>43</v>
      </c>
      <c r="N917" s="2" t="s">
        <v>3202</v>
      </c>
      <c r="O917" s="2"/>
      <c r="P917" s="7">
        <v>88.068060000000003</v>
      </c>
      <c r="Q917" s="8">
        <v>98.967060000000004</v>
      </c>
      <c r="R917" s="9">
        <v>0</v>
      </c>
      <c r="S917" s="2" t="s">
        <v>3203</v>
      </c>
      <c r="T917" s="9">
        <v>0</v>
      </c>
      <c r="U917" s="9">
        <v>0</v>
      </c>
      <c r="V917" s="9">
        <v>69</v>
      </c>
      <c r="W917" s="9">
        <v>23</v>
      </c>
      <c r="X917" s="9">
        <v>23</v>
      </c>
      <c r="Y917" s="9">
        <v>59</v>
      </c>
      <c r="Z917" s="9">
        <v>240</v>
      </c>
      <c r="AA917" s="9">
        <v>240</v>
      </c>
      <c r="AB917" s="9">
        <v>0</v>
      </c>
      <c r="AC917" s="9">
        <v>72</v>
      </c>
      <c r="AD917" s="9">
        <v>35</v>
      </c>
      <c r="AE917" s="7">
        <v>0</v>
      </c>
      <c r="AF917" s="7">
        <v>0</v>
      </c>
      <c r="AG917" s="7">
        <v>0</v>
      </c>
      <c r="AH917" s="7">
        <v>0.011696387146486501</v>
      </c>
      <c r="AI917" s="7">
        <v>0.0039591504433636997</v>
      </c>
      <c r="AJ917" s="7">
        <v>0.0039433138415902397</v>
      </c>
      <c r="AK917" s="7">
        <v>0.00999147224844954</v>
      </c>
      <c r="AL917" s="7">
        <v>0.040886005365724197</v>
      </c>
      <c r="AM917" s="7">
        <v>0.040886005365724197</v>
      </c>
      <c r="AN917" s="7">
        <v>0</v>
      </c>
      <c r="AO917" s="7">
        <v>0.0122716193012317</v>
      </c>
      <c r="AP917" s="7">
        <v>0.0060368449788317296</v>
      </c>
      <c r="AQ917" s="9">
        <v>0</v>
      </c>
    </row>
    <row r="918" spans="1:43" ht="15">
      <c r="A918" s="2" t="s">
        <v>3204</v>
      </c>
      <c r="B918" s="5">
        <v>13691016</v>
      </c>
      <c r="C918" s="2" t="s">
        <v>23</v>
      </c>
      <c r="D918" s="2" t="s">
        <v>3205</v>
      </c>
      <c r="E918" s="2" t="s">
        <v>3206</v>
      </c>
      <c r="F918" s="2" t="s">
        <v>26</v>
      </c>
      <c r="G918" s="2" t="s">
        <v>26</v>
      </c>
      <c r="H918" s="2" t="s">
        <v>27</v>
      </c>
      <c r="I918" s="2" t="s">
        <v>28</v>
      </c>
      <c r="J918" s="6"/>
      <c r="K918" s="2" t="s">
        <v>3207</v>
      </c>
      <c r="L918" s="2" t="s">
        <v>247</v>
      </c>
      <c r="M918" s="2" t="s">
        <v>3208</v>
      </c>
      <c r="N918" s="2" t="s">
        <v>3209</v>
      </c>
      <c r="O918" s="2" t="s">
        <v>3207</v>
      </c>
      <c r="P918" s="7">
        <v>10.948728164</v>
      </c>
      <c r="Q918" s="6" t="s">
        <v>57</v>
      </c>
      <c r="R918" s="9">
        <v>0</v>
      </c>
      <c r="S918" s="2" t="s">
        <v>3210</v>
      </c>
      <c r="T918" s="9">
        <v>0</v>
      </c>
      <c r="U918" s="9">
        <v>0</v>
      </c>
      <c r="V918" s="9">
        <v>0</v>
      </c>
      <c r="W918" s="9">
        <v>0</v>
      </c>
      <c r="X918" s="9">
        <v>0</v>
      </c>
      <c r="Y918" s="9">
        <v>13</v>
      </c>
      <c r="Z918" s="9">
        <v>197</v>
      </c>
      <c r="AA918" s="9">
        <v>197</v>
      </c>
      <c r="AB918" s="9">
        <v>0</v>
      </c>
      <c r="AC918" s="9">
        <v>0</v>
      </c>
      <c r="AD918" s="9">
        <v>0</v>
      </c>
      <c r="AE918" s="6" t="s">
        <v>57</v>
      </c>
      <c r="AF918" s="6" t="s">
        <v>57</v>
      </c>
      <c r="AG918" s="6" t="s">
        <v>57</v>
      </c>
      <c r="AH918" s="6" t="s">
        <v>57</v>
      </c>
      <c r="AI918" s="6" t="s">
        <v>57</v>
      </c>
      <c r="AJ918" s="6" t="s">
        <v>57</v>
      </c>
      <c r="AK918" s="6" t="s">
        <v>57</v>
      </c>
      <c r="AL918" s="6" t="s">
        <v>57</v>
      </c>
      <c r="AM918" s="6" t="s">
        <v>57</v>
      </c>
      <c r="AN918" s="6" t="s">
        <v>57</v>
      </c>
      <c r="AO918" s="6" t="s">
        <v>57</v>
      </c>
      <c r="AP918" s="6" t="s">
        <v>57</v>
      </c>
      <c r="AQ918" s="9">
        <v>0</v>
      </c>
    </row>
    <row r="919" spans="1:43" ht="15">
      <c r="A919" s="2" t="s">
        <v>3211</v>
      </c>
      <c r="B919" s="5">
        <v>4538101</v>
      </c>
      <c r="C919" s="2" t="s">
        <v>23</v>
      </c>
      <c r="D919" s="2" t="s">
        <v>3212</v>
      </c>
      <c r="E919" s="2" t="s">
        <v>3213</v>
      </c>
      <c r="F919" s="2" t="s">
        <v>26</v>
      </c>
      <c r="G919" s="2" t="s">
        <v>26</v>
      </c>
      <c r="H919" s="2" t="s">
        <v>27</v>
      </c>
      <c r="I919" s="2" t="s">
        <v>28</v>
      </c>
      <c r="J919" s="6"/>
      <c r="K919" s="2" t="s">
        <v>443</v>
      </c>
      <c r="L919" s="2" t="s">
        <v>99</v>
      </c>
      <c r="M919" s="2" t="s">
        <v>100</v>
      </c>
      <c r="N919" s="2" t="s">
        <v>443</v>
      </c>
      <c r="O919" s="2"/>
      <c r="P919" s="7">
        <v>3757.1669771841198</v>
      </c>
      <c r="Q919" s="8">
        <v>5954.8302805538597</v>
      </c>
      <c r="R919" s="9">
        <v>491645</v>
      </c>
      <c r="S919" s="2" t="s">
        <v>3214</v>
      </c>
      <c r="T919" s="9">
        <v>835397</v>
      </c>
      <c r="U919" s="9">
        <v>1621873</v>
      </c>
      <c r="V919" s="9">
        <v>1458950</v>
      </c>
      <c r="W919" s="9">
        <v>1259667</v>
      </c>
      <c r="X919" s="9">
        <v>1257802</v>
      </c>
      <c r="Y919" s="9">
        <v>1145114</v>
      </c>
      <c r="Z919" s="9">
        <v>1085366</v>
      </c>
      <c r="AA919" s="9">
        <v>1260208</v>
      </c>
      <c r="AB919" s="9">
        <v>1685373</v>
      </c>
      <c r="AC919" s="9">
        <v>1484038</v>
      </c>
      <c r="AD919" s="9">
        <v>1426213</v>
      </c>
      <c r="AE919" s="7">
        <v>0.27141210051122899</v>
      </c>
      <c r="AF919" s="7">
        <v>0.46118068035232601</v>
      </c>
      <c r="AG919" s="7">
        <v>0.89535440909198205</v>
      </c>
      <c r="AH919" s="7">
        <v>0.80541279948815103</v>
      </c>
      <c r="AI919" s="7">
        <v>0.69539852005790803</v>
      </c>
      <c r="AJ919" s="7">
        <v>0.694368746864925</v>
      </c>
      <c r="AK919" s="7">
        <v>0.63215952142381304</v>
      </c>
      <c r="AL919" s="7">
        <v>0.59917571789579205</v>
      </c>
      <c r="AM919" s="7">
        <v>0.69569692121442706</v>
      </c>
      <c r="AN919" s="7">
        <v>0.93040945377572504</v>
      </c>
      <c r="AO919" s="7">
        <v>0.81926226425860005</v>
      </c>
      <c r="AP919" s="7">
        <v>0.78733996016160501</v>
      </c>
      <c r="AQ919" s="9">
        <v>192738</v>
      </c>
    </row>
    <row r="920" spans="1:43" ht="15">
      <c r="A920" s="2" t="s">
        <v>3215</v>
      </c>
      <c r="B920" s="5">
        <v>5806465</v>
      </c>
      <c r="C920" s="2" t="s">
        <v>35</v>
      </c>
      <c r="D920" s="2" t="s">
        <v>3216</v>
      </c>
      <c r="E920" s="2" t="s">
        <v>3217</v>
      </c>
      <c r="F920" s="2" t="s">
        <v>38</v>
      </c>
      <c r="G920" s="2" t="s">
        <v>38</v>
      </c>
      <c r="H920" s="2" t="s">
        <v>39</v>
      </c>
      <c r="I920" s="2" t="s">
        <v>28</v>
      </c>
      <c r="J920" s="6"/>
      <c r="K920" s="2" t="s">
        <v>443</v>
      </c>
      <c r="L920" s="2" t="s">
        <v>99</v>
      </c>
      <c r="M920" s="2" t="s">
        <v>100</v>
      </c>
      <c r="N920" s="2" t="s">
        <v>443</v>
      </c>
      <c r="O920" s="2"/>
      <c r="P920" s="7">
        <v>951.78733535415597</v>
      </c>
      <c r="Q920" s="8">
        <v>1763.7578640464999</v>
      </c>
      <c r="R920" s="9">
        <v>24549</v>
      </c>
      <c r="S920" s="2" t="s">
        <v>3218</v>
      </c>
      <c r="T920" s="9">
        <v>28427</v>
      </c>
      <c r="U920" s="9">
        <v>26711</v>
      </c>
      <c r="V920" s="9">
        <v>19891</v>
      </c>
      <c r="W920" s="9">
        <v>27034</v>
      </c>
      <c r="X920" s="9">
        <v>27157</v>
      </c>
      <c r="Y920" s="9">
        <v>29234</v>
      </c>
      <c r="Z920" s="9">
        <v>29493</v>
      </c>
      <c r="AA920" s="9">
        <v>26300</v>
      </c>
      <c r="AB920" s="9">
        <v>27807</v>
      </c>
      <c r="AC920" s="9">
        <v>19919</v>
      </c>
      <c r="AD920" s="9">
        <v>25896</v>
      </c>
      <c r="AE920" s="7">
        <v>0.24571299217117601</v>
      </c>
      <c r="AF920" s="7">
        <v>0.28452900877666398</v>
      </c>
      <c r="AG920" s="7">
        <v>0.267361260985025</v>
      </c>
      <c r="AH920" s="7">
        <v>0.19909604871709299</v>
      </c>
      <c r="AI920" s="7">
        <v>0.27059494795306399</v>
      </c>
      <c r="AJ920" s="7">
        <v>0.27182443357017499</v>
      </c>
      <c r="AK920" s="7">
        <v>0.292607598808312</v>
      </c>
      <c r="AL920" s="7">
        <v>0.295208193735087</v>
      </c>
      <c r="AM920" s="7">
        <v>0.26324308653613598</v>
      </c>
      <c r="AN920" s="7">
        <v>0.27832351398004701</v>
      </c>
      <c r="AO920" s="7">
        <v>0.19937672181056501</v>
      </c>
      <c r="AP920" s="7">
        <v>0.25920446021437599</v>
      </c>
      <c r="AQ920" s="9">
        <v>18395</v>
      </c>
    </row>
    <row r="921" spans="1:43" ht="15">
      <c r="A921" s="2" t="s">
        <v>3219</v>
      </c>
      <c r="B921" s="5">
        <v>4863997</v>
      </c>
      <c r="C921" s="2" t="s">
        <v>23</v>
      </c>
      <c r="D921" s="2" t="s">
        <v>3220</v>
      </c>
      <c r="E921" s="2" t="s">
        <v>3221</v>
      </c>
      <c r="F921" s="2" t="s">
        <v>26</v>
      </c>
      <c r="G921" s="2" t="s">
        <v>26</v>
      </c>
      <c r="H921" s="2" t="s">
        <v>27</v>
      </c>
      <c r="I921" s="2" t="s">
        <v>28</v>
      </c>
      <c r="J921" s="10">
        <v>39007</v>
      </c>
      <c r="K921" s="2" t="s">
        <v>2476</v>
      </c>
      <c r="L921" s="2" t="s">
        <v>30</v>
      </c>
      <c r="M921" s="2" t="s">
        <v>189</v>
      </c>
      <c r="N921" s="2" t="s">
        <v>1160</v>
      </c>
      <c r="O921" s="2" t="s">
        <v>2476</v>
      </c>
      <c r="P921" s="7">
        <v>264.15640832401999</v>
      </c>
      <c r="Q921" s="8">
        <v>589.880675473824</v>
      </c>
      <c r="R921" s="9">
        <v>1150</v>
      </c>
      <c r="S921" s="2" t="s">
        <v>3222</v>
      </c>
      <c r="T921" s="9">
        <v>167930</v>
      </c>
      <c r="U921" s="9">
        <v>76259</v>
      </c>
      <c r="V921" s="9">
        <v>209577</v>
      </c>
      <c r="W921" s="9">
        <v>120021</v>
      </c>
      <c r="X921" s="9">
        <v>119540</v>
      </c>
      <c r="Y921" s="9">
        <v>99082</v>
      </c>
      <c r="Z921" s="9">
        <v>92240</v>
      </c>
      <c r="AA921" s="9">
        <v>145967</v>
      </c>
      <c r="AB921" s="9">
        <v>78211</v>
      </c>
      <c r="AC921" s="9">
        <v>195800</v>
      </c>
      <c r="AD921" s="9">
        <v>145887</v>
      </c>
      <c r="AE921" s="7">
        <v>0.0020291548760858098</v>
      </c>
      <c r="AF921" s="7">
        <v>0.296308664142306</v>
      </c>
      <c r="AG921" s="7">
        <v>0.134557229918877</v>
      </c>
      <c r="AH921" s="7">
        <v>0.369794149569246</v>
      </c>
      <c r="AI921" s="7">
        <v>0.21177414641046</v>
      </c>
      <c r="AJ921" s="7">
        <v>0.210927049824818</v>
      </c>
      <c r="AK921" s="7">
        <v>0.17482893089427601</v>
      </c>
      <c r="AL921" s="7">
        <v>0.162756445375312</v>
      </c>
      <c r="AM921" s="7">
        <v>0.25755583597371901</v>
      </c>
      <c r="AN921" s="7">
        <v>0.13800269708813201</v>
      </c>
      <c r="AO921" s="7">
        <v>0.34548558690704301</v>
      </c>
      <c r="AP921" s="7">
        <v>0.257414631724316</v>
      </c>
      <c r="AQ921" s="9">
        <v>300</v>
      </c>
    </row>
    <row r="922" spans="1:43" ht="15">
      <c r="A922" s="2" t="s">
        <v>3223</v>
      </c>
      <c r="B922" s="5">
        <v>4861781</v>
      </c>
      <c r="C922" s="2" t="s">
        <v>46</v>
      </c>
      <c r="D922" s="2" t="s">
        <v>3224</v>
      </c>
      <c r="E922" s="2" t="s">
        <v>3225</v>
      </c>
      <c r="F922" s="2" t="s">
        <v>49</v>
      </c>
      <c r="G922" s="2" t="s">
        <v>49</v>
      </c>
      <c r="H922" s="2" t="s">
        <v>50</v>
      </c>
      <c r="I922" s="2" t="s">
        <v>28</v>
      </c>
      <c r="J922" s="6"/>
      <c r="K922" s="2" t="s">
        <v>443</v>
      </c>
      <c r="L922" s="2" t="s">
        <v>99</v>
      </c>
      <c r="M922" s="2" t="s">
        <v>100</v>
      </c>
      <c r="N922" s="2" t="s">
        <v>443</v>
      </c>
      <c r="O922" s="2"/>
      <c r="P922" s="7">
        <v>9.3253251960828294</v>
      </c>
      <c r="Q922" s="8">
        <v>9.1364354373026195</v>
      </c>
      <c r="R922" s="9">
        <v>0</v>
      </c>
      <c r="S922" s="2" t="s">
        <v>3226</v>
      </c>
      <c r="T922" s="9">
        <v>0</v>
      </c>
      <c r="U922" s="9">
        <v>3573</v>
      </c>
      <c r="V922" s="9">
        <v>1340</v>
      </c>
      <c r="W922" s="9">
        <v>353</v>
      </c>
      <c r="X922" s="9">
        <v>352</v>
      </c>
      <c r="Y922" s="9">
        <v>179</v>
      </c>
      <c r="Z922" s="9">
        <v>291</v>
      </c>
      <c r="AA922" s="9">
        <v>467</v>
      </c>
      <c r="AB922" s="9">
        <v>4083</v>
      </c>
      <c r="AC922" s="9">
        <v>1406</v>
      </c>
      <c r="AD922" s="9">
        <v>692</v>
      </c>
      <c r="AE922" s="7">
        <v>0</v>
      </c>
      <c r="AF922" s="7">
        <v>0</v>
      </c>
      <c r="AG922" s="7">
        <v>0.0027008488087585602</v>
      </c>
      <c r="AH922" s="7">
        <v>0.00101281830328446</v>
      </c>
      <c r="AI922" s="7">
        <v>0.00026683175693799002</v>
      </c>
      <c r="AJ922" s="7">
        <v>0.00026576442991023798</v>
      </c>
      <c r="AK922" s="7">
        <v>0.000135489048671924</v>
      </c>
      <c r="AL922" s="7">
        <v>0.00021996654096220601</v>
      </c>
      <c r="AM922" s="7">
        <v>0.00035313341937715501</v>
      </c>
      <c r="AN922" s="7">
        <v>0.0030866843528669298</v>
      </c>
      <c r="AO922" s="7">
        <v>0.0010626290395115701</v>
      </c>
      <c r="AP922" s="7">
        <v>0.00052274493072746397</v>
      </c>
      <c r="AQ922" s="9">
        <v>0</v>
      </c>
    </row>
    <row r="923" spans="1:43" ht="15">
      <c r="A923" s="2" t="s">
        <v>3227</v>
      </c>
      <c r="B923" s="5">
        <v>114787221</v>
      </c>
      <c r="C923" s="2" t="s">
        <v>46</v>
      </c>
      <c r="D923" s="2" t="s">
        <v>3228</v>
      </c>
      <c r="E923" s="2" t="s">
        <v>3229</v>
      </c>
      <c r="F923" s="2" t="s">
        <v>49</v>
      </c>
      <c r="G923" s="2" t="s">
        <v>49</v>
      </c>
      <c r="H923" s="2" t="s">
        <v>50</v>
      </c>
      <c r="I923" s="2" t="s">
        <v>28</v>
      </c>
      <c r="J923" s="6"/>
      <c r="K923" s="2" t="s">
        <v>55</v>
      </c>
      <c r="L923" s="2" t="s">
        <v>56</v>
      </c>
      <c r="M923" s="2" t="s">
        <v>55</v>
      </c>
      <c r="N923" s="2"/>
      <c r="O923" s="2"/>
      <c r="P923" s="6" t="s">
        <v>57</v>
      </c>
      <c r="Q923" s="6" t="s">
        <v>57</v>
      </c>
      <c r="R923" s="9">
        <v>181</v>
      </c>
      <c r="S923" s="2"/>
      <c r="T923" s="9">
        <v>104</v>
      </c>
      <c r="U923" s="9">
        <v>265</v>
      </c>
      <c r="V923" s="9">
        <v>669</v>
      </c>
      <c r="W923" s="9">
        <v>8803</v>
      </c>
      <c r="X923" s="9">
        <v>8768</v>
      </c>
      <c r="Y923" s="9">
        <v>12075</v>
      </c>
      <c r="Z923" s="9">
        <v>12075</v>
      </c>
      <c r="AA923" s="9">
        <v>12075</v>
      </c>
      <c r="AB923" s="9">
        <v>146</v>
      </c>
      <c r="AC923" s="9">
        <v>692</v>
      </c>
      <c r="AD923" s="9">
        <v>2472</v>
      </c>
      <c r="AE923" s="6" t="s">
        <v>57</v>
      </c>
      <c r="AF923" s="6" t="s">
        <v>57</v>
      </c>
      <c r="AG923" s="6" t="s">
        <v>57</v>
      </c>
      <c r="AH923" s="6" t="s">
        <v>57</v>
      </c>
      <c r="AI923" s="6" t="s">
        <v>57</v>
      </c>
      <c r="AJ923" s="6" t="s">
        <v>57</v>
      </c>
      <c r="AK923" s="6" t="s">
        <v>57</v>
      </c>
      <c r="AL923" s="6" t="s">
        <v>57</v>
      </c>
      <c r="AM923" s="6" t="s">
        <v>57</v>
      </c>
      <c r="AN923" s="6" t="s">
        <v>57</v>
      </c>
      <c r="AO923" s="6" t="s">
        <v>57</v>
      </c>
      <c r="AP923" s="6" t="s">
        <v>57</v>
      </c>
      <c r="AQ923" s="9">
        <v>298</v>
      </c>
    </row>
    <row r="924" spans="1:43" ht="15">
      <c r="A924" s="2" t="s">
        <v>3230</v>
      </c>
      <c r="B924" s="5">
        <v>4353301</v>
      </c>
      <c r="C924" s="2" t="s">
        <v>46</v>
      </c>
      <c r="D924" s="2" t="s">
        <v>3231</v>
      </c>
      <c r="E924" s="2" t="s">
        <v>3232</v>
      </c>
      <c r="F924" s="2" t="s">
        <v>49</v>
      </c>
      <c r="G924" s="2" t="s">
        <v>49</v>
      </c>
      <c r="H924" s="2" t="s">
        <v>50</v>
      </c>
      <c r="I924" s="2" t="s">
        <v>40</v>
      </c>
      <c r="J924" s="6"/>
      <c r="K924" s="2" t="s">
        <v>3233</v>
      </c>
      <c r="L924" s="2" t="s">
        <v>182</v>
      </c>
      <c r="M924" s="2" t="s">
        <v>2355</v>
      </c>
      <c r="N924" s="2" t="s">
        <v>3233</v>
      </c>
      <c r="O924" s="2"/>
      <c r="P924" s="7">
        <v>48.378722559329198</v>
      </c>
      <c r="Q924" s="8">
        <v>66.063602350837996</v>
      </c>
      <c r="R924" s="9">
        <v>0</v>
      </c>
      <c r="S924" s="2" t="s">
        <v>3234</v>
      </c>
      <c r="T924" s="9">
        <v>0</v>
      </c>
      <c r="U924" s="9">
        <v>0</v>
      </c>
      <c r="V924" s="9">
        <v>31</v>
      </c>
      <c r="W924" s="9">
        <v>596</v>
      </c>
      <c r="X924" s="9">
        <v>593</v>
      </c>
      <c r="Y924" s="9">
        <v>491</v>
      </c>
      <c r="Z924" s="9">
        <v>328</v>
      </c>
      <c r="AA924" s="9">
        <v>294</v>
      </c>
      <c r="AB924" s="9">
        <v>0</v>
      </c>
      <c r="AC924" s="9">
        <v>33</v>
      </c>
      <c r="AD924" s="9">
        <v>618</v>
      </c>
      <c r="AE924" s="7">
        <v>0</v>
      </c>
      <c r="AF924" s="7">
        <v>0</v>
      </c>
      <c r="AG924" s="7">
        <v>0</v>
      </c>
      <c r="AH924" s="7">
        <v>0.00089519877824416599</v>
      </c>
      <c r="AI924" s="7">
        <v>0.017063222129200299</v>
      </c>
      <c r="AJ924" s="7">
        <v>0.0169949692406835</v>
      </c>
      <c r="AK924" s="7">
        <v>0.0140615743063382</v>
      </c>
      <c r="AL924" s="7">
        <v>0.0093949751074582297</v>
      </c>
      <c r="AM924" s="7">
        <v>0.0084117567702212594</v>
      </c>
      <c r="AN924" s="7">
        <v>0</v>
      </c>
      <c r="AO924" s="7">
        <v>0.00093922494766601001</v>
      </c>
      <c r="AP924" s="7">
        <v>0.0176972135244889</v>
      </c>
      <c r="AQ924" s="9">
        <v>0</v>
      </c>
    </row>
    <row r="925" spans="1:43" ht="15">
      <c r="A925" s="2" t="s">
        <v>3235</v>
      </c>
      <c r="B925" s="5">
        <v>4916899</v>
      </c>
      <c r="C925" s="2" t="s">
        <v>46</v>
      </c>
      <c r="D925" s="2" t="s">
        <v>3236</v>
      </c>
      <c r="E925" s="2" t="s">
        <v>3237</v>
      </c>
      <c r="F925" s="2" t="s">
        <v>49</v>
      </c>
      <c r="G925" s="2" t="s">
        <v>49</v>
      </c>
      <c r="H925" s="2" t="s">
        <v>50</v>
      </c>
      <c r="I925" s="2" t="s">
        <v>40</v>
      </c>
      <c r="J925" s="10">
        <v>40486</v>
      </c>
      <c r="K925" s="2" t="s">
        <v>211</v>
      </c>
      <c r="L925" s="2" t="s">
        <v>30</v>
      </c>
      <c r="M925" s="2" t="s">
        <v>189</v>
      </c>
      <c r="N925" s="2" t="s">
        <v>211</v>
      </c>
      <c r="O925" s="2"/>
      <c r="P925" s="7">
        <v>212.372720224586</v>
      </c>
      <c r="Q925" s="8">
        <v>576.926749789778</v>
      </c>
      <c r="R925" s="9">
        <v>1806</v>
      </c>
      <c r="S925" s="2" t="s">
        <v>3238</v>
      </c>
      <c r="T925" s="9">
        <v>4941</v>
      </c>
      <c r="U925" s="9">
        <v>2315</v>
      </c>
      <c r="V925" s="9">
        <v>1556</v>
      </c>
      <c r="W925" s="9">
        <v>40617</v>
      </c>
      <c r="X925" s="9">
        <v>40454</v>
      </c>
      <c r="Y925" s="9">
        <v>21408</v>
      </c>
      <c r="Z925" s="9">
        <v>14413</v>
      </c>
      <c r="AA925" s="9">
        <v>15853</v>
      </c>
      <c r="AB925" s="9">
        <v>2599</v>
      </c>
      <c r="AC925" s="9">
        <v>1622</v>
      </c>
      <c r="AD925" s="9">
        <v>2635</v>
      </c>
      <c r="AE925" s="7">
        <v>0.00305546383524582</v>
      </c>
      <c r="AF925" s="7">
        <v>0.0083588196688840002</v>
      </c>
      <c r="AG925" s="7">
        <v>0.0039163991393215197</v>
      </c>
      <c r="AH925" s="7">
        <v>0.0026328209452445199</v>
      </c>
      <c r="AI925" s="7">
        <v>0.068717245356207601</v>
      </c>
      <c r="AJ925" s="7">
        <v>0.068442376374782801</v>
      </c>
      <c r="AK925" s="7">
        <v>0.036218201368798698</v>
      </c>
      <c r="AL925" s="7">
        <v>0.024383702229441501</v>
      </c>
      <c r="AM925" s="7">
        <v>0.026819915444830499</v>
      </c>
      <c r="AN925" s="7">
        <v>0.0043974155597537902</v>
      </c>
      <c r="AO925" s="7">
        <v>0.0027448308363645499</v>
      </c>
      <c r="AP925" s="7">
        <v>0.0044578221899151602</v>
      </c>
      <c r="AQ925" s="9">
        <v>2700</v>
      </c>
    </row>
    <row r="926" spans="1:43" ht="15">
      <c r="A926" s="2" t="s">
        <v>3239</v>
      </c>
      <c r="B926" s="5">
        <v>126326691</v>
      </c>
      <c r="C926" s="2" t="s">
        <v>23</v>
      </c>
      <c r="D926" s="2" t="s">
        <v>3240</v>
      </c>
      <c r="E926" s="2" t="s">
        <v>3241</v>
      </c>
      <c r="F926" s="2" t="s">
        <v>26</v>
      </c>
      <c r="G926" s="2" t="s">
        <v>26</v>
      </c>
      <c r="H926" s="2" t="s">
        <v>27</v>
      </c>
      <c r="I926" s="2" t="s">
        <v>28</v>
      </c>
      <c r="J926" s="6"/>
      <c r="K926" s="2" t="s">
        <v>55</v>
      </c>
      <c r="L926" s="2" t="s">
        <v>56</v>
      </c>
      <c r="M926" s="2" t="s">
        <v>55</v>
      </c>
      <c r="N926" s="2"/>
      <c r="O926" s="2"/>
      <c r="P926" s="6" t="s">
        <v>57</v>
      </c>
      <c r="Q926" s="6" t="s">
        <v>57</v>
      </c>
      <c r="R926" s="9">
        <v>0</v>
      </c>
      <c r="S926" s="2"/>
      <c r="T926" s="9">
        <v>0</v>
      </c>
      <c r="U926" s="9">
        <v>0</v>
      </c>
      <c r="V926" s="9">
        <v>0</v>
      </c>
      <c r="W926" s="9">
        <v>3269</v>
      </c>
      <c r="X926" s="9">
        <v>3256</v>
      </c>
      <c r="Y926" s="9">
        <v>2612</v>
      </c>
      <c r="Z926" s="9">
        <v>2612</v>
      </c>
      <c r="AA926" s="9">
        <v>2612</v>
      </c>
      <c r="AB926" s="9">
        <v>0</v>
      </c>
      <c r="AC926" s="9">
        <v>0</v>
      </c>
      <c r="AD926" s="9">
        <v>6399</v>
      </c>
      <c r="AE926" s="6" t="s">
        <v>57</v>
      </c>
      <c r="AF926" s="6" t="s">
        <v>57</v>
      </c>
      <c r="AG926" s="6" t="s">
        <v>57</v>
      </c>
      <c r="AH926" s="6" t="s">
        <v>57</v>
      </c>
      <c r="AI926" s="6" t="s">
        <v>57</v>
      </c>
      <c r="AJ926" s="6" t="s">
        <v>57</v>
      </c>
      <c r="AK926" s="6" t="s">
        <v>57</v>
      </c>
      <c r="AL926" s="6" t="s">
        <v>57</v>
      </c>
      <c r="AM926" s="6" t="s">
        <v>57</v>
      </c>
      <c r="AN926" s="6" t="s">
        <v>57</v>
      </c>
      <c r="AO926" s="6" t="s">
        <v>57</v>
      </c>
      <c r="AP926" s="6" t="s">
        <v>57</v>
      </c>
      <c r="AQ926" s="9">
        <v>0</v>
      </c>
    </row>
    <row r="927" spans="1:43" ht="15">
      <c r="A927" s="2" t="s">
        <v>3242</v>
      </c>
      <c r="B927" s="5">
        <v>5738756</v>
      </c>
      <c r="C927" s="2" t="s">
        <v>23</v>
      </c>
      <c r="D927" s="2" t="s">
        <v>3243</v>
      </c>
      <c r="E927" s="2" t="s">
        <v>3244</v>
      </c>
      <c r="F927" s="2" t="s">
        <v>26</v>
      </c>
      <c r="G927" s="2" t="s">
        <v>26</v>
      </c>
      <c r="H927" s="2" t="s">
        <v>27</v>
      </c>
      <c r="I927" s="2" t="s">
        <v>28</v>
      </c>
      <c r="J927" s="6"/>
      <c r="K927" s="2" t="s">
        <v>55</v>
      </c>
      <c r="L927" s="2" t="s">
        <v>56</v>
      </c>
      <c r="M927" s="2" t="s">
        <v>55</v>
      </c>
      <c r="N927" s="2"/>
      <c r="O927" s="2"/>
      <c r="P927" s="7">
        <v>22.674917703967498</v>
      </c>
      <c r="Q927" s="6" t="s">
        <v>57</v>
      </c>
      <c r="R927" s="9">
        <v>0</v>
      </c>
      <c r="S927" s="2"/>
      <c r="T927" s="9">
        <v>0</v>
      </c>
      <c r="U927" s="9">
        <v>0</v>
      </c>
      <c r="V927" s="9">
        <v>0</v>
      </c>
      <c r="W927" s="9">
        <v>0</v>
      </c>
      <c r="X927" s="9">
        <v>0</v>
      </c>
      <c r="Y927" s="9">
        <v>0</v>
      </c>
      <c r="Z927" s="9">
        <v>0</v>
      </c>
      <c r="AA927" s="9">
        <v>1040</v>
      </c>
      <c r="AB927" s="9">
        <v>0</v>
      </c>
      <c r="AC927" s="9">
        <v>0</v>
      </c>
      <c r="AD927" s="9">
        <v>0</v>
      </c>
      <c r="AE927" s="6" t="s">
        <v>57</v>
      </c>
      <c r="AF927" s="6" t="s">
        <v>57</v>
      </c>
      <c r="AG927" s="6" t="s">
        <v>57</v>
      </c>
      <c r="AH927" s="6" t="s">
        <v>57</v>
      </c>
      <c r="AI927" s="6" t="s">
        <v>57</v>
      </c>
      <c r="AJ927" s="6" t="s">
        <v>57</v>
      </c>
      <c r="AK927" s="6" t="s">
        <v>57</v>
      </c>
      <c r="AL927" s="6" t="s">
        <v>57</v>
      </c>
      <c r="AM927" s="6" t="s">
        <v>57</v>
      </c>
      <c r="AN927" s="6" t="s">
        <v>57</v>
      </c>
      <c r="AO927" s="6" t="s">
        <v>57</v>
      </c>
      <c r="AP927" s="6" t="s">
        <v>57</v>
      </c>
      <c r="AQ927" s="9">
        <v>0</v>
      </c>
    </row>
    <row r="928" spans="1:43" ht="15">
      <c r="A928" s="2" t="s">
        <v>3245</v>
      </c>
      <c r="B928" s="5">
        <v>11079340</v>
      </c>
      <c r="C928" s="2" t="s">
        <v>23</v>
      </c>
      <c r="D928" s="2" t="s">
        <v>3246</v>
      </c>
      <c r="E928" s="2" t="s">
        <v>3247</v>
      </c>
      <c r="F928" s="2" t="s">
        <v>26</v>
      </c>
      <c r="G928" s="2" t="s">
        <v>26</v>
      </c>
      <c r="H928" s="2" t="s">
        <v>27</v>
      </c>
      <c r="I928" s="2" t="s">
        <v>28</v>
      </c>
      <c r="J928" s="6"/>
      <c r="K928" s="2" t="s">
        <v>55</v>
      </c>
      <c r="L928" s="2" t="s">
        <v>56</v>
      </c>
      <c r="M928" s="2" t="s">
        <v>55</v>
      </c>
      <c r="N928" s="2"/>
      <c r="O928" s="2"/>
      <c r="P928" s="6" t="s">
        <v>57</v>
      </c>
      <c r="Q928" s="6" t="s">
        <v>57</v>
      </c>
      <c r="R928" s="9">
        <v>0</v>
      </c>
      <c r="S928" s="2"/>
      <c r="T928" s="9">
        <v>0</v>
      </c>
      <c r="U928" s="9">
        <v>0</v>
      </c>
      <c r="V928" s="9">
        <v>0</v>
      </c>
      <c r="W928" s="9">
        <v>0</v>
      </c>
      <c r="X928" s="9">
        <v>0</v>
      </c>
      <c r="Y928" s="9">
        <v>0</v>
      </c>
      <c r="Z928" s="9">
        <v>0</v>
      </c>
      <c r="AA928" s="9">
        <v>45</v>
      </c>
      <c r="AB928" s="9">
        <v>0</v>
      </c>
      <c r="AC928" s="9">
        <v>0</v>
      </c>
      <c r="AD928" s="9">
        <v>0</v>
      </c>
      <c r="AE928" s="6" t="s">
        <v>57</v>
      </c>
      <c r="AF928" s="6" t="s">
        <v>57</v>
      </c>
      <c r="AG928" s="6" t="s">
        <v>57</v>
      </c>
      <c r="AH928" s="6" t="s">
        <v>57</v>
      </c>
      <c r="AI928" s="6" t="s">
        <v>57</v>
      </c>
      <c r="AJ928" s="6" t="s">
        <v>57</v>
      </c>
      <c r="AK928" s="6" t="s">
        <v>57</v>
      </c>
      <c r="AL928" s="6" t="s">
        <v>57</v>
      </c>
      <c r="AM928" s="6" t="s">
        <v>57</v>
      </c>
      <c r="AN928" s="6" t="s">
        <v>57</v>
      </c>
      <c r="AO928" s="6" t="s">
        <v>57</v>
      </c>
      <c r="AP928" s="6" t="s">
        <v>57</v>
      </c>
      <c r="AQ928" s="9">
        <v>0</v>
      </c>
    </row>
    <row r="929" spans="1:43" ht="15">
      <c r="A929" s="2" t="s">
        <v>3248</v>
      </c>
      <c r="B929" s="5">
        <v>108022583</v>
      </c>
      <c r="C929" s="2" t="s">
        <v>23</v>
      </c>
      <c r="D929" s="2" t="s">
        <v>3249</v>
      </c>
      <c r="E929" s="2" t="s">
        <v>3250</v>
      </c>
      <c r="F929" s="2" t="s">
        <v>26</v>
      </c>
      <c r="G929" s="2"/>
      <c r="H929" s="2"/>
      <c r="I929" s="2" t="s">
        <v>28</v>
      </c>
      <c r="J929" s="6"/>
      <c r="K929" s="2" t="s">
        <v>55</v>
      </c>
      <c r="L929" s="2" t="s">
        <v>56</v>
      </c>
      <c r="M929" s="2" t="s">
        <v>55</v>
      </c>
      <c r="N929" s="2"/>
      <c r="O929" s="2"/>
      <c r="P929" s="6" t="s">
        <v>57</v>
      </c>
      <c r="Q929" s="6" t="s">
        <v>57</v>
      </c>
      <c r="R929" s="9">
        <v>0</v>
      </c>
      <c r="S929" s="2"/>
      <c r="T929" s="9">
        <v>0</v>
      </c>
      <c r="U929" s="9">
        <v>0</v>
      </c>
      <c r="V929" s="9">
        <v>0</v>
      </c>
      <c r="W929" s="9">
        <v>924</v>
      </c>
      <c r="X929" s="9">
        <v>920</v>
      </c>
      <c r="Y929" s="9">
        <v>1061</v>
      </c>
      <c r="Z929" s="9">
        <v>907</v>
      </c>
      <c r="AA929" s="9">
        <v>2278</v>
      </c>
      <c r="AB929" s="9">
        <v>0</v>
      </c>
      <c r="AC929" s="9">
        <v>0</v>
      </c>
      <c r="AD929" s="9">
        <v>881</v>
      </c>
      <c r="AE929" s="6" t="s">
        <v>57</v>
      </c>
      <c r="AF929" s="6" t="s">
        <v>57</v>
      </c>
      <c r="AG929" s="6" t="s">
        <v>57</v>
      </c>
      <c r="AH929" s="6" t="s">
        <v>57</v>
      </c>
      <c r="AI929" s="6" t="s">
        <v>57</v>
      </c>
      <c r="AJ929" s="6" t="s">
        <v>57</v>
      </c>
      <c r="AK929" s="6" t="s">
        <v>57</v>
      </c>
      <c r="AL929" s="6" t="s">
        <v>57</v>
      </c>
      <c r="AM929" s="6" t="s">
        <v>57</v>
      </c>
      <c r="AN929" s="6" t="s">
        <v>57</v>
      </c>
      <c r="AO929" s="6" t="s">
        <v>57</v>
      </c>
      <c r="AP929" s="6" t="s">
        <v>57</v>
      </c>
      <c r="AQ929" s="9">
        <v>0</v>
      </c>
    </row>
    <row r="930" spans="1:43" ht="15">
      <c r="A930" s="2" t="s">
        <v>3251</v>
      </c>
      <c r="B930" s="5">
        <v>111464200</v>
      </c>
      <c r="C930" s="2" t="s">
        <v>23</v>
      </c>
      <c r="D930" s="2" t="s">
        <v>3252</v>
      </c>
      <c r="E930" s="2" t="s">
        <v>3253</v>
      </c>
      <c r="F930" s="2" t="s">
        <v>26</v>
      </c>
      <c r="G930" s="2"/>
      <c r="H930" s="2"/>
      <c r="I930" s="2" t="s">
        <v>28</v>
      </c>
      <c r="J930" s="6"/>
      <c r="K930" s="2" t="s">
        <v>55</v>
      </c>
      <c r="L930" s="2" t="s">
        <v>56</v>
      </c>
      <c r="M930" s="2" t="s">
        <v>55</v>
      </c>
      <c r="N930" s="2"/>
      <c r="O930" s="2"/>
      <c r="P930" s="6" t="s">
        <v>57</v>
      </c>
      <c r="Q930" s="6" t="s">
        <v>57</v>
      </c>
      <c r="R930" s="9">
        <v>0</v>
      </c>
      <c r="S930" s="2"/>
      <c r="T930" s="9">
        <v>0</v>
      </c>
      <c r="U930" s="9">
        <v>0</v>
      </c>
      <c r="V930" s="9">
        <v>606</v>
      </c>
      <c r="W930" s="9">
        <v>232</v>
      </c>
      <c r="X930" s="9">
        <v>231</v>
      </c>
      <c r="Y930" s="9">
        <v>162</v>
      </c>
      <c r="Z930" s="9">
        <v>225</v>
      </c>
      <c r="AA930" s="9">
        <v>225</v>
      </c>
      <c r="AB930" s="9">
        <v>0</v>
      </c>
      <c r="AC930" s="9">
        <v>636</v>
      </c>
      <c r="AD930" s="9">
        <v>374</v>
      </c>
      <c r="AE930" s="6" t="s">
        <v>57</v>
      </c>
      <c r="AF930" s="6" t="s">
        <v>57</v>
      </c>
      <c r="AG930" s="6" t="s">
        <v>57</v>
      </c>
      <c r="AH930" s="6" t="s">
        <v>57</v>
      </c>
      <c r="AI930" s="6" t="s">
        <v>57</v>
      </c>
      <c r="AJ930" s="6" t="s">
        <v>57</v>
      </c>
      <c r="AK930" s="6" t="s">
        <v>57</v>
      </c>
      <c r="AL930" s="6" t="s">
        <v>57</v>
      </c>
      <c r="AM930" s="6" t="s">
        <v>57</v>
      </c>
      <c r="AN930" s="6" t="s">
        <v>57</v>
      </c>
      <c r="AO930" s="6" t="s">
        <v>57</v>
      </c>
      <c r="AP930" s="6" t="s">
        <v>57</v>
      </c>
      <c r="AQ930" s="9">
        <v>0</v>
      </c>
    </row>
    <row r="931" spans="1:43" ht="15">
      <c r="A931" s="2" t="s">
        <v>3254</v>
      </c>
      <c r="B931" s="5">
        <v>142463350</v>
      </c>
      <c r="C931" s="2" t="s">
        <v>23</v>
      </c>
      <c r="D931" s="2" t="s">
        <v>3255</v>
      </c>
      <c r="E931" s="2" t="s">
        <v>3256</v>
      </c>
      <c r="F931" s="2" t="s">
        <v>26</v>
      </c>
      <c r="G931" s="2" t="s">
        <v>26</v>
      </c>
      <c r="H931" s="2" t="s">
        <v>27</v>
      </c>
      <c r="I931" s="2" t="s">
        <v>28</v>
      </c>
      <c r="J931" s="6"/>
      <c r="K931" s="2" t="s">
        <v>55</v>
      </c>
      <c r="L931" s="2" t="s">
        <v>56</v>
      </c>
      <c r="M931" s="2" t="s">
        <v>55</v>
      </c>
      <c r="N931" s="2"/>
      <c r="O931" s="2"/>
      <c r="P931" s="6" t="s">
        <v>57</v>
      </c>
      <c r="Q931" s="6" t="s">
        <v>57</v>
      </c>
      <c r="R931" s="6" t="s">
        <v>57</v>
      </c>
      <c r="S931" s="2"/>
      <c r="T931" s="6" t="s">
        <v>57</v>
      </c>
      <c r="U931" s="6" t="s">
        <v>57</v>
      </c>
      <c r="V931" s="6" t="s">
        <v>57</v>
      </c>
      <c r="W931" s="6" t="s">
        <v>57</v>
      </c>
      <c r="X931" s="6" t="s">
        <v>57</v>
      </c>
      <c r="Y931" s="6" t="s">
        <v>57</v>
      </c>
      <c r="Z931" s="6" t="s">
        <v>57</v>
      </c>
      <c r="AA931" s="6" t="s">
        <v>57</v>
      </c>
      <c r="AB931" s="6" t="s">
        <v>57</v>
      </c>
      <c r="AC931" s="6" t="s">
        <v>57</v>
      </c>
      <c r="AD931" s="6" t="s">
        <v>57</v>
      </c>
      <c r="AE931" s="6" t="s">
        <v>57</v>
      </c>
      <c r="AF931" s="6" t="s">
        <v>57</v>
      </c>
      <c r="AG931" s="6" t="s">
        <v>57</v>
      </c>
      <c r="AH931" s="6" t="s">
        <v>57</v>
      </c>
      <c r="AI931" s="6" t="s">
        <v>57</v>
      </c>
      <c r="AJ931" s="6" t="s">
        <v>57</v>
      </c>
      <c r="AK931" s="6" t="s">
        <v>57</v>
      </c>
      <c r="AL931" s="6" t="s">
        <v>57</v>
      </c>
      <c r="AM931" s="6" t="s">
        <v>57</v>
      </c>
      <c r="AN931" s="6" t="s">
        <v>57</v>
      </c>
      <c r="AO931" s="6" t="s">
        <v>57</v>
      </c>
      <c r="AP931" s="6" t="s">
        <v>57</v>
      </c>
      <c r="AQ931" s="6" t="s">
        <v>57</v>
      </c>
    </row>
    <row r="932" spans="1:43" ht="15">
      <c r="A932" s="2" t="s">
        <v>3257</v>
      </c>
      <c r="B932" s="5">
        <v>20139362</v>
      </c>
      <c r="C932" s="2" t="s">
        <v>23</v>
      </c>
      <c r="D932" s="2" t="s">
        <v>3258</v>
      </c>
      <c r="E932" s="2" t="s">
        <v>3259</v>
      </c>
      <c r="F932" s="2" t="s">
        <v>26</v>
      </c>
      <c r="G932" s="2"/>
      <c r="H932" s="2"/>
      <c r="I932" s="2" t="s">
        <v>28</v>
      </c>
      <c r="J932" s="6"/>
      <c r="K932" s="2" t="s">
        <v>55</v>
      </c>
      <c r="L932" s="2" t="s">
        <v>56</v>
      </c>
      <c r="M932" s="2" t="s">
        <v>55</v>
      </c>
      <c r="N932" s="2"/>
      <c r="O932" s="2"/>
      <c r="P932" s="7">
        <v>18.545242975150799</v>
      </c>
      <c r="Q932" s="6" t="s">
        <v>57</v>
      </c>
      <c r="R932" s="9">
        <v>0</v>
      </c>
      <c r="S932" s="2"/>
      <c r="T932" s="9">
        <v>0</v>
      </c>
      <c r="U932" s="9">
        <v>322</v>
      </c>
      <c r="V932" s="9">
        <v>121</v>
      </c>
      <c r="W932" s="9">
        <v>31</v>
      </c>
      <c r="X932" s="9">
        <v>31</v>
      </c>
      <c r="Y932" s="9">
        <v>16</v>
      </c>
      <c r="Z932" s="9">
        <v>10</v>
      </c>
      <c r="AA932" s="9">
        <v>275</v>
      </c>
      <c r="AB932" s="9">
        <v>368</v>
      </c>
      <c r="AC932" s="9">
        <v>127</v>
      </c>
      <c r="AD932" s="9">
        <v>62</v>
      </c>
      <c r="AE932" s="6" t="s">
        <v>57</v>
      </c>
      <c r="AF932" s="6" t="s">
        <v>57</v>
      </c>
      <c r="AG932" s="6" t="s">
        <v>57</v>
      </c>
      <c r="AH932" s="6" t="s">
        <v>57</v>
      </c>
      <c r="AI932" s="6" t="s">
        <v>57</v>
      </c>
      <c r="AJ932" s="6" t="s">
        <v>57</v>
      </c>
      <c r="AK932" s="6" t="s">
        <v>57</v>
      </c>
      <c r="AL932" s="6" t="s">
        <v>57</v>
      </c>
      <c r="AM932" s="6" t="s">
        <v>57</v>
      </c>
      <c r="AN932" s="6" t="s">
        <v>57</v>
      </c>
      <c r="AO932" s="6" t="s">
        <v>57</v>
      </c>
      <c r="AP932" s="6" t="s">
        <v>57</v>
      </c>
      <c r="AQ932" s="9">
        <v>0</v>
      </c>
    </row>
    <row r="933" spans="1:43" ht="15">
      <c r="A933" s="2" t="s">
        <v>3260</v>
      </c>
      <c r="B933" s="5">
        <v>106122819</v>
      </c>
      <c r="C933" s="2" t="s">
        <v>23</v>
      </c>
      <c r="D933" s="2" t="s">
        <v>3261</v>
      </c>
      <c r="E933" s="2" t="s">
        <v>3262</v>
      </c>
      <c r="F933" s="2" t="s">
        <v>26</v>
      </c>
      <c r="G933" s="2"/>
      <c r="H933" s="2"/>
      <c r="I933" s="2" t="s">
        <v>28</v>
      </c>
      <c r="J933" s="6"/>
      <c r="K933" s="2" t="s">
        <v>55</v>
      </c>
      <c r="L933" s="2" t="s">
        <v>56</v>
      </c>
      <c r="M933" s="2" t="s">
        <v>55</v>
      </c>
      <c r="N933" s="2"/>
      <c r="O933" s="2"/>
      <c r="P933" s="6" t="s">
        <v>57</v>
      </c>
      <c r="Q933" s="6" t="s">
        <v>57</v>
      </c>
      <c r="R933" s="9">
        <v>0</v>
      </c>
      <c r="S933" s="2"/>
      <c r="T933" s="9">
        <v>0</v>
      </c>
      <c r="U933" s="9">
        <v>3926</v>
      </c>
      <c r="V933" s="9">
        <v>1472</v>
      </c>
      <c r="W933" s="9">
        <v>4040</v>
      </c>
      <c r="X933" s="9">
        <v>4024</v>
      </c>
      <c r="Y933" s="9">
        <v>6407</v>
      </c>
      <c r="Z933" s="9">
        <v>7243</v>
      </c>
      <c r="AA933" s="9">
        <v>10366</v>
      </c>
      <c r="AB933" s="9">
        <v>4487</v>
      </c>
      <c r="AC933" s="9">
        <v>1545</v>
      </c>
      <c r="AD933" s="9">
        <v>760</v>
      </c>
      <c r="AE933" s="6" t="s">
        <v>57</v>
      </c>
      <c r="AF933" s="6" t="s">
        <v>57</v>
      </c>
      <c r="AG933" s="6" t="s">
        <v>57</v>
      </c>
      <c r="AH933" s="6" t="s">
        <v>57</v>
      </c>
      <c r="AI933" s="6" t="s">
        <v>57</v>
      </c>
      <c r="AJ933" s="6" t="s">
        <v>57</v>
      </c>
      <c r="AK933" s="6" t="s">
        <v>57</v>
      </c>
      <c r="AL933" s="6" t="s">
        <v>57</v>
      </c>
      <c r="AM933" s="6" t="s">
        <v>57</v>
      </c>
      <c r="AN933" s="6" t="s">
        <v>57</v>
      </c>
      <c r="AO933" s="6" t="s">
        <v>57</v>
      </c>
      <c r="AP933" s="6" t="s">
        <v>57</v>
      </c>
      <c r="AQ933" s="9">
        <v>0</v>
      </c>
    </row>
    <row r="934" spans="1:43" ht="15">
      <c r="A934" s="2" t="s">
        <v>3263</v>
      </c>
      <c r="B934" s="5">
        <v>8126580</v>
      </c>
      <c r="C934" s="2" t="s">
        <v>23</v>
      </c>
      <c r="D934" s="2" t="s">
        <v>3264</v>
      </c>
      <c r="E934" s="2" t="s">
        <v>3265</v>
      </c>
      <c r="F934" s="2" t="s">
        <v>26</v>
      </c>
      <c r="G934" s="2" t="s">
        <v>26</v>
      </c>
      <c r="H934" s="2" t="s">
        <v>27</v>
      </c>
      <c r="I934" s="2" t="s">
        <v>28</v>
      </c>
      <c r="J934" s="6"/>
      <c r="K934" s="2" t="s">
        <v>55</v>
      </c>
      <c r="L934" s="2" t="s">
        <v>56</v>
      </c>
      <c r="M934" s="2" t="s">
        <v>55</v>
      </c>
      <c r="N934" s="2"/>
      <c r="O934" s="2"/>
      <c r="P934" s="7">
        <v>1.79682366257529</v>
      </c>
      <c r="Q934" s="6" t="s">
        <v>57</v>
      </c>
      <c r="R934" s="9">
        <v>0</v>
      </c>
      <c r="S934" s="2"/>
      <c r="T934" s="9">
        <v>0</v>
      </c>
      <c r="U934" s="9">
        <v>0</v>
      </c>
      <c r="V934" s="9">
        <v>0</v>
      </c>
      <c r="W934" s="9">
        <v>10793</v>
      </c>
      <c r="X934" s="9">
        <v>10750</v>
      </c>
      <c r="Y934" s="9">
        <v>5407</v>
      </c>
      <c r="Z934" s="9">
        <v>3602</v>
      </c>
      <c r="AA934" s="9">
        <v>2539</v>
      </c>
      <c r="AB934" s="9">
        <v>0</v>
      </c>
      <c r="AC934" s="9">
        <v>0</v>
      </c>
      <c r="AD934" s="9">
        <v>0</v>
      </c>
      <c r="AE934" s="6" t="s">
        <v>57</v>
      </c>
      <c r="AF934" s="6" t="s">
        <v>57</v>
      </c>
      <c r="AG934" s="6" t="s">
        <v>57</v>
      </c>
      <c r="AH934" s="6" t="s">
        <v>57</v>
      </c>
      <c r="AI934" s="6" t="s">
        <v>57</v>
      </c>
      <c r="AJ934" s="6" t="s">
        <v>57</v>
      </c>
      <c r="AK934" s="6" t="s">
        <v>57</v>
      </c>
      <c r="AL934" s="6" t="s">
        <v>57</v>
      </c>
      <c r="AM934" s="6" t="s">
        <v>57</v>
      </c>
      <c r="AN934" s="6" t="s">
        <v>57</v>
      </c>
      <c r="AO934" s="6" t="s">
        <v>57</v>
      </c>
      <c r="AP934" s="6" t="s">
        <v>57</v>
      </c>
      <c r="AQ934" s="9">
        <v>0</v>
      </c>
    </row>
    <row r="935" spans="1:43" ht="15">
      <c r="A935" s="2" t="s">
        <v>3266</v>
      </c>
      <c r="B935" s="5">
        <v>113556479</v>
      </c>
      <c r="C935" s="2" t="s">
        <v>23</v>
      </c>
      <c r="D935" s="2" t="s">
        <v>3267</v>
      </c>
      <c r="E935" s="2" t="s">
        <v>3268</v>
      </c>
      <c r="F935" s="2" t="s">
        <v>26</v>
      </c>
      <c r="G935" s="2" t="s">
        <v>26</v>
      </c>
      <c r="H935" s="2" t="s">
        <v>27</v>
      </c>
      <c r="I935" s="2" t="s">
        <v>28</v>
      </c>
      <c r="J935" s="6"/>
      <c r="K935" s="2" t="s">
        <v>55</v>
      </c>
      <c r="L935" s="2" t="s">
        <v>56</v>
      </c>
      <c r="M935" s="2" t="s">
        <v>55</v>
      </c>
      <c r="N935" s="2"/>
      <c r="O935" s="2"/>
      <c r="P935" s="6" t="s">
        <v>57</v>
      </c>
      <c r="Q935" s="6" t="s">
        <v>57</v>
      </c>
      <c r="R935" s="9">
        <v>0</v>
      </c>
      <c r="S935" s="2"/>
      <c r="T935" s="9">
        <v>0</v>
      </c>
      <c r="U935" s="9">
        <v>0</v>
      </c>
      <c r="V935" s="9">
        <v>0</v>
      </c>
      <c r="W935" s="9">
        <v>2895</v>
      </c>
      <c r="X935" s="9">
        <v>3604</v>
      </c>
      <c r="Y935" s="9">
        <v>3129</v>
      </c>
      <c r="Z935" s="9">
        <v>2677</v>
      </c>
      <c r="AA935" s="9">
        <v>2677</v>
      </c>
      <c r="AB935" s="9">
        <v>0</v>
      </c>
      <c r="AC935" s="9">
        <v>0</v>
      </c>
      <c r="AD935" s="9">
        <v>0</v>
      </c>
      <c r="AE935" s="6" t="s">
        <v>57</v>
      </c>
      <c r="AF935" s="6" t="s">
        <v>57</v>
      </c>
      <c r="AG935" s="6" t="s">
        <v>57</v>
      </c>
      <c r="AH935" s="6" t="s">
        <v>57</v>
      </c>
      <c r="AI935" s="6" t="s">
        <v>57</v>
      </c>
      <c r="AJ935" s="6" t="s">
        <v>57</v>
      </c>
      <c r="AK935" s="6" t="s">
        <v>57</v>
      </c>
      <c r="AL935" s="6" t="s">
        <v>57</v>
      </c>
      <c r="AM935" s="6" t="s">
        <v>57</v>
      </c>
      <c r="AN935" s="6" t="s">
        <v>57</v>
      </c>
      <c r="AO935" s="6" t="s">
        <v>57</v>
      </c>
      <c r="AP935" s="6" t="s">
        <v>57</v>
      </c>
      <c r="AQ935" s="9">
        <v>0</v>
      </c>
    </row>
    <row r="936" spans="1:43" ht="15">
      <c r="A936" s="2" t="s">
        <v>3269</v>
      </c>
      <c r="B936" s="5">
        <v>10936502</v>
      </c>
      <c r="C936" s="2" t="s">
        <v>23</v>
      </c>
      <c r="D936" s="2" t="s">
        <v>3270</v>
      </c>
      <c r="E936" s="2" t="s">
        <v>3271</v>
      </c>
      <c r="F936" s="2" t="s">
        <v>26</v>
      </c>
      <c r="G936" s="2"/>
      <c r="H936" s="2"/>
      <c r="I936" s="2" t="s">
        <v>28</v>
      </c>
      <c r="J936" s="6"/>
      <c r="K936" s="2" t="s">
        <v>55</v>
      </c>
      <c r="L936" s="2" t="s">
        <v>56</v>
      </c>
      <c r="M936" s="2" t="s">
        <v>55</v>
      </c>
      <c r="N936" s="2"/>
      <c r="O936" s="2"/>
      <c r="P936" s="7">
        <v>61.129446088075497</v>
      </c>
      <c r="Q936" s="6" t="s">
        <v>57</v>
      </c>
      <c r="R936" s="9">
        <v>0</v>
      </c>
      <c r="S936" s="2"/>
      <c r="T936" s="9">
        <v>0</v>
      </c>
      <c r="U936" s="9">
        <v>0</v>
      </c>
      <c r="V936" s="9">
        <v>0</v>
      </c>
      <c r="W936" s="9">
        <v>46</v>
      </c>
      <c r="X936" s="9">
        <v>46</v>
      </c>
      <c r="Y936" s="9">
        <v>69</v>
      </c>
      <c r="Z936" s="9">
        <v>61</v>
      </c>
      <c r="AA936" s="9">
        <v>547</v>
      </c>
      <c r="AB936" s="9">
        <v>0</v>
      </c>
      <c r="AC936" s="9">
        <v>0</v>
      </c>
      <c r="AD936" s="9">
        <v>0</v>
      </c>
      <c r="AE936" s="6" t="s">
        <v>57</v>
      </c>
      <c r="AF936" s="6" t="s">
        <v>57</v>
      </c>
      <c r="AG936" s="6" t="s">
        <v>57</v>
      </c>
      <c r="AH936" s="6" t="s">
        <v>57</v>
      </c>
      <c r="AI936" s="6" t="s">
        <v>57</v>
      </c>
      <c r="AJ936" s="6" t="s">
        <v>57</v>
      </c>
      <c r="AK936" s="6" t="s">
        <v>57</v>
      </c>
      <c r="AL936" s="6" t="s">
        <v>57</v>
      </c>
      <c r="AM936" s="6" t="s">
        <v>57</v>
      </c>
      <c r="AN936" s="6" t="s">
        <v>57</v>
      </c>
      <c r="AO936" s="6" t="s">
        <v>57</v>
      </c>
      <c r="AP936" s="6" t="s">
        <v>57</v>
      </c>
      <c r="AQ936" s="9">
        <v>0</v>
      </c>
    </row>
    <row r="937" spans="1:43" ht="15">
      <c r="A937" s="2" t="s">
        <v>3272</v>
      </c>
      <c r="B937" s="5">
        <v>117042323</v>
      </c>
      <c r="C937" s="2" t="s">
        <v>23</v>
      </c>
      <c r="D937" s="2" t="s">
        <v>3273</v>
      </c>
      <c r="E937" s="2" t="s">
        <v>3274</v>
      </c>
      <c r="F937" s="2" t="s">
        <v>26</v>
      </c>
      <c r="G937" s="2" t="s">
        <v>26</v>
      </c>
      <c r="H937" s="2" t="s">
        <v>27</v>
      </c>
      <c r="I937" s="2" t="s">
        <v>28</v>
      </c>
      <c r="J937" s="6"/>
      <c r="K937" s="2" t="s">
        <v>55</v>
      </c>
      <c r="L937" s="2" t="s">
        <v>56</v>
      </c>
      <c r="M937" s="2" t="s">
        <v>55</v>
      </c>
      <c r="N937" s="2"/>
      <c r="O937" s="2"/>
      <c r="P937" s="6" t="s">
        <v>57</v>
      </c>
      <c r="Q937" s="6" t="s">
        <v>57</v>
      </c>
      <c r="R937" s="6" t="s">
        <v>57</v>
      </c>
      <c r="S937" s="2"/>
      <c r="T937" s="6" t="s">
        <v>57</v>
      </c>
      <c r="U937" s="6" t="s">
        <v>57</v>
      </c>
      <c r="V937" s="6" t="s">
        <v>57</v>
      </c>
      <c r="W937" s="6" t="s">
        <v>57</v>
      </c>
      <c r="X937" s="6" t="s">
        <v>57</v>
      </c>
      <c r="Y937" s="6" t="s">
        <v>57</v>
      </c>
      <c r="Z937" s="6" t="s">
        <v>57</v>
      </c>
      <c r="AA937" s="6" t="s">
        <v>57</v>
      </c>
      <c r="AB937" s="6" t="s">
        <v>57</v>
      </c>
      <c r="AC937" s="6" t="s">
        <v>57</v>
      </c>
      <c r="AD937" s="6" t="s">
        <v>57</v>
      </c>
      <c r="AE937" s="6" t="s">
        <v>57</v>
      </c>
      <c r="AF937" s="6" t="s">
        <v>57</v>
      </c>
      <c r="AG937" s="6" t="s">
        <v>57</v>
      </c>
      <c r="AH937" s="6" t="s">
        <v>57</v>
      </c>
      <c r="AI937" s="6" t="s">
        <v>57</v>
      </c>
      <c r="AJ937" s="6" t="s">
        <v>57</v>
      </c>
      <c r="AK937" s="6" t="s">
        <v>57</v>
      </c>
      <c r="AL937" s="6" t="s">
        <v>57</v>
      </c>
      <c r="AM937" s="6" t="s">
        <v>57</v>
      </c>
      <c r="AN937" s="6" t="s">
        <v>57</v>
      </c>
      <c r="AO937" s="6" t="s">
        <v>57</v>
      </c>
      <c r="AP937" s="6" t="s">
        <v>57</v>
      </c>
      <c r="AQ937" s="6" t="s">
        <v>57</v>
      </c>
    </row>
    <row r="938" spans="1:43" ht="15">
      <c r="A938" s="2" t="s">
        <v>3275</v>
      </c>
      <c r="B938" s="5">
        <v>10872199</v>
      </c>
      <c r="C938" s="2" t="s">
        <v>23</v>
      </c>
      <c r="D938" s="2" t="s">
        <v>3276</v>
      </c>
      <c r="E938" s="2" t="s">
        <v>3277</v>
      </c>
      <c r="F938" s="2" t="s">
        <v>26</v>
      </c>
      <c r="G938" s="2" t="s">
        <v>26</v>
      </c>
      <c r="H938" s="2" t="s">
        <v>27</v>
      </c>
      <c r="I938" s="2" t="s">
        <v>28</v>
      </c>
      <c r="J938" s="6"/>
      <c r="K938" s="2" t="s">
        <v>55</v>
      </c>
      <c r="L938" s="2" t="s">
        <v>56</v>
      </c>
      <c r="M938" s="2" t="s">
        <v>55</v>
      </c>
      <c r="N938" s="2"/>
      <c r="O938" s="2"/>
      <c r="P938" s="7">
        <v>37.284087217639701</v>
      </c>
      <c r="Q938" s="6" t="s">
        <v>57</v>
      </c>
      <c r="R938" s="9">
        <v>0</v>
      </c>
      <c r="S938" s="2"/>
      <c r="T938" s="9">
        <v>0</v>
      </c>
      <c r="U938" s="9">
        <v>0</v>
      </c>
      <c r="V938" s="9">
        <v>0</v>
      </c>
      <c r="W938" s="9">
        <v>0</v>
      </c>
      <c r="X938" s="9">
        <v>0</v>
      </c>
      <c r="Y938" s="9">
        <v>0</v>
      </c>
      <c r="Z938" s="9">
        <v>0</v>
      </c>
      <c r="AA938" s="9">
        <v>17</v>
      </c>
      <c r="AB938" s="9">
        <v>0</v>
      </c>
      <c r="AC938" s="9">
        <v>0</v>
      </c>
      <c r="AD938" s="9">
        <v>0</v>
      </c>
      <c r="AE938" s="6" t="s">
        <v>57</v>
      </c>
      <c r="AF938" s="6" t="s">
        <v>57</v>
      </c>
      <c r="AG938" s="6" t="s">
        <v>57</v>
      </c>
      <c r="AH938" s="6" t="s">
        <v>57</v>
      </c>
      <c r="AI938" s="6" t="s">
        <v>57</v>
      </c>
      <c r="AJ938" s="6" t="s">
        <v>57</v>
      </c>
      <c r="AK938" s="6" t="s">
        <v>57</v>
      </c>
      <c r="AL938" s="6" t="s">
        <v>57</v>
      </c>
      <c r="AM938" s="6" t="s">
        <v>57</v>
      </c>
      <c r="AN938" s="6" t="s">
        <v>57</v>
      </c>
      <c r="AO938" s="6" t="s">
        <v>57</v>
      </c>
      <c r="AP938" s="6" t="s">
        <v>57</v>
      </c>
      <c r="AQ938" s="9">
        <v>0</v>
      </c>
    </row>
    <row r="939" spans="1:43" ht="15">
      <c r="A939" s="2" t="s">
        <v>3278</v>
      </c>
      <c r="B939" s="5">
        <v>29161021</v>
      </c>
      <c r="C939" s="2" t="s">
        <v>23</v>
      </c>
      <c r="D939" s="2" t="s">
        <v>3279</v>
      </c>
      <c r="E939" s="2" t="s">
        <v>3280</v>
      </c>
      <c r="F939" s="2" t="s">
        <v>26</v>
      </c>
      <c r="G939" s="2" t="s">
        <v>26</v>
      </c>
      <c r="H939" s="2" t="s">
        <v>27</v>
      </c>
      <c r="I939" s="2" t="s">
        <v>28</v>
      </c>
      <c r="J939" s="6"/>
      <c r="K939" s="2" t="s">
        <v>55</v>
      </c>
      <c r="L939" s="2" t="s">
        <v>56</v>
      </c>
      <c r="M939" s="2" t="s">
        <v>55</v>
      </c>
      <c r="N939" s="2"/>
      <c r="O939" s="2"/>
      <c r="P939" s="7">
        <v>21.941163682482099</v>
      </c>
      <c r="Q939" s="6" t="s">
        <v>57</v>
      </c>
      <c r="R939" s="9">
        <v>0</v>
      </c>
      <c r="S939" s="2"/>
      <c r="T939" s="9">
        <v>0</v>
      </c>
      <c r="U939" s="9">
        <v>0</v>
      </c>
      <c r="V939" s="9">
        <v>0</v>
      </c>
      <c r="W939" s="9">
        <v>0</v>
      </c>
      <c r="X939" s="9">
        <v>0</v>
      </c>
      <c r="Y939" s="9">
        <v>0</v>
      </c>
      <c r="Z939" s="9">
        <v>292</v>
      </c>
      <c r="AA939" s="9">
        <v>3182</v>
      </c>
      <c r="AB939" s="9">
        <v>0</v>
      </c>
      <c r="AC939" s="9">
        <v>0</v>
      </c>
      <c r="AD939" s="9">
        <v>0</v>
      </c>
      <c r="AE939" s="6" t="s">
        <v>57</v>
      </c>
      <c r="AF939" s="6" t="s">
        <v>57</v>
      </c>
      <c r="AG939" s="6" t="s">
        <v>57</v>
      </c>
      <c r="AH939" s="6" t="s">
        <v>57</v>
      </c>
      <c r="AI939" s="6" t="s">
        <v>57</v>
      </c>
      <c r="AJ939" s="6" t="s">
        <v>57</v>
      </c>
      <c r="AK939" s="6" t="s">
        <v>57</v>
      </c>
      <c r="AL939" s="6" t="s">
        <v>57</v>
      </c>
      <c r="AM939" s="6" t="s">
        <v>57</v>
      </c>
      <c r="AN939" s="6" t="s">
        <v>57</v>
      </c>
      <c r="AO939" s="6" t="s">
        <v>57</v>
      </c>
      <c r="AP939" s="6" t="s">
        <v>57</v>
      </c>
      <c r="AQ939" s="9">
        <v>0</v>
      </c>
    </row>
    <row r="940" spans="1:43" ht="15">
      <c r="A940" s="2" t="s">
        <v>3281</v>
      </c>
      <c r="B940" s="5">
        <v>114432863</v>
      </c>
      <c r="C940" s="2" t="s">
        <v>23</v>
      </c>
      <c r="D940" s="2" t="s">
        <v>3282</v>
      </c>
      <c r="E940" s="2" t="s">
        <v>3283</v>
      </c>
      <c r="F940" s="2" t="s">
        <v>26</v>
      </c>
      <c r="G940" s="2" t="s">
        <v>26</v>
      </c>
      <c r="H940" s="2" t="s">
        <v>27</v>
      </c>
      <c r="I940" s="2" t="s">
        <v>28</v>
      </c>
      <c r="J940" s="6"/>
      <c r="K940" s="2" t="s">
        <v>55</v>
      </c>
      <c r="L940" s="2" t="s">
        <v>56</v>
      </c>
      <c r="M940" s="2" t="s">
        <v>55</v>
      </c>
      <c r="N940" s="2"/>
      <c r="O940" s="2"/>
      <c r="P940" s="6" t="s">
        <v>57</v>
      </c>
      <c r="Q940" s="6" t="s">
        <v>57</v>
      </c>
      <c r="R940" s="9">
        <v>0</v>
      </c>
      <c r="S940" s="2"/>
      <c r="T940" s="9">
        <v>95831</v>
      </c>
      <c r="U940" s="9">
        <v>23958</v>
      </c>
      <c r="V940" s="9">
        <v>13933</v>
      </c>
      <c r="W940" s="9">
        <v>6527</v>
      </c>
      <c r="X940" s="9">
        <v>6501</v>
      </c>
      <c r="Y940" s="9">
        <v>6377</v>
      </c>
      <c r="Z940" s="9">
        <v>7794</v>
      </c>
      <c r="AA940" s="9">
        <v>7794</v>
      </c>
      <c r="AB940" s="9">
        <v>27380</v>
      </c>
      <c r="AC940" s="9">
        <v>9426</v>
      </c>
      <c r="AD940" s="9">
        <v>7191</v>
      </c>
      <c r="AE940" s="6" t="s">
        <v>57</v>
      </c>
      <c r="AF940" s="6" t="s">
        <v>57</v>
      </c>
      <c r="AG940" s="6" t="s">
        <v>57</v>
      </c>
      <c r="AH940" s="6" t="s">
        <v>57</v>
      </c>
      <c r="AI940" s="6" t="s">
        <v>57</v>
      </c>
      <c r="AJ940" s="6" t="s">
        <v>57</v>
      </c>
      <c r="AK940" s="6" t="s">
        <v>57</v>
      </c>
      <c r="AL940" s="6" t="s">
        <v>57</v>
      </c>
      <c r="AM940" s="6" t="s">
        <v>57</v>
      </c>
      <c r="AN940" s="6" t="s">
        <v>57</v>
      </c>
      <c r="AO940" s="6" t="s">
        <v>57</v>
      </c>
      <c r="AP940" s="6" t="s">
        <v>57</v>
      </c>
      <c r="AQ940" s="9">
        <v>0</v>
      </c>
    </row>
    <row r="941" spans="1:43" ht="15">
      <c r="A941" s="2" t="s">
        <v>3284</v>
      </c>
      <c r="B941" s="5">
        <v>111999399</v>
      </c>
      <c r="C941" s="2" t="s">
        <v>23</v>
      </c>
      <c r="D941" s="2" t="s">
        <v>3285</v>
      </c>
      <c r="E941" s="2" t="s">
        <v>3286</v>
      </c>
      <c r="F941" s="2" t="s">
        <v>26</v>
      </c>
      <c r="G941" s="2"/>
      <c r="H941" s="2"/>
      <c r="I941" s="2" t="s">
        <v>28</v>
      </c>
      <c r="J941" s="6"/>
      <c r="K941" s="2" t="s">
        <v>55</v>
      </c>
      <c r="L941" s="2" t="s">
        <v>56</v>
      </c>
      <c r="M941" s="2" t="s">
        <v>55</v>
      </c>
      <c r="N941" s="2"/>
      <c r="O941" s="2"/>
      <c r="P941" s="6" t="s">
        <v>57</v>
      </c>
      <c r="Q941" s="6" t="s">
        <v>57</v>
      </c>
      <c r="R941" s="9">
        <v>0</v>
      </c>
      <c r="S941" s="2"/>
      <c r="T941" s="9">
        <v>0</v>
      </c>
      <c r="U941" s="9">
        <v>0</v>
      </c>
      <c r="V941" s="9">
        <v>1165</v>
      </c>
      <c r="W941" s="9">
        <v>698</v>
      </c>
      <c r="X941" s="9">
        <v>695</v>
      </c>
      <c r="Y941" s="9">
        <v>662</v>
      </c>
      <c r="Z941" s="9">
        <v>662</v>
      </c>
      <c r="AA941" s="9">
        <v>662</v>
      </c>
      <c r="AB941" s="9">
        <v>0</v>
      </c>
      <c r="AC941" s="9">
        <v>1222</v>
      </c>
      <c r="AD941" s="9">
        <v>601</v>
      </c>
      <c r="AE941" s="6" t="s">
        <v>57</v>
      </c>
      <c r="AF941" s="6" t="s">
        <v>57</v>
      </c>
      <c r="AG941" s="6" t="s">
        <v>57</v>
      </c>
      <c r="AH941" s="6" t="s">
        <v>57</v>
      </c>
      <c r="AI941" s="6" t="s">
        <v>57</v>
      </c>
      <c r="AJ941" s="6" t="s">
        <v>57</v>
      </c>
      <c r="AK941" s="6" t="s">
        <v>57</v>
      </c>
      <c r="AL941" s="6" t="s">
        <v>57</v>
      </c>
      <c r="AM941" s="6" t="s">
        <v>57</v>
      </c>
      <c r="AN941" s="6" t="s">
        <v>57</v>
      </c>
      <c r="AO941" s="6" t="s">
        <v>57</v>
      </c>
      <c r="AP941" s="6" t="s">
        <v>57</v>
      </c>
      <c r="AQ941" s="9">
        <v>0</v>
      </c>
    </row>
    <row r="942" spans="1:43" ht="15">
      <c r="A942" s="2" t="s">
        <v>3287</v>
      </c>
      <c r="B942" s="5">
        <v>29444961</v>
      </c>
      <c r="C942" s="2" t="s">
        <v>23</v>
      </c>
      <c r="D942" s="2" t="s">
        <v>3288</v>
      </c>
      <c r="E942" s="2" t="s">
        <v>3289</v>
      </c>
      <c r="F942" s="2" t="s">
        <v>26</v>
      </c>
      <c r="G942" s="2" t="s">
        <v>26</v>
      </c>
      <c r="H942" s="2" t="s">
        <v>27</v>
      </c>
      <c r="I942" s="2" t="s">
        <v>28</v>
      </c>
      <c r="J942" s="6"/>
      <c r="K942" s="2" t="s">
        <v>55</v>
      </c>
      <c r="L942" s="2" t="s">
        <v>56</v>
      </c>
      <c r="M942" s="2" t="s">
        <v>55</v>
      </c>
      <c r="N942" s="2"/>
      <c r="O942" s="2"/>
      <c r="P942" s="6" t="s">
        <v>57</v>
      </c>
      <c r="Q942" s="6" t="s">
        <v>57</v>
      </c>
      <c r="R942" s="9">
        <v>0</v>
      </c>
      <c r="S942" s="2"/>
      <c r="T942" s="9">
        <v>0</v>
      </c>
      <c r="U942" s="9">
        <v>0</v>
      </c>
      <c r="V942" s="9">
        <v>119</v>
      </c>
      <c r="W942" s="9">
        <v>781</v>
      </c>
      <c r="X942" s="9">
        <v>778</v>
      </c>
      <c r="Y942" s="9">
        <v>692</v>
      </c>
      <c r="Z942" s="9">
        <v>591</v>
      </c>
      <c r="AA942" s="9">
        <v>862</v>
      </c>
      <c r="AB942" s="9">
        <v>0</v>
      </c>
      <c r="AC942" s="9">
        <v>125</v>
      </c>
      <c r="AD942" s="9">
        <v>728</v>
      </c>
      <c r="AE942" s="6" t="s">
        <v>57</v>
      </c>
      <c r="AF942" s="6" t="s">
        <v>57</v>
      </c>
      <c r="AG942" s="6" t="s">
        <v>57</v>
      </c>
      <c r="AH942" s="6" t="s">
        <v>57</v>
      </c>
      <c r="AI942" s="6" t="s">
        <v>57</v>
      </c>
      <c r="AJ942" s="6" t="s">
        <v>57</v>
      </c>
      <c r="AK942" s="6" t="s">
        <v>57</v>
      </c>
      <c r="AL942" s="6" t="s">
        <v>57</v>
      </c>
      <c r="AM942" s="6" t="s">
        <v>57</v>
      </c>
      <c r="AN942" s="6" t="s">
        <v>57</v>
      </c>
      <c r="AO942" s="6" t="s">
        <v>57</v>
      </c>
      <c r="AP942" s="6" t="s">
        <v>57</v>
      </c>
      <c r="AQ942" s="9">
        <v>0</v>
      </c>
    </row>
    <row r="943" spans="1:43" ht="15">
      <c r="A943" s="2" t="s">
        <v>3290</v>
      </c>
      <c r="B943" s="5">
        <v>138305266</v>
      </c>
      <c r="C943" s="2" t="s">
        <v>23</v>
      </c>
      <c r="D943" s="2" t="s">
        <v>3291</v>
      </c>
      <c r="E943" s="2" t="s">
        <v>3292</v>
      </c>
      <c r="F943" s="2" t="s">
        <v>26</v>
      </c>
      <c r="G943" s="2" t="s">
        <v>26</v>
      </c>
      <c r="H943" s="2" t="s">
        <v>27</v>
      </c>
      <c r="I943" s="2" t="s">
        <v>28</v>
      </c>
      <c r="J943" s="6"/>
      <c r="K943" s="2" t="s">
        <v>55</v>
      </c>
      <c r="L943" s="2" t="s">
        <v>56</v>
      </c>
      <c r="M943" s="2" t="s">
        <v>55</v>
      </c>
      <c r="N943" s="2"/>
      <c r="O943" s="2"/>
      <c r="P943" s="6" t="s">
        <v>57</v>
      </c>
      <c r="Q943" s="6" t="s">
        <v>57</v>
      </c>
      <c r="R943" s="9">
        <v>0</v>
      </c>
      <c r="S943" s="2"/>
      <c r="T943" s="9">
        <v>0</v>
      </c>
      <c r="U943" s="9">
        <v>0</v>
      </c>
      <c r="V943" s="9">
        <v>0</v>
      </c>
      <c r="W943" s="9">
        <v>0</v>
      </c>
      <c r="X943" s="9">
        <v>0</v>
      </c>
      <c r="Y943" s="9">
        <v>0</v>
      </c>
      <c r="Z943" s="9">
        <v>0</v>
      </c>
      <c r="AA943" s="9">
        <v>0</v>
      </c>
      <c r="AB943" s="9">
        <v>0</v>
      </c>
      <c r="AC943" s="9">
        <v>0</v>
      </c>
      <c r="AD943" s="9">
        <v>0</v>
      </c>
      <c r="AE943" s="6" t="s">
        <v>57</v>
      </c>
      <c r="AF943" s="6" t="s">
        <v>57</v>
      </c>
      <c r="AG943" s="6" t="s">
        <v>57</v>
      </c>
      <c r="AH943" s="6" t="s">
        <v>57</v>
      </c>
      <c r="AI943" s="6" t="s">
        <v>57</v>
      </c>
      <c r="AJ943" s="6" t="s">
        <v>57</v>
      </c>
      <c r="AK943" s="6" t="s">
        <v>57</v>
      </c>
      <c r="AL943" s="6" t="s">
        <v>57</v>
      </c>
      <c r="AM943" s="6" t="s">
        <v>57</v>
      </c>
      <c r="AN943" s="6" t="s">
        <v>57</v>
      </c>
      <c r="AO943" s="6" t="s">
        <v>57</v>
      </c>
      <c r="AP943" s="6" t="s">
        <v>57</v>
      </c>
      <c r="AQ943" s="9">
        <v>0</v>
      </c>
    </row>
    <row r="944" spans="1:43" ht="15">
      <c r="A944" s="2" t="s">
        <v>3293</v>
      </c>
      <c r="B944" s="5">
        <v>10011142</v>
      </c>
      <c r="C944" s="2" t="s">
        <v>23</v>
      </c>
      <c r="D944" s="2" t="s">
        <v>3294</v>
      </c>
      <c r="E944" s="2" t="s">
        <v>3295</v>
      </c>
      <c r="F944" s="2" t="s">
        <v>26</v>
      </c>
      <c r="G944" s="2"/>
      <c r="H944" s="2"/>
      <c r="I944" s="2" t="s">
        <v>28</v>
      </c>
      <c r="J944" s="6"/>
      <c r="K944" s="2" t="s">
        <v>55</v>
      </c>
      <c r="L944" s="2" t="s">
        <v>56</v>
      </c>
      <c r="M944" s="2" t="s">
        <v>55</v>
      </c>
      <c r="N944" s="2"/>
      <c r="O944" s="2"/>
      <c r="P944" s="6" t="s">
        <v>57</v>
      </c>
      <c r="Q944" s="6" t="s">
        <v>57</v>
      </c>
      <c r="R944" s="9">
        <v>0</v>
      </c>
      <c r="S944" s="2"/>
      <c r="T944" s="9">
        <v>0</v>
      </c>
      <c r="U944" s="9">
        <v>0</v>
      </c>
      <c r="V944" s="9">
        <v>0</v>
      </c>
      <c r="W944" s="9">
        <v>58</v>
      </c>
      <c r="X944" s="9">
        <v>58</v>
      </c>
      <c r="Y944" s="9">
        <v>147</v>
      </c>
      <c r="Z944" s="9">
        <v>249</v>
      </c>
      <c r="AA944" s="9">
        <v>655</v>
      </c>
      <c r="AB944" s="9">
        <v>0</v>
      </c>
      <c r="AC944" s="9">
        <v>0</v>
      </c>
      <c r="AD944" s="9">
        <v>0</v>
      </c>
      <c r="AE944" s="6" t="s">
        <v>57</v>
      </c>
      <c r="AF944" s="6" t="s">
        <v>57</v>
      </c>
      <c r="AG944" s="6" t="s">
        <v>57</v>
      </c>
      <c r="AH944" s="6" t="s">
        <v>57</v>
      </c>
      <c r="AI944" s="6" t="s">
        <v>57</v>
      </c>
      <c r="AJ944" s="6" t="s">
        <v>57</v>
      </c>
      <c r="AK944" s="6" t="s">
        <v>57</v>
      </c>
      <c r="AL944" s="6" t="s">
        <v>57</v>
      </c>
      <c r="AM944" s="6" t="s">
        <v>57</v>
      </c>
      <c r="AN944" s="6" t="s">
        <v>57</v>
      </c>
      <c r="AO944" s="6" t="s">
        <v>57</v>
      </c>
      <c r="AP944" s="6" t="s">
        <v>57</v>
      </c>
      <c r="AQ944" s="9">
        <v>0</v>
      </c>
    </row>
    <row r="945" spans="1:43" ht="15">
      <c r="A945" s="2" t="s">
        <v>3296</v>
      </c>
      <c r="B945" s="5">
        <v>120070340</v>
      </c>
      <c r="C945" s="2" t="s">
        <v>23</v>
      </c>
      <c r="D945" s="2" t="s">
        <v>3297</v>
      </c>
      <c r="E945" s="2" t="s">
        <v>3298</v>
      </c>
      <c r="F945" s="2" t="s">
        <v>26</v>
      </c>
      <c r="G945" s="2" t="s">
        <v>26</v>
      </c>
      <c r="H945" s="2" t="s">
        <v>27</v>
      </c>
      <c r="I945" s="2" t="s">
        <v>28</v>
      </c>
      <c r="J945" s="6"/>
      <c r="K945" s="2" t="s">
        <v>55</v>
      </c>
      <c r="L945" s="2" t="s">
        <v>56</v>
      </c>
      <c r="M945" s="2" t="s">
        <v>55</v>
      </c>
      <c r="N945" s="2"/>
      <c r="O945" s="2"/>
      <c r="P945" s="6" t="s">
        <v>57</v>
      </c>
      <c r="Q945" s="6" t="s">
        <v>57</v>
      </c>
      <c r="R945" s="9">
        <v>0</v>
      </c>
      <c r="S945" s="2"/>
      <c r="T945" s="9">
        <v>0</v>
      </c>
      <c r="U945" s="9">
        <v>0</v>
      </c>
      <c r="V945" s="9">
        <v>4384</v>
      </c>
      <c r="W945" s="9">
        <v>4582</v>
      </c>
      <c r="X945" s="9">
        <v>4564</v>
      </c>
      <c r="Y945" s="9">
        <v>3656</v>
      </c>
      <c r="Z945" s="9">
        <v>3656</v>
      </c>
      <c r="AA945" s="9">
        <v>3656</v>
      </c>
      <c r="AB945" s="9">
        <v>0</v>
      </c>
      <c r="AC945" s="9">
        <v>4599</v>
      </c>
      <c r="AD945" s="9">
        <v>4687</v>
      </c>
      <c r="AE945" s="6" t="s">
        <v>57</v>
      </c>
      <c r="AF945" s="6" t="s">
        <v>57</v>
      </c>
      <c r="AG945" s="6" t="s">
        <v>57</v>
      </c>
      <c r="AH945" s="6" t="s">
        <v>57</v>
      </c>
      <c r="AI945" s="6" t="s">
        <v>57</v>
      </c>
      <c r="AJ945" s="6" t="s">
        <v>57</v>
      </c>
      <c r="AK945" s="6" t="s">
        <v>57</v>
      </c>
      <c r="AL945" s="6" t="s">
        <v>57</v>
      </c>
      <c r="AM945" s="6" t="s">
        <v>57</v>
      </c>
      <c r="AN945" s="6" t="s">
        <v>57</v>
      </c>
      <c r="AO945" s="6" t="s">
        <v>57</v>
      </c>
      <c r="AP945" s="6" t="s">
        <v>57</v>
      </c>
      <c r="AQ945" s="9">
        <v>0</v>
      </c>
    </row>
    <row r="946" spans="1:43" ht="15">
      <c r="A946" s="2" t="s">
        <v>3299</v>
      </c>
      <c r="B946" s="5">
        <v>118312493</v>
      </c>
      <c r="C946" s="2" t="s">
        <v>23</v>
      </c>
      <c r="D946" s="2" t="s">
        <v>3300</v>
      </c>
      <c r="E946" s="2" t="s">
        <v>3301</v>
      </c>
      <c r="F946" s="2" t="s">
        <v>26</v>
      </c>
      <c r="G946" s="2" t="s">
        <v>26</v>
      </c>
      <c r="H946" s="2" t="s">
        <v>27</v>
      </c>
      <c r="I946" s="2" t="s">
        <v>28</v>
      </c>
      <c r="J946" s="6"/>
      <c r="K946" s="2" t="s">
        <v>55</v>
      </c>
      <c r="L946" s="2" t="s">
        <v>56</v>
      </c>
      <c r="M946" s="2" t="s">
        <v>55</v>
      </c>
      <c r="N946" s="2"/>
      <c r="O946" s="2"/>
      <c r="P946" s="6" t="s">
        <v>57</v>
      </c>
      <c r="Q946" s="6" t="s">
        <v>57</v>
      </c>
      <c r="R946" s="6" t="s">
        <v>57</v>
      </c>
      <c r="S946" s="2"/>
      <c r="T946" s="6" t="s">
        <v>57</v>
      </c>
      <c r="U946" s="6" t="s">
        <v>57</v>
      </c>
      <c r="V946" s="6" t="s">
        <v>57</v>
      </c>
      <c r="W946" s="6" t="s">
        <v>57</v>
      </c>
      <c r="X946" s="6" t="s">
        <v>57</v>
      </c>
      <c r="Y946" s="6" t="s">
        <v>57</v>
      </c>
      <c r="Z946" s="6" t="s">
        <v>57</v>
      </c>
      <c r="AA946" s="6" t="s">
        <v>57</v>
      </c>
      <c r="AB946" s="6" t="s">
        <v>57</v>
      </c>
      <c r="AC946" s="6" t="s">
        <v>57</v>
      </c>
      <c r="AD946" s="6" t="s">
        <v>57</v>
      </c>
      <c r="AE946" s="6" t="s">
        <v>57</v>
      </c>
      <c r="AF946" s="6" t="s">
        <v>57</v>
      </c>
      <c r="AG946" s="6" t="s">
        <v>57</v>
      </c>
      <c r="AH946" s="6" t="s">
        <v>57</v>
      </c>
      <c r="AI946" s="6" t="s">
        <v>57</v>
      </c>
      <c r="AJ946" s="6" t="s">
        <v>57</v>
      </c>
      <c r="AK946" s="6" t="s">
        <v>57</v>
      </c>
      <c r="AL946" s="6" t="s">
        <v>57</v>
      </c>
      <c r="AM946" s="6" t="s">
        <v>57</v>
      </c>
      <c r="AN946" s="6" t="s">
        <v>57</v>
      </c>
      <c r="AO946" s="6" t="s">
        <v>57</v>
      </c>
      <c r="AP946" s="6" t="s">
        <v>57</v>
      </c>
      <c r="AQ946" s="6" t="s">
        <v>57</v>
      </c>
    </row>
    <row r="947" spans="1:43" ht="15">
      <c r="A947" s="2" t="s">
        <v>3302</v>
      </c>
      <c r="B947" s="5">
        <v>106378081</v>
      </c>
      <c r="C947" s="2" t="s">
        <v>23</v>
      </c>
      <c r="D947" s="2" t="s">
        <v>3303</v>
      </c>
      <c r="E947" s="2" t="s">
        <v>3304</v>
      </c>
      <c r="F947" s="2" t="s">
        <v>26</v>
      </c>
      <c r="G947" s="2" t="s">
        <v>26</v>
      </c>
      <c r="H947" s="2" t="s">
        <v>27</v>
      </c>
      <c r="I947" s="2" t="s">
        <v>28</v>
      </c>
      <c r="J947" s="6"/>
      <c r="K947" s="2" t="s">
        <v>55</v>
      </c>
      <c r="L947" s="2" t="s">
        <v>56</v>
      </c>
      <c r="M947" s="2" t="s">
        <v>55</v>
      </c>
      <c r="N947" s="2"/>
      <c r="O947" s="2"/>
      <c r="P947" s="6" t="s">
        <v>57</v>
      </c>
      <c r="Q947" s="6" t="s">
        <v>57</v>
      </c>
      <c r="R947" s="6" t="s">
        <v>57</v>
      </c>
      <c r="S947" s="2"/>
      <c r="T947" s="6" t="s">
        <v>57</v>
      </c>
      <c r="U947" s="6" t="s">
        <v>57</v>
      </c>
      <c r="V947" s="6" t="s">
        <v>57</v>
      </c>
      <c r="W947" s="6" t="s">
        <v>57</v>
      </c>
      <c r="X947" s="6" t="s">
        <v>57</v>
      </c>
      <c r="Y947" s="6" t="s">
        <v>57</v>
      </c>
      <c r="Z947" s="6" t="s">
        <v>57</v>
      </c>
      <c r="AA947" s="6" t="s">
        <v>57</v>
      </c>
      <c r="AB947" s="6" t="s">
        <v>57</v>
      </c>
      <c r="AC947" s="6" t="s">
        <v>57</v>
      </c>
      <c r="AD947" s="6" t="s">
        <v>57</v>
      </c>
      <c r="AE947" s="6" t="s">
        <v>57</v>
      </c>
      <c r="AF947" s="6" t="s">
        <v>57</v>
      </c>
      <c r="AG947" s="6" t="s">
        <v>57</v>
      </c>
      <c r="AH947" s="6" t="s">
        <v>57</v>
      </c>
      <c r="AI947" s="6" t="s">
        <v>57</v>
      </c>
      <c r="AJ947" s="6" t="s">
        <v>57</v>
      </c>
      <c r="AK947" s="6" t="s">
        <v>57</v>
      </c>
      <c r="AL947" s="6" t="s">
        <v>57</v>
      </c>
      <c r="AM947" s="6" t="s">
        <v>57</v>
      </c>
      <c r="AN947" s="6" t="s">
        <v>57</v>
      </c>
      <c r="AO947" s="6" t="s">
        <v>57</v>
      </c>
      <c r="AP947" s="6" t="s">
        <v>57</v>
      </c>
      <c r="AQ947" s="6" t="s">
        <v>57</v>
      </c>
    </row>
    <row r="948" spans="1:43" ht="15">
      <c r="A948" s="2" t="s">
        <v>3305</v>
      </c>
      <c r="B948" s="5">
        <v>5724367</v>
      </c>
      <c r="C948" s="2" t="s">
        <v>23</v>
      </c>
      <c r="D948" s="2" t="s">
        <v>3306</v>
      </c>
      <c r="E948" s="2" t="s">
        <v>3307</v>
      </c>
      <c r="F948" s="2" t="s">
        <v>26</v>
      </c>
      <c r="G948" s="2" t="s">
        <v>26</v>
      </c>
      <c r="H948" s="2" t="s">
        <v>27</v>
      </c>
      <c r="I948" s="2" t="s">
        <v>28</v>
      </c>
      <c r="J948" s="6"/>
      <c r="K948" s="2" t="s">
        <v>55</v>
      </c>
      <c r="L948" s="2" t="s">
        <v>56</v>
      </c>
      <c r="M948" s="2" t="s">
        <v>55</v>
      </c>
      <c r="N948" s="2"/>
      <c r="O948" s="2"/>
      <c r="P948" s="7">
        <v>832.52447853335798</v>
      </c>
      <c r="Q948" s="6" t="s">
        <v>57</v>
      </c>
      <c r="R948" s="9">
        <v>3413</v>
      </c>
      <c r="S948" s="2" t="s">
        <v>3308</v>
      </c>
      <c r="T948" s="9">
        <v>2093</v>
      </c>
      <c r="U948" s="9">
        <v>3622</v>
      </c>
      <c r="V948" s="9">
        <v>3245</v>
      </c>
      <c r="W948" s="9">
        <v>8683</v>
      </c>
      <c r="X948" s="9">
        <v>8649</v>
      </c>
      <c r="Y948" s="9">
        <v>9637</v>
      </c>
      <c r="Z948" s="9">
        <v>8346</v>
      </c>
      <c r="AA948" s="9">
        <v>9761</v>
      </c>
      <c r="AB948" s="9">
        <v>2592</v>
      </c>
      <c r="AC948" s="9">
        <v>3394</v>
      </c>
      <c r="AD948" s="9">
        <v>3770</v>
      </c>
      <c r="AE948" s="6" t="s">
        <v>57</v>
      </c>
      <c r="AF948" s="6" t="s">
        <v>57</v>
      </c>
      <c r="AG948" s="6" t="s">
        <v>57</v>
      </c>
      <c r="AH948" s="6" t="s">
        <v>57</v>
      </c>
      <c r="AI948" s="6" t="s">
        <v>57</v>
      </c>
      <c r="AJ948" s="6" t="s">
        <v>57</v>
      </c>
      <c r="AK948" s="6" t="s">
        <v>57</v>
      </c>
      <c r="AL948" s="6" t="s">
        <v>57</v>
      </c>
      <c r="AM948" s="6" t="s">
        <v>57</v>
      </c>
      <c r="AN948" s="6" t="s">
        <v>57</v>
      </c>
      <c r="AO948" s="6" t="s">
        <v>57</v>
      </c>
      <c r="AP948" s="6" t="s">
        <v>57</v>
      </c>
      <c r="AQ948" s="9">
        <v>6587</v>
      </c>
    </row>
    <row r="949" spans="1:43" ht="15">
      <c r="A949" s="2" t="s">
        <v>3309</v>
      </c>
      <c r="B949" s="5">
        <v>6283418</v>
      </c>
      <c r="C949" s="2" t="s">
        <v>23</v>
      </c>
      <c r="D949" s="2" t="s">
        <v>3310</v>
      </c>
      <c r="E949" s="2" t="s">
        <v>3311</v>
      </c>
      <c r="F949" s="2" t="s">
        <v>26</v>
      </c>
      <c r="G949" s="2" t="s">
        <v>26</v>
      </c>
      <c r="H949" s="2" t="s">
        <v>27</v>
      </c>
      <c r="I949" s="2" t="s">
        <v>40</v>
      </c>
      <c r="J949" s="10">
        <v>43308</v>
      </c>
      <c r="K949" s="2" t="s">
        <v>443</v>
      </c>
      <c r="L949" s="2" t="s">
        <v>99</v>
      </c>
      <c r="M949" s="2" t="s">
        <v>100</v>
      </c>
      <c r="N949" s="2" t="s">
        <v>443</v>
      </c>
      <c r="O949" s="2"/>
      <c r="P949" s="7">
        <v>8937.5636231999997</v>
      </c>
      <c r="Q949" s="8">
        <v>10324.4906825121</v>
      </c>
      <c r="R949" s="9">
        <v>1161187</v>
      </c>
      <c r="S949" s="2" t="s">
        <v>3312</v>
      </c>
      <c r="T949" s="9">
        <v>1644806</v>
      </c>
      <c r="U949" s="9">
        <v>1976082</v>
      </c>
      <c r="V949" s="9">
        <v>1614629</v>
      </c>
      <c r="W949" s="9">
        <v>3373038</v>
      </c>
      <c r="X949" s="9">
        <v>3362064</v>
      </c>
      <c r="Y949" s="9">
        <v>3376032</v>
      </c>
      <c r="Z949" s="9">
        <v>2401899</v>
      </c>
      <c r="AA949" s="9">
        <v>1717272</v>
      </c>
      <c r="AB949" s="9">
        <v>2114374</v>
      </c>
      <c r="AC949" s="9">
        <v>1613855</v>
      </c>
      <c r="AD949" s="9">
        <v>2953877</v>
      </c>
      <c r="AE949" s="7">
        <v>0.26511107305936099</v>
      </c>
      <c r="AF949" s="7">
        <v>0.37552652207001502</v>
      </c>
      <c r="AG949" s="7">
        <v>0.45116036910197899</v>
      </c>
      <c r="AH949" s="7">
        <v>0.36863676512557098</v>
      </c>
      <c r="AI949" s="7">
        <v>0.77010003209183797</v>
      </c>
      <c r="AJ949" s="7">
        <v>0.76759452054794497</v>
      </c>
      <c r="AK949" s="7">
        <v>0.77078346333710002</v>
      </c>
      <c r="AL949" s="7">
        <v>0.54837870377171405</v>
      </c>
      <c r="AM949" s="7">
        <v>0.39207114008545602</v>
      </c>
      <c r="AN949" s="7">
        <v>0.48273376821048097</v>
      </c>
      <c r="AO949" s="7">
        <v>0.36845999700576398</v>
      </c>
      <c r="AP949" s="7">
        <v>0.67440103292090103</v>
      </c>
      <c r="AQ949" s="9">
        <v>644004</v>
      </c>
    </row>
    <row r="950" spans="1:43" ht="15">
      <c r="A950" s="2" t="s">
        <v>3313</v>
      </c>
      <c r="B950" s="5">
        <v>5001089</v>
      </c>
      <c r="C950" s="2" t="s">
        <v>46</v>
      </c>
      <c r="D950" s="2" t="s">
        <v>3314</v>
      </c>
      <c r="E950" s="2" t="s">
        <v>3315</v>
      </c>
      <c r="F950" s="2" t="s">
        <v>49</v>
      </c>
      <c r="G950" s="2" t="s">
        <v>49</v>
      </c>
      <c r="H950" s="2" t="s">
        <v>50</v>
      </c>
      <c r="I950" s="2" t="s">
        <v>40</v>
      </c>
      <c r="J950" s="6"/>
      <c r="K950" s="2" t="s">
        <v>982</v>
      </c>
      <c r="L950" s="2" t="s">
        <v>217</v>
      </c>
      <c r="M950" s="2" t="s">
        <v>218</v>
      </c>
      <c r="N950" s="2" t="s">
        <v>982</v>
      </c>
      <c r="O950" s="2"/>
      <c r="P950" s="7">
        <v>1200.97766793661</v>
      </c>
      <c r="Q950" s="8">
        <v>1883.26721970581</v>
      </c>
      <c r="R950" s="9">
        <v>949</v>
      </c>
      <c r="S950" s="2" t="s">
        <v>3316</v>
      </c>
      <c r="T950" s="9">
        <v>29273</v>
      </c>
      <c r="U950" s="9">
        <v>39011</v>
      </c>
      <c r="V950" s="9">
        <v>23142</v>
      </c>
      <c r="W950" s="9">
        <v>20972</v>
      </c>
      <c r="X950" s="9">
        <v>20888</v>
      </c>
      <c r="Y950" s="9">
        <v>63186</v>
      </c>
      <c r="Z950" s="9">
        <v>119640</v>
      </c>
      <c r="AA950" s="9">
        <v>256900</v>
      </c>
      <c r="AB950" s="9">
        <v>43736</v>
      </c>
      <c r="AC950" s="9">
        <v>22991</v>
      </c>
      <c r="AD950" s="9">
        <v>24508</v>
      </c>
      <c r="AE950" s="7">
        <v>0.00015636092074333401</v>
      </c>
      <c r="AF950" s="7">
        <v>0.00482564804719679</v>
      </c>
      <c r="AG950" s="7">
        <v>0.0064309301463077798</v>
      </c>
      <c r="AH950" s="7">
        <v>0.0038150400699282</v>
      </c>
      <c r="AI950" s="7">
        <v>0.0034572542177308801</v>
      </c>
      <c r="AJ950" s="7">
        <v>0.0034434317948892901</v>
      </c>
      <c r="AK950" s="7">
        <v>0.0104162759573652</v>
      </c>
      <c r="AL950" s="7">
        <v>0.019722710326744299</v>
      </c>
      <c r="AM950" s="7">
        <v>0.042350120787044601</v>
      </c>
      <c r="AN950" s="7">
        <v>0.0072099116812129197</v>
      </c>
      <c r="AO950" s="7">
        <v>0.00379001835504397</v>
      </c>
      <c r="AP950" s="7">
        <v>0.0040401697537465796</v>
      </c>
      <c r="AQ950" s="9">
        <v>1897</v>
      </c>
    </row>
    <row r="951" spans="1:43" ht="15">
      <c r="A951" s="2" t="s">
        <v>3317</v>
      </c>
      <c r="B951" s="5">
        <v>4995381</v>
      </c>
      <c r="C951" s="2" t="s">
        <v>23</v>
      </c>
      <c r="D951" s="2" t="s">
        <v>3318</v>
      </c>
      <c r="E951" s="2" t="s">
        <v>3319</v>
      </c>
      <c r="F951" s="2" t="s">
        <v>26</v>
      </c>
      <c r="G951" s="2" t="s">
        <v>26</v>
      </c>
      <c r="H951" s="2" t="s">
        <v>27</v>
      </c>
      <c r="I951" s="2" t="s">
        <v>40</v>
      </c>
      <c r="J951" s="6"/>
      <c r="K951" s="2" t="s">
        <v>429</v>
      </c>
      <c r="L951" s="2" t="s">
        <v>182</v>
      </c>
      <c r="M951" s="2" t="s">
        <v>430</v>
      </c>
      <c r="N951" s="2" t="s">
        <v>429</v>
      </c>
      <c r="O951" s="2"/>
      <c r="P951" s="7">
        <v>57.0763125588485</v>
      </c>
      <c r="Q951" s="8">
        <v>49.964938704415999</v>
      </c>
      <c r="R951" s="9">
        <v>13326</v>
      </c>
      <c r="S951" s="2" t="s">
        <v>3320</v>
      </c>
      <c r="T951" s="9">
        <v>9435</v>
      </c>
      <c r="U951" s="9">
        <v>16198</v>
      </c>
      <c r="V951" s="9">
        <v>24417</v>
      </c>
      <c r="W951" s="9">
        <v>7723</v>
      </c>
      <c r="X951" s="9">
        <v>7699</v>
      </c>
      <c r="Y951" s="9">
        <v>6992</v>
      </c>
      <c r="Z951" s="9">
        <v>6008</v>
      </c>
      <c r="AA951" s="9">
        <v>4994</v>
      </c>
      <c r="AB951" s="9">
        <v>18356</v>
      </c>
      <c r="AC951" s="9">
        <v>25612</v>
      </c>
      <c r="AD951" s="9">
        <v>12923</v>
      </c>
      <c r="AE951" s="7">
        <v>0.058840575210203402</v>
      </c>
      <c r="AF951" s="7">
        <v>0.041659975019380797</v>
      </c>
      <c r="AG951" s="7">
        <v>0.071522729679426897</v>
      </c>
      <c r="AH951" s="7">
        <v>0.10781395111716099</v>
      </c>
      <c r="AI951" s="7">
        <v>0.034100350630745298</v>
      </c>
      <c r="AJ951" s="7">
        <v>0.033995087134299398</v>
      </c>
      <c r="AK951" s="7">
        <v>0.030874941196991801</v>
      </c>
      <c r="AL951" s="7">
        <v>0.026530266708258698</v>
      </c>
      <c r="AM951" s="7">
        <v>0.022052060612887801</v>
      </c>
      <c r="AN951" s="7">
        <v>0.081049556568353706</v>
      </c>
      <c r="AO951" s="7">
        <v>0.11309123144766201</v>
      </c>
      <c r="AP951" s="7">
        <v>0.057059965049986498</v>
      </c>
      <c r="AQ951" s="9">
        <v>26633</v>
      </c>
    </row>
    <row r="952" spans="1:43" ht="15">
      <c r="A952" s="2" t="s">
        <v>3321</v>
      </c>
      <c r="B952" s="5">
        <v>4773102</v>
      </c>
      <c r="C952" s="2" t="s">
        <v>23</v>
      </c>
      <c r="D952" s="2" t="s">
        <v>3322</v>
      </c>
      <c r="E952" s="2" t="s">
        <v>3323</v>
      </c>
      <c r="F952" s="2" t="s">
        <v>26</v>
      </c>
      <c r="G952" s="2" t="s">
        <v>26</v>
      </c>
      <c r="H952" s="2" t="s">
        <v>27</v>
      </c>
      <c r="I952" s="2" t="s">
        <v>40</v>
      </c>
      <c r="J952" s="6"/>
      <c r="K952" s="2" t="s">
        <v>55</v>
      </c>
      <c r="L952" s="2" t="s">
        <v>56</v>
      </c>
      <c r="M952" s="2" t="s">
        <v>55</v>
      </c>
      <c r="N952" s="2"/>
      <c r="O952" s="2"/>
      <c r="P952" s="7">
        <v>926.31316454371995</v>
      </c>
      <c r="Q952" s="8">
        <v>923.16767202051199</v>
      </c>
      <c r="R952" s="9">
        <v>69415</v>
      </c>
      <c r="S952" s="2" t="s">
        <v>3324</v>
      </c>
      <c r="T952" s="9">
        <v>51327</v>
      </c>
      <c r="U952" s="9">
        <v>50127</v>
      </c>
      <c r="V952" s="9">
        <v>417689</v>
      </c>
      <c r="W952" s="9">
        <v>126498</v>
      </c>
      <c r="X952" s="9">
        <v>125992</v>
      </c>
      <c r="Y952" s="9">
        <v>63618</v>
      </c>
      <c r="Z952" s="9">
        <v>44101</v>
      </c>
      <c r="AA952" s="9">
        <v>31858</v>
      </c>
      <c r="AB952" s="9">
        <v>54554</v>
      </c>
      <c r="AC952" s="9">
        <v>431272</v>
      </c>
      <c r="AD952" s="9">
        <v>246308</v>
      </c>
      <c r="AE952" s="7">
        <v>0.016533502750933599</v>
      </c>
      <c r="AF952" s="7">
        <v>0.0122254083349265</v>
      </c>
      <c r="AG952" s="7">
        <v>0.0119395762364878</v>
      </c>
      <c r="AH952" s="7">
        <v>0.099487311328306502</v>
      </c>
      <c r="AI952" s="7">
        <v>0.0301300009157245</v>
      </c>
      <c r="AJ952" s="7">
        <v>0.030009480912061601</v>
      </c>
      <c r="AK952" s="7">
        <v>0.0151528735803155</v>
      </c>
      <c r="AL952" s="7">
        <v>0.0105042937581437</v>
      </c>
      <c r="AM952" s="7">
        <v>0.0075880608359376496</v>
      </c>
      <c r="AN952" s="7">
        <v>0.0129940204558466</v>
      </c>
      <c r="AO952" s="7">
        <v>0.10272254092371701</v>
      </c>
      <c r="AP952" s="7">
        <v>0.058666964331918398</v>
      </c>
      <c r="AQ952" s="9">
        <v>31256</v>
      </c>
    </row>
    <row r="953" spans="1:43" ht="15">
      <c r="A953" s="2" t="s">
        <v>3325</v>
      </c>
      <c r="B953" s="5">
        <v>4981351</v>
      </c>
      <c r="C953" s="2" t="s">
        <v>23</v>
      </c>
      <c r="D953" s="2" t="s">
        <v>3326</v>
      </c>
      <c r="E953" s="2" t="s">
        <v>3327</v>
      </c>
      <c r="F953" s="2" t="s">
        <v>26</v>
      </c>
      <c r="G953" s="2" t="s">
        <v>26</v>
      </c>
      <c r="H953" s="2" t="s">
        <v>27</v>
      </c>
      <c r="I953" s="2" t="s">
        <v>28</v>
      </c>
      <c r="J953" s="6"/>
      <c r="K953" s="2" t="s">
        <v>1052</v>
      </c>
      <c r="L953" s="2" t="s">
        <v>30</v>
      </c>
      <c r="M953" s="2" t="s">
        <v>424</v>
      </c>
      <c r="N953" s="2" t="s">
        <v>1052</v>
      </c>
      <c r="O953" s="2"/>
      <c r="P953" s="7">
        <v>3.33594899616</v>
      </c>
      <c r="Q953" s="8">
        <v>11.080609351984</v>
      </c>
      <c r="R953" s="9">
        <v>0</v>
      </c>
      <c r="S953" s="2" t="s">
        <v>3328</v>
      </c>
      <c r="T953" s="9">
        <v>0</v>
      </c>
      <c r="U953" s="9">
        <v>0</v>
      </c>
      <c r="V953" s="9">
        <v>0</v>
      </c>
      <c r="W953" s="9">
        <v>0</v>
      </c>
      <c r="X953" s="9">
        <v>0</v>
      </c>
      <c r="Y953" s="9">
        <v>0</v>
      </c>
      <c r="Z953" s="9">
        <v>0</v>
      </c>
      <c r="AA953" s="9">
        <v>0</v>
      </c>
      <c r="AB953" s="9">
        <v>0</v>
      </c>
      <c r="AC953" s="9">
        <v>0</v>
      </c>
      <c r="AD953" s="9">
        <v>0</v>
      </c>
      <c r="AE953" s="6" t="s">
        <v>57</v>
      </c>
      <c r="AF953" s="6" t="s">
        <v>57</v>
      </c>
      <c r="AG953" s="6" t="s">
        <v>57</v>
      </c>
      <c r="AH953" s="6" t="s">
        <v>57</v>
      </c>
      <c r="AI953" s="6" t="s">
        <v>57</v>
      </c>
      <c r="AJ953" s="6" t="s">
        <v>57</v>
      </c>
      <c r="AK953" s="6" t="s">
        <v>57</v>
      </c>
      <c r="AL953" s="6" t="s">
        <v>57</v>
      </c>
      <c r="AM953" s="6" t="s">
        <v>57</v>
      </c>
      <c r="AN953" s="6" t="s">
        <v>57</v>
      </c>
      <c r="AO953" s="6" t="s">
        <v>57</v>
      </c>
      <c r="AP953" s="6" t="s">
        <v>57</v>
      </c>
      <c r="AQ953" s="9">
        <v>0</v>
      </c>
    </row>
    <row r="954" spans="1:43" ht="15">
      <c r="A954" s="2" t="s">
        <v>3329</v>
      </c>
      <c r="B954" s="5">
        <v>29444958</v>
      </c>
      <c r="C954" s="2" t="s">
        <v>23</v>
      </c>
      <c r="D954" s="2" t="s">
        <v>3330</v>
      </c>
      <c r="E954" s="2" t="s">
        <v>3331</v>
      </c>
      <c r="F954" s="2" t="s">
        <v>26</v>
      </c>
      <c r="G954" s="2" t="s">
        <v>26</v>
      </c>
      <c r="H954" s="2" t="s">
        <v>27</v>
      </c>
      <c r="I954" s="2" t="s">
        <v>28</v>
      </c>
      <c r="J954" s="6"/>
      <c r="K954" s="2" t="s">
        <v>55</v>
      </c>
      <c r="L954" s="2" t="s">
        <v>56</v>
      </c>
      <c r="M954" s="2" t="s">
        <v>55</v>
      </c>
      <c r="N954" s="2"/>
      <c r="O954" s="2"/>
      <c r="P954" s="6" t="s">
        <v>57</v>
      </c>
      <c r="Q954" s="6" t="s">
        <v>57</v>
      </c>
      <c r="R954" s="9">
        <v>0</v>
      </c>
      <c r="S954" s="2"/>
      <c r="T954" s="9">
        <v>0</v>
      </c>
      <c r="U954" s="9">
        <v>0</v>
      </c>
      <c r="V954" s="9">
        <v>0</v>
      </c>
      <c r="W954" s="9">
        <v>2462</v>
      </c>
      <c r="X954" s="9">
        <v>2452</v>
      </c>
      <c r="Y954" s="9">
        <v>1341</v>
      </c>
      <c r="Z954" s="9">
        <v>1341</v>
      </c>
      <c r="AA954" s="9">
        <v>1341</v>
      </c>
      <c r="AB954" s="9">
        <v>0</v>
      </c>
      <c r="AC954" s="9">
        <v>0</v>
      </c>
      <c r="AD954" s="9">
        <v>0</v>
      </c>
      <c r="AE954" s="6" t="s">
        <v>57</v>
      </c>
      <c r="AF954" s="6" t="s">
        <v>57</v>
      </c>
      <c r="AG954" s="6" t="s">
        <v>57</v>
      </c>
      <c r="AH954" s="6" t="s">
        <v>57</v>
      </c>
      <c r="AI954" s="6" t="s">
        <v>57</v>
      </c>
      <c r="AJ954" s="6" t="s">
        <v>57</v>
      </c>
      <c r="AK954" s="6" t="s">
        <v>57</v>
      </c>
      <c r="AL954" s="6" t="s">
        <v>57</v>
      </c>
      <c r="AM954" s="6" t="s">
        <v>57</v>
      </c>
      <c r="AN954" s="6" t="s">
        <v>57</v>
      </c>
      <c r="AO954" s="6" t="s">
        <v>57</v>
      </c>
      <c r="AP954" s="6" t="s">
        <v>57</v>
      </c>
      <c r="AQ954" s="9">
        <v>0</v>
      </c>
    </row>
    <row r="955" spans="1:43" ht="15">
      <c r="A955" s="2" t="s">
        <v>3332</v>
      </c>
      <c r="B955" s="5">
        <v>125234959</v>
      </c>
      <c r="C955" s="2" t="s">
        <v>23</v>
      </c>
      <c r="D955" s="2" t="s">
        <v>3333</v>
      </c>
      <c r="E955" s="2" t="s">
        <v>3334</v>
      </c>
      <c r="F955" s="2" t="s">
        <v>26</v>
      </c>
      <c r="G955" s="2"/>
      <c r="H955" s="2"/>
      <c r="I955" s="2" t="s">
        <v>28</v>
      </c>
      <c r="J955" s="6"/>
      <c r="K955" s="2" t="s">
        <v>55</v>
      </c>
      <c r="L955" s="2" t="s">
        <v>56</v>
      </c>
      <c r="M955" s="2" t="s">
        <v>55</v>
      </c>
      <c r="N955" s="2"/>
      <c r="O955" s="2"/>
      <c r="P955" s="6" t="s">
        <v>57</v>
      </c>
      <c r="Q955" s="6" t="s">
        <v>57</v>
      </c>
      <c r="R955" s="6" t="s">
        <v>57</v>
      </c>
      <c r="S955" s="2"/>
      <c r="T955" s="6" t="s">
        <v>57</v>
      </c>
      <c r="U955" s="6" t="s">
        <v>57</v>
      </c>
      <c r="V955" s="6" t="s">
        <v>57</v>
      </c>
      <c r="W955" s="6" t="s">
        <v>57</v>
      </c>
      <c r="X955" s="6" t="s">
        <v>57</v>
      </c>
      <c r="Y955" s="6" t="s">
        <v>57</v>
      </c>
      <c r="Z955" s="6" t="s">
        <v>57</v>
      </c>
      <c r="AA955" s="6" t="s">
        <v>57</v>
      </c>
      <c r="AB955" s="6" t="s">
        <v>57</v>
      </c>
      <c r="AC955" s="6" t="s">
        <v>57</v>
      </c>
      <c r="AD955" s="6" t="s">
        <v>57</v>
      </c>
      <c r="AE955" s="6" t="s">
        <v>57</v>
      </c>
      <c r="AF955" s="6" t="s">
        <v>57</v>
      </c>
      <c r="AG955" s="6" t="s">
        <v>57</v>
      </c>
      <c r="AH955" s="6" t="s">
        <v>57</v>
      </c>
      <c r="AI955" s="6" t="s">
        <v>57</v>
      </c>
      <c r="AJ955" s="6" t="s">
        <v>57</v>
      </c>
      <c r="AK955" s="6" t="s">
        <v>57</v>
      </c>
      <c r="AL955" s="6" t="s">
        <v>57</v>
      </c>
      <c r="AM955" s="6" t="s">
        <v>57</v>
      </c>
      <c r="AN955" s="6" t="s">
        <v>57</v>
      </c>
      <c r="AO955" s="6" t="s">
        <v>57</v>
      </c>
      <c r="AP955" s="6" t="s">
        <v>57</v>
      </c>
      <c r="AQ955" s="6" t="s">
        <v>57</v>
      </c>
    </row>
    <row r="956" spans="1:43" ht="15">
      <c r="A956" s="2" t="s">
        <v>3335</v>
      </c>
      <c r="B956" s="5">
        <v>5738251</v>
      </c>
      <c r="C956" s="2" t="s">
        <v>23</v>
      </c>
      <c r="D956" s="2" t="s">
        <v>3336</v>
      </c>
      <c r="E956" s="2" t="s">
        <v>3337</v>
      </c>
      <c r="F956" s="2" t="s">
        <v>26</v>
      </c>
      <c r="G956" s="2" t="s">
        <v>26</v>
      </c>
      <c r="H956" s="2" t="s">
        <v>27</v>
      </c>
      <c r="I956" s="2" t="s">
        <v>28</v>
      </c>
      <c r="J956" s="6"/>
      <c r="K956" s="2" t="s">
        <v>55</v>
      </c>
      <c r="L956" s="2" t="s">
        <v>56</v>
      </c>
      <c r="M956" s="2" t="s">
        <v>55</v>
      </c>
      <c r="N956" s="2"/>
      <c r="O956" s="2"/>
      <c r="P956" s="7">
        <v>47.445555739502197</v>
      </c>
      <c r="Q956" s="6" t="s">
        <v>57</v>
      </c>
      <c r="R956" s="9">
        <v>0</v>
      </c>
      <c r="S956" s="2"/>
      <c r="T956" s="9">
        <v>0</v>
      </c>
      <c r="U956" s="9">
        <v>0</v>
      </c>
      <c r="V956" s="9">
        <v>0</v>
      </c>
      <c r="W956" s="9">
        <v>712</v>
      </c>
      <c r="X956" s="9">
        <v>709</v>
      </c>
      <c r="Y956" s="9">
        <v>3312</v>
      </c>
      <c r="Z956" s="9">
        <v>2207</v>
      </c>
      <c r="AA956" s="9">
        <v>1612</v>
      </c>
      <c r="AB956" s="9">
        <v>0</v>
      </c>
      <c r="AC956" s="9">
        <v>0</v>
      </c>
      <c r="AD956" s="9">
        <v>0</v>
      </c>
      <c r="AE956" s="6" t="s">
        <v>57</v>
      </c>
      <c r="AF956" s="6" t="s">
        <v>57</v>
      </c>
      <c r="AG956" s="6" t="s">
        <v>57</v>
      </c>
      <c r="AH956" s="6" t="s">
        <v>57</v>
      </c>
      <c r="AI956" s="6" t="s">
        <v>57</v>
      </c>
      <c r="AJ956" s="6" t="s">
        <v>57</v>
      </c>
      <c r="AK956" s="6" t="s">
        <v>57</v>
      </c>
      <c r="AL956" s="6" t="s">
        <v>57</v>
      </c>
      <c r="AM956" s="6" t="s">
        <v>57</v>
      </c>
      <c r="AN956" s="6" t="s">
        <v>57</v>
      </c>
      <c r="AO956" s="6" t="s">
        <v>57</v>
      </c>
      <c r="AP956" s="6" t="s">
        <v>57</v>
      </c>
      <c r="AQ956" s="9">
        <v>0</v>
      </c>
    </row>
    <row r="957" spans="1:43" ht="15">
      <c r="A957" s="2" t="s">
        <v>3338</v>
      </c>
      <c r="B957" s="5">
        <v>29080176</v>
      </c>
      <c r="C957" s="2" t="s">
        <v>23</v>
      </c>
      <c r="D957" s="2" t="s">
        <v>3339</v>
      </c>
      <c r="E957" s="2" t="s">
        <v>3340</v>
      </c>
      <c r="F957" s="2" t="s">
        <v>26</v>
      </c>
      <c r="G957" s="2" t="s">
        <v>26</v>
      </c>
      <c r="H957" s="2" t="s">
        <v>27</v>
      </c>
      <c r="I957" s="2" t="s">
        <v>28</v>
      </c>
      <c r="J957" s="6"/>
      <c r="K957" s="2" t="s">
        <v>55</v>
      </c>
      <c r="L957" s="2" t="s">
        <v>56</v>
      </c>
      <c r="M957" s="2" t="s">
        <v>55</v>
      </c>
      <c r="N957" s="2"/>
      <c r="O957" s="2"/>
      <c r="P957" s="7">
        <v>25.763962117253101</v>
      </c>
      <c r="Q957" s="6" t="s">
        <v>57</v>
      </c>
      <c r="R957" s="9">
        <v>0</v>
      </c>
      <c r="S957" s="2"/>
      <c r="T957" s="9">
        <v>0</v>
      </c>
      <c r="U957" s="9">
        <v>0</v>
      </c>
      <c r="V957" s="9">
        <v>0</v>
      </c>
      <c r="W957" s="9">
        <v>0</v>
      </c>
      <c r="X957" s="9">
        <v>0</v>
      </c>
      <c r="Y957" s="9">
        <v>15</v>
      </c>
      <c r="Z957" s="9">
        <v>23</v>
      </c>
      <c r="AA957" s="9">
        <v>70</v>
      </c>
      <c r="AB957" s="9">
        <v>0</v>
      </c>
      <c r="AC957" s="9">
        <v>0</v>
      </c>
      <c r="AD957" s="9">
        <v>0</v>
      </c>
      <c r="AE957" s="6" t="s">
        <v>57</v>
      </c>
      <c r="AF957" s="6" t="s">
        <v>57</v>
      </c>
      <c r="AG957" s="6" t="s">
        <v>57</v>
      </c>
      <c r="AH957" s="6" t="s">
        <v>57</v>
      </c>
      <c r="AI957" s="6" t="s">
        <v>57</v>
      </c>
      <c r="AJ957" s="6" t="s">
        <v>57</v>
      </c>
      <c r="AK957" s="6" t="s">
        <v>57</v>
      </c>
      <c r="AL957" s="6" t="s">
        <v>57</v>
      </c>
      <c r="AM957" s="6" t="s">
        <v>57</v>
      </c>
      <c r="AN957" s="6" t="s">
        <v>57</v>
      </c>
      <c r="AO957" s="6" t="s">
        <v>57</v>
      </c>
      <c r="AP957" s="6" t="s">
        <v>57</v>
      </c>
      <c r="AQ957" s="9">
        <v>0</v>
      </c>
    </row>
    <row r="958" spans="1:43" ht="15">
      <c r="A958" s="2" t="s">
        <v>3341</v>
      </c>
      <c r="B958" s="5">
        <v>116187744</v>
      </c>
      <c r="C958" s="2" t="s">
        <v>23</v>
      </c>
      <c r="D958" s="2" t="s">
        <v>3342</v>
      </c>
      <c r="E958" s="2" t="s">
        <v>3343</v>
      </c>
      <c r="F958" s="2" t="s">
        <v>26</v>
      </c>
      <c r="G958" s="2"/>
      <c r="H958" s="2"/>
      <c r="I958" s="2" t="s">
        <v>28</v>
      </c>
      <c r="J958" s="6"/>
      <c r="K958" s="2" t="s">
        <v>55</v>
      </c>
      <c r="L958" s="2" t="s">
        <v>56</v>
      </c>
      <c r="M958" s="2" t="s">
        <v>55</v>
      </c>
      <c r="N958" s="2"/>
      <c r="O958" s="2"/>
      <c r="P958" s="6" t="s">
        <v>57</v>
      </c>
      <c r="Q958" s="6" t="s">
        <v>57</v>
      </c>
      <c r="R958" s="6" t="s">
        <v>57</v>
      </c>
      <c r="S958" s="2"/>
      <c r="T958" s="6" t="s">
        <v>57</v>
      </c>
      <c r="U958" s="6" t="s">
        <v>57</v>
      </c>
      <c r="V958" s="6" t="s">
        <v>57</v>
      </c>
      <c r="W958" s="6" t="s">
        <v>57</v>
      </c>
      <c r="X958" s="6" t="s">
        <v>57</v>
      </c>
      <c r="Y958" s="6" t="s">
        <v>57</v>
      </c>
      <c r="Z958" s="6" t="s">
        <v>57</v>
      </c>
      <c r="AA958" s="6" t="s">
        <v>57</v>
      </c>
      <c r="AB958" s="6" t="s">
        <v>57</v>
      </c>
      <c r="AC958" s="6" t="s">
        <v>57</v>
      </c>
      <c r="AD958" s="6" t="s">
        <v>57</v>
      </c>
      <c r="AE958" s="6" t="s">
        <v>57</v>
      </c>
      <c r="AF958" s="6" t="s">
        <v>57</v>
      </c>
      <c r="AG958" s="6" t="s">
        <v>57</v>
      </c>
      <c r="AH958" s="6" t="s">
        <v>57</v>
      </c>
      <c r="AI958" s="6" t="s">
        <v>57</v>
      </c>
      <c r="AJ958" s="6" t="s">
        <v>57</v>
      </c>
      <c r="AK958" s="6" t="s">
        <v>57</v>
      </c>
      <c r="AL958" s="6" t="s">
        <v>57</v>
      </c>
      <c r="AM958" s="6" t="s">
        <v>57</v>
      </c>
      <c r="AN958" s="6" t="s">
        <v>57</v>
      </c>
      <c r="AO958" s="6" t="s">
        <v>57</v>
      </c>
      <c r="AP958" s="6" t="s">
        <v>57</v>
      </c>
      <c r="AQ958" s="6" t="s">
        <v>57</v>
      </c>
    </row>
    <row r="959" spans="1:43" ht="15">
      <c r="A959" s="2" t="s">
        <v>3344</v>
      </c>
      <c r="B959" s="5">
        <v>140733819</v>
      </c>
      <c r="C959" s="2" t="s">
        <v>23</v>
      </c>
      <c r="D959" s="2" t="s">
        <v>3345</v>
      </c>
      <c r="E959" s="2" t="s">
        <v>3346</v>
      </c>
      <c r="F959" s="2" t="s">
        <v>26</v>
      </c>
      <c r="G959" s="2" t="s">
        <v>26</v>
      </c>
      <c r="H959" s="2" t="s">
        <v>27</v>
      </c>
      <c r="I959" s="2" t="s">
        <v>28</v>
      </c>
      <c r="J959" s="6"/>
      <c r="K959" s="2" t="s">
        <v>55</v>
      </c>
      <c r="L959" s="2" t="s">
        <v>56</v>
      </c>
      <c r="M959" s="2" t="s">
        <v>55</v>
      </c>
      <c r="N959" s="2"/>
      <c r="O959" s="2"/>
      <c r="P959" s="6" t="s">
        <v>57</v>
      </c>
      <c r="Q959" s="6" t="s">
        <v>57</v>
      </c>
      <c r="R959" s="6" t="s">
        <v>57</v>
      </c>
      <c r="S959" s="2"/>
      <c r="T959" s="6" t="s">
        <v>57</v>
      </c>
      <c r="U959" s="6" t="s">
        <v>57</v>
      </c>
      <c r="V959" s="6" t="s">
        <v>57</v>
      </c>
      <c r="W959" s="6" t="s">
        <v>57</v>
      </c>
      <c r="X959" s="6" t="s">
        <v>57</v>
      </c>
      <c r="Y959" s="6" t="s">
        <v>57</v>
      </c>
      <c r="Z959" s="6" t="s">
        <v>57</v>
      </c>
      <c r="AA959" s="6" t="s">
        <v>57</v>
      </c>
      <c r="AB959" s="6" t="s">
        <v>57</v>
      </c>
      <c r="AC959" s="6" t="s">
        <v>57</v>
      </c>
      <c r="AD959" s="6" t="s">
        <v>57</v>
      </c>
      <c r="AE959" s="6" t="s">
        <v>57</v>
      </c>
      <c r="AF959" s="6" t="s">
        <v>57</v>
      </c>
      <c r="AG959" s="6" t="s">
        <v>57</v>
      </c>
      <c r="AH959" s="6" t="s">
        <v>57</v>
      </c>
      <c r="AI959" s="6" t="s">
        <v>57</v>
      </c>
      <c r="AJ959" s="6" t="s">
        <v>57</v>
      </c>
      <c r="AK959" s="6" t="s">
        <v>57</v>
      </c>
      <c r="AL959" s="6" t="s">
        <v>57</v>
      </c>
      <c r="AM959" s="6" t="s">
        <v>57</v>
      </c>
      <c r="AN959" s="6" t="s">
        <v>57</v>
      </c>
      <c r="AO959" s="6" t="s">
        <v>57</v>
      </c>
      <c r="AP959" s="6" t="s">
        <v>57</v>
      </c>
      <c r="AQ959" s="6" t="s">
        <v>57</v>
      </c>
    </row>
    <row r="960" spans="1:43" ht="15">
      <c r="A960" s="2" t="s">
        <v>3347</v>
      </c>
      <c r="B960" s="5">
        <v>4576453</v>
      </c>
      <c r="C960" s="2" t="s">
        <v>35</v>
      </c>
      <c r="D960" s="2" t="s">
        <v>3348</v>
      </c>
      <c r="E960" s="2" t="s">
        <v>3349</v>
      </c>
      <c r="F960" s="2" t="s">
        <v>38</v>
      </c>
      <c r="G960" s="2" t="s">
        <v>38</v>
      </c>
      <c r="H960" s="2" t="s">
        <v>39</v>
      </c>
      <c r="I960" s="2" t="s">
        <v>28</v>
      </c>
      <c r="J960" s="6"/>
      <c r="K960" s="2" t="s">
        <v>1572</v>
      </c>
      <c r="L960" s="2" t="s">
        <v>217</v>
      </c>
      <c r="M960" s="2" t="s">
        <v>218</v>
      </c>
      <c r="N960" s="2" t="s">
        <v>1572</v>
      </c>
      <c r="O960" s="2"/>
      <c r="P960" s="7">
        <v>2182.0814138699898</v>
      </c>
      <c r="Q960" s="8">
        <v>5181.2799705717098</v>
      </c>
      <c r="R960" s="9">
        <v>8207</v>
      </c>
      <c r="S960" s="2" t="s">
        <v>3350</v>
      </c>
      <c r="T960" s="9">
        <v>34888</v>
      </c>
      <c r="U960" s="9">
        <v>41385</v>
      </c>
      <c r="V960" s="9">
        <v>32743</v>
      </c>
      <c r="W960" s="9">
        <v>97403</v>
      </c>
      <c r="X960" s="9">
        <v>97271</v>
      </c>
      <c r="Y960" s="9">
        <v>66480</v>
      </c>
      <c r="Z960" s="9">
        <v>52491</v>
      </c>
      <c r="AA960" s="9">
        <v>45209</v>
      </c>
      <c r="AB960" s="9">
        <v>44122</v>
      </c>
      <c r="AC960" s="9">
        <v>33352</v>
      </c>
      <c r="AD960" s="9">
        <v>91922</v>
      </c>
      <c r="AE960" s="7">
        <v>0.0036159026094386101</v>
      </c>
      <c r="AF960" s="7">
        <v>0.015371220937991301</v>
      </c>
      <c r="AG960" s="7">
        <v>0.018233578527738499</v>
      </c>
      <c r="AH960" s="7">
        <v>0.014426268831147501</v>
      </c>
      <c r="AI960" s="7">
        <v>0.042914414671262599</v>
      </c>
      <c r="AJ960" s="7">
        <v>0.0428562649075791</v>
      </c>
      <c r="AK960" s="7">
        <v>0.029290170470899601</v>
      </c>
      <c r="AL960" s="7">
        <v>0.023126679592381998</v>
      </c>
      <c r="AM960" s="7">
        <v>0.0199185805822692</v>
      </c>
      <c r="AN960" s="7">
        <v>0.0194393983352842</v>
      </c>
      <c r="AO960" s="7">
        <v>0.014694470755068601</v>
      </c>
      <c r="AP960" s="7">
        <v>0.040499898974084</v>
      </c>
      <c r="AQ960" s="9">
        <v>5700</v>
      </c>
    </row>
    <row r="961" spans="1:43" ht="15">
      <c r="A961" s="2" t="s">
        <v>3351</v>
      </c>
      <c r="B961" s="5">
        <v>4995382</v>
      </c>
      <c r="C961" s="2" t="s">
        <v>23</v>
      </c>
      <c r="D961" s="2" t="s">
        <v>3352</v>
      </c>
      <c r="E961" s="2" t="s">
        <v>3353</v>
      </c>
      <c r="F961" s="2" t="s">
        <v>26</v>
      </c>
      <c r="G961" s="2" t="s">
        <v>26</v>
      </c>
      <c r="H961" s="2" t="s">
        <v>27</v>
      </c>
      <c r="I961" s="2" t="s">
        <v>28</v>
      </c>
      <c r="J961" s="6"/>
      <c r="K961" s="2" t="s">
        <v>429</v>
      </c>
      <c r="L961" s="2" t="s">
        <v>182</v>
      </c>
      <c r="M961" s="2" t="s">
        <v>430</v>
      </c>
      <c r="N961" s="2" t="s">
        <v>429</v>
      </c>
      <c r="O961" s="2"/>
      <c r="P961" s="7">
        <v>213.58596231640101</v>
      </c>
      <c r="Q961" s="8">
        <v>464.696263264496</v>
      </c>
      <c r="R961" s="9">
        <v>14870</v>
      </c>
      <c r="S961" s="2" t="s">
        <v>3354</v>
      </c>
      <c r="T961" s="9">
        <v>5476</v>
      </c>
      <c r="U961" s="9">
        <v>3470</v>
      </c>
      <c r="V961" s="9">
        <v>8396</v>
      </c>
      <c r="W961" s="9">
        <v>36654</v>
      </c>
      <c r="X961" s="9">
        <v>36508</v>
      </c>
      <c r="Y961" s="9">
        <v>157237</v>
      </c>
      <c r="Z961" s="9">
        <v>107553</v>
      </c>
      <c r="AA961" s="9">
        <v>77558</v>
      </c>
      <c r="AB961" s="9">
        <v>3956</v>
      </c>
      <c r="AC961" s="9">
        <v>8807</v>
      </c>
      <c r="AD961" s="9">
        <v>21469</v>
      </c>
      <c r="AE961" s="7">
        <v>0.0061809997837398304</v>
      </c>
      <c r="AF961" s="7">
        <v>0.0022759962552701702</v>
      </c>
      <c r="AG961" s="7">
        <v>0.00144221596332605</v>
      </c>
      <c r="AH961" s="7">
        <v>0.0034898085331191899</v>
      </c>
      <c r="AI961" s="7">
        <v>0.0152360560423837</v>
      </c>
      <c r="AJ961" s="7">
        <v>0.015175111818214199</v>
      </c>
      <c r="AK961" s="7">
        <v>0.065358650405586194</v>
      </c>
      <c r="AL961" s="7">
        <v>0.0447066434022831</v>
      </c>
      <c r="AM961" s="7">
        <v>0.032238340581373898</v>
      </c>
      <c r="AN961" s="7">
        <v>0.00164428806172559</v>
      </c>
      <c r="AO961" s="7">
        <v>0.0036606820794678201</v>
      </c>
      <c r="AP961" s="7">
        <v>0.0089241377319960197</v>
      </c>
      <c r="AQ961" s="9">
        <v>0</v>
      </c>
    </row>
    <row r="962" spans="1:43" ht="15">
      <c r="A962" s="2" t="s">
        <v>3355</v>
      </c>
      <c r="B962" s="5">
        <v>4584250</v>
      </c>
      <c r="C962" s="2" t="s">
        <v>46</v>
      </c>
      <c r="D962" s="2" t="s">
        <v>3356</v>
      </c>
      <c r="E962" s="2" t="s">
        <v>3357</v>
      </c>
      <c r="F962" s="2" t="s">
        <v>49</v>
      </c>
      <c r="G962" s="2" t="s">
        <v>49</v>
      </c>
      <c r="H962" s="2" t="s">
        <v>50</v>
      </c>
      <c r="I962" s="2" t="s">
        <v>40</v>
      </c>
      <c r="J962" s="6"/>
      <c r="K962" s="2" t="s">
        <v>3107</v>
      </c>
      <c r="L962" s="2" t="s">
        <v>56</v>
      </c>
      <c r="M962" s="2" t="s">
        <v>602</v>
      </c>
      <c r="N962" s="2" t="s">
        <v>2589</v>
      </c>
      <c r="O962" s="2" t="s">
        <v>3107</v>
      </c>
      <c r="P962" s="7">
        <v>14.726192000840699</v>
      </c>
      <c r="Q962" s="8">
        <v>-64.544882049123501</v>
      </c>
      <c r="R962" s="9">
        <v>0</v>
      </c>
      <c r="S962" s="2" t="s">
        <v>3358</v>
      </c>
      <c r="T962" s="9">
        <v>0</v>
      </c>
      <c r="U962" s="9">
        <v>0</v>
      </c>
      <c r="V962" s="9">
        <v>0</v>
      </c>
      <c r="W962" s="9">
        <v>0</v>
      </c>
      <c r="X962" s="9">
        <v>0</v>
      </c>
      <c r="Y962" s="9">
        <v>0</v>
      </c>
      <c r="Z962" s="9">
        <v>0</v>
      </c>
      <c r="AA962" s="9">
        <v>0</v>
      </c>
      <c r="AB962" s="9">
        <v>0</v>
      </c>
      <c r="AC962" s="9">
        <v>0</v>
      </c>
      <c r="AD962" s="9">
        <v>0</v>
      </c>
      <c r="AE962" s="7">
        <v>0</v>
      </c>
      <c r="AF962" s="7">
        <v>0</v>
      </c>
      <c r="AG962" s="7">
        <v>0</v>
      </c>
      <c r="AH962" s="7">
        <v>0</v>
      </c>
      <c r="AI962" s="7">
        <v>0</v>
      </c>
      <c r="AJ962" s="7">
        <v>0</v>
      </c>
      <c r="AK962" s="7">
        <v>0</v>
      </c>
      <c r="AL962" s="7">
        <v>0</v>
      </c>
      <c r="AM962" s="7">
        <v>0</v>
      </c>
      <c r="AN962" s="7">
        <v>0</v>
      </c>
      <c r="AO962" s="7">
        <v>0</v>
      </c>
      <c r="AP962" s="7">
        <v>0</v>
      </c>
      <c r="AQ962" s="9">
        <v>0</v>
      </c>
    </row>
    <row r="963" spans="1:43" ht="15">
      <c r="A963" s="2" t="s">
        <v>3359</v>
      </c>
      <c r="B963" s="5">
        <v>4994891</v>
      </c>
      <c r="C963" s="2" t="s">
        <v>23</v>
      </c>
      <c r="D963" s="2" t="s">
        <v>3360</v>
      </c>
      <c r="E963" s="2" t="s">
        <v>3361</v>
      </c>
      <c r="F963" s="2" t="s">
        <v>26</v>
      </c>
      <c r="G963" s="2" t="s">
        <v>26</v>
      </c>
      <c r="H963" s="2" t="s">
        <v>27</v>
      </c>
      <c r="I963" s="2" t="s">
        <v>28</v>
      </c>
      <c r="J963" s="6"/>
      <c r="K963" s="2" t="s">
        <v>1148</v>
      </c>
      <c r="L963" s="2" t="s">
        <v>182</v>
      </c>
      <c r="M963" s="2" t="s">
        <v>430</v>
      </c>
      <c r="N963" s="2" t="s">
        <v>1148</v>
      </c>
      <c r="O963" s="2"/>
      <c r="P963" s="7">
        <v>103.165166459896</v>
      </c>
      <c r="Q963" s="8">
        <v>-123.72969225982401</v>
      </c>
      <c r="R963" s="9">
        <v>0</v>
      </c>
      <c r="S963" s="2" t="s">
        <v>3362</v>
      </c>
      <c r="T963" s="9">
        <v>0</v>
      </c>
      <c r="U963" s="9">
        <v>0</v>
      </c>
      <c r="V963" s="9">
        <v>8</v>
      </c>
      <c r="W963" s="9">
        <v>38</v>
      </c>
      <c r="X963" s="9">
        <v>37</v>
      </c>
      <c r="Y963" s="9">
        <v>37</v>
      </c>
      <c r="Z963" s="9">
        <v>43</v>
      </c>
      <c r="AA963" s="9">
        <v>58</v>
      </c>
      <c r="AB963" s="9">
        <v>0</v>
      </c>
      <c r="AC963" s="9">
        <v>9</v>
      </c>
      <c r="AD963" s="9">
        <v>11</v>
      </c>
      <c r="AE963" s="7">
        <v>0</v>
      </c>
      <c r="AF963" s="7">
        <v>0</v>
      </c>
      <c r="AG963" s="7">
        <v>0</v>
      </c>
      <c r="AH963" s="7">
        <v>3.3550028064419199E-05</v>
      </c>
      <c r="AI963" s="7">
        <v>0.00015421554946095099</v>
      </c>
      <c r="AJ963" s="7">
        <v>0.00015359868726310701</v>
      </c>
      <c r="AK963" s="7">
        <v>0.000150658986055848</v>
      </c>
      <c r="AL963" s="7">
        <v>0.00017754743787753099</v>
      </c>
      <c r="AM963" s="7">
        <v>0.000237338240777487</v>
      </c>
      <c r="AN963" s="7">
        <v>0</v>
      </c>
      <c r="AO963" s="7">
        <v>3.5200029444636503E-05</v>
      </c>
      <c r="AP963" s="7">
        <v>4.5107892940588197E-05</v>
      </c>
      <c r="AQ963" s="9">
        <v>0</v>
      </c>
    </row>
    <row r="964" spans="1:43" ht="15">
      <c r="A964" s="2" t="s">
        <v>3363</v>
      </c>
      <c r="B964" s="5">
        <v>5736903</v>
      </c>
      <c r="C964" s="2" t="s">
        <v>23</v>
      </c>
      <c r="D964" s="2" t="s">
        <v>3364</v>
      </c>
      <c r="E964" s="2" t="s">
        <v>3365</v>
      </c>
      <c r="F964" s="2" t="s">
        <v>26</v>
      </c>
      <c r="G964" s="2" t="s">
        <v>26</v>
      </c>
      <c r="H964" s="2" t="s">
        <v>27</v>
      </c>
      <c r="I964" s="2" t="s">
        <v>28</v>
      </c>
      <c r="J964" s="6"/>
      <c r="K964" s="2" t="s">
        <v>55</v>
      </c>
      <c r="L964" s="2" t="s">
        <v>56</v>
      </c>
      <c r="M964" s="2" t="s">
        <v>55</v>
      </c>
      <c r="N964" s="2"/>
      <c r="O964" s="2"/>
      <c r="P964" s="7">
        <v>100.89830307072801</v>
      </c>
      <c r="Q964" s="6" t="s">
        <v>57</v>
      </c>
      <c r="R964" s="9">
        <v>310</v>
      </c>
      <c r="S964" s="2" t="s">
        <v>3366</v>
      </c>
      <c r="T964" s="9">
        <v>927</v>
      </c>
      <c r="U964" s="9">
        <v>1004</v>
      </c>
      <c r="V964" s="9">
        <v>872</v>
      </c>
      <c r="W964" s="9">
        <v>780</v>
      </c>
      <c r="X964" s="9">
        <v>780</v>
      </c>
      <c r="Y964" s="9">
        <v>1258</v>
      </c>
      <c r="Z964" s="9">
        <v>1232</v>
      </c>
      <c r="AA964" s="9">
        <v>861</v>
      </c>
      <c r="AB964" s="9">
        <v>1054</v>
      </c>
      <c r="AC964" s="9">
        <v>912</v>
      </c>
      <c r="AD964" s="9">
        <v>738</v>
      </c>
      <c r="AE964" s="6" t="s">
        <v>57</v>
      </c>
      <c r="AF964" s="6" t="s">
        <v>57</v>
      </c>
      <c r="AG964" s="6" t="s">
        <v>57</v>
      </c>
      <c r="AH964" s="6" t="s">
        <v>57</v>
      </c>
      <c r="AI964" s="6" t="s">
        <v>57</v>
      </c>
      <c r="AJ964" s="6" t="s">
        <v>57</v>
      </c>
      <c r="AK964" s="6" t="s">
        <v>57</v>
      </c>
      <c r="AL964" s="6" t="s">
        <v>57</v>
      </c>
      <c r="AM964" s="6" t="s">
        <v>57</v>
      </c>
      <c r="AN964" s="6" t="s">
        <v>57</v>
      </c>
      <c r="AO964" s="6" t="s">
        <v>57</v>
      </c>
      <c r="AP964" s="6" t="s">
        <v>57</v>
      </c>
      <c r="AQ964" s="9">
        <v>115</v>
      </c>
    </row>
    <row r="965" spans="1:43" ht="15">
      <c r="A965" s="2" t="s">
        <v>3367</v>
      </c>
      <c r="B965" s="5">
        <v>19156125</v>
      </c>
      <c r="C965" s="2" t="s">
        <v>23</v>
      </c>
      <c r="D965" s="2" t="s">
        <v>3368</v>
      </c>
      <c r="E965" s="2" t="s">
        <v>3369</v>
      </c>
      <c r="F965" s="2" t="s">
        <v>26</v>
      </c>
      <c r="G965" s="2" t="s">
        <v>26</v>
      </c>
      <c r="H965" s="2" t="s">
        <v>27</v>
      </c>
      <c r="I965" s="2" t="s">
        <v>28</v>
      </c>
      <c r="J965" s="6"/>
      <c r="K965" s="2" t="s">
        <v>55</v>
      </c>
      <c r="L965" s="2" t="s">
        <v>56</v>
      </c>
      <c r="M965" s="2" t="s">
        <v>55</v>
      </c>
      <c r="N965" s="2"/>
      <c r="O965" s="2"/>
      <c r="P965" s="6" t="s">
        <v>57</v>
      </c>
      <c r="Q965" s="6" t="s">
        <v>57</v>
      </c>
      <c r="R965" s="9">
        <v>51096</v>
      </c>
      <c r="S965" s="2"/>
      <c r="T965" s="9">
        <v>18408</v>
      </c>
      <c r="U965" s="9">
        <v>5553</v>
      </c>
      <c r="V965" s="9">
        <v>4770</v>
      </c>
      <c r="W965" s="9">
        <v>1829</v>
      </c>
      <c r="X965" s="9">
        <v>1822</v>
      </c>
      <c r="Y965" s="9">
        <v>2697</v>
      </c>
      <c r="Z965" s="9">
        <v>2850</v>
      </c>
      <c r="AA965" s="9">
        <v>3758</v>
      </c>
      <c r="AB965" s="9">
        <v>6222</v>
      </c>
      <c r="AC965" s="9">
        <v>5004</v>
      </c>
      <c r="AD965" s="9">
        <v>2987</v>
      </c>
      <c r="AE965" s="6" t="s">
        <v>57</v>
      </c>
      <c r="AF965" s="6" t="s">
        <v>57</v>
      </c>
      <c r="AG965" s="6" t="s">
        <v>57</v>
      </c>
      <c r="AH965" s="6" t="s">
        <v>57</v>
      </c>
      <c r="AI965" s="6" t="s">
        <v>57</v>
      </c>
      <c r="AJ965" s="6" t="s">
        <v>57</v>
      </c>
      <c r="AK965" s="6" t="s">
        <v>57</v>
      </c>
      <c r="AL965" s="6" t="s">
        <v>57</v>
      </c>
      <c r="AM965" s="6" t="s">
        <v>57</v>
      </c>
      <c r="AN965" s="6" t="s">
        <v>57</v>
      </c>
      <c r="AO965" s="6" t="s">
        <v>57</v>
      </c>
      <c r="AP965" s="6" t="s">
        <v>57</v>
      </c>
      <c r="AQ965" s="9">
        <v>50578</v>
      </c>
    </row>
    <row r="966" spans="1:43" ht="15">
      <c r="A966" s="2" t="s">
        <v>3370</v>
      </c>
      <c r="B966" s="5">
        <v>109416749</v>
      </c>
      <c r="C966" s="2" t="s">
        <v>23</v>
      </c>
      <c r="D966" s="2" t="s">
        <v>3371</v>
      </c>
      <c r="E966" s="2" t="s">
        <v>3372</v>
      </c>
      <c r="F966" s="2" t="s">
        <v>26</v>
      </c>
      <c r="G966" s="2" t="s">
        <v>26</v>
      </c>
      <c r="H966" s="2" t="s">
        <v>27</v>
      </c>
      <c r="I966" s="2" t="s">
        <v>28</v>
      </c>
      <c r="J966" s="6"/>
      <c r="K966" s="2" t="s">
        <v>55</v>
      </c>
      <c r="L966" s="2" t="s">
        <v>56</v>
      </c>
      <c r="M966" s="2" t="s">
        <v>55</v>
      </c>
      <c r="N966" s="2"/>
      <c r="O966" s="2"/>
      <c r="P966" s="6" t="s">
        <v>57</v>
      </c>
      <c r="Q966" s="6" t="s">
        <v>57</v>
      </c>
      <c r="R966" s="9">
        <v>8438</v>
      </c>
      <c r="S966" s="2"/>
      <c r="T966" s="9">
        <v>3975</v>
      </c>
      <c r="U966" s="9">
        <v>3964</v>
      </c>
      <c r="V966" s="9">
        <v>2160</v>
      </c>
      <c r="W966" s="9">
        <v>4477</v>
      </c>
      <c r="X966" s="9">
        <v>4459</v>
      </c>
      <c r="Y966" s="9">
        <v>6958</v>
      </c>
      <c r="Z966" s="9">
        <v>8867</v>
      </c>
      <c r="AA966" s="9">
        <v>9274</v>
      </c>
      <c r="AB966" s="9">
        <v>4530</v>
      </c>
      <c r="AC966" s="9">
        <v>2267</v>
      </c>
      <c r="AD966" s="9">
        <v>2906</v>
      </c>
      <c r="AE966" s="6" t="s">
        <v>57</v>
      </c>
      <c r="AF966" s="6" t="s">
        <v>57</v>
      </c>
      <c r="AG966" s="6" t="s">
        <v>57</v>
      </c>
      <c r="AH966" s="6" t="s">
        <v>57</v>
      </c>
      <c r="AI966" s="6" t="s">
        <v>57</v>
      </c>
      <c r="AJ966" s="6" t="s">
        <v>57</v>
      </c>
      <c r="AK966" s="6" t="s">
        <v>57</v>
      </c>
      <c r="AL966" s="6" t="s">
        <v>57</v>
      </c>
      <c r="AM966" s="6" t="s">
        <v>57</v>
      </c>
      <c r="AN966" s="6" t="s">
        <v>57</v>
      </c>
      <c r="AO966" s="6" t="s">
        <v>57</v>
      </c>
      <c r="AP966" s="6" t="s">
        <v>57</v>
      </c>
      <c r="AQ966" s="9">
        <v>0</v>
      </c>
    </row>
    <row r="967" spans="1:43" ht="15">
      <c r="A967" s="2" t="s">
        <v>3373</v>
      </c>
      <c r="B967" s="5">
        <v>117245689</v>
      </c>
      <c r="C967" s="2" t="s">
        <v>23</v>
      </c>
      <c r="D967" s="2" t="s">
        <v>3374</v>
      </c>
      <c r="E967" s="2" t="s">
        <v>3375</v>
      </c>
      <c r="F967" s="2" t="s">
        <v>26</v>
      </c>
      <c r="G967" s="2" t="s">
        <v>26</v>
      </c>
      <c r="H967" s="2" t="s">
        <v>27</v>
      </c>
      <c r="I967" s="2" t="s">
        <v>28</v>
      </c>
      <c r="J967" s="6"/>
      <c r="K967" s="2" t="s">
        <v>682</v>
      </c>
      <c r="L967" s="2" t="s">
        <v>682</v>
      </c>
      <c r="M967" s="2"/>
      <c r="N967" s="2"/>
      <c r="O967" s="2"/>
      <c r="P967" s="6" t="s">
        <v>57</v>
      </c>
      <c r="Q967" s="6" t="s">
        <v>57</v>
      </c>
      <c r="R967" s="9">
        <v>0</v>
      </c>
      <c r="S967" s="2"/>
      <c r="T967" s="9">
        <v>0</v>
      </c>
      <c r="U967" s="9">
        <v>0</v>
      </c>
      <c r="V967" s="9">
        <v>12</v>
      </c>
      <c r="W967" s="9">
        <v>14</v>
      </c>
      <c r="X967" s="9">
        <v>14</v>
      </c>
      <c r="Y967" s="9">
        <v>141</v>
      </c>
      <c r="Z967" s="9">
        <v>139</v>
      </c>
      <c r="AA967" s="9">
        <v>139</v>
      </c>
      <c r="AB967" s="9">
        <v>0</v>
      </c>
      <c r="AC967" s="9">
        <v>13</v>
      </c>
      <c r="AD967" s="9">
        <v>6</v>
      </c>
      <c r="AE967" s="6" t="s">
        <v>57</v>
      </c>
      <c r="AF967" s="6" t="s">
        <v>57</v>
      </c>
      <c r="AG967" s="6" t="s">
        <v>57</v>
      </c>
      <c r="AH967" s="6" t="s">
        <v>57</v>
      </c>
      <c r="AI967" s="6" t="s">
        <v>57</v>
      </c>
      <c r="AJ967" s="6" t="s">
        <v>57</v>
      </c>
      <c r="AK967" s="6" t="s">
        <v>57</v>
      </c>
      <c r="AL967" s="6" t="s">
        <v>57</v>
      </c>
      <c r="AM967" s="6" t="s">
        <v>57</v>
      </c>
      <c r="AN967" s="6" t="s">
        <v>57</v>
      </c>
      <c r="AO967" s="6" t="s">
        <v>57</v>
      </c>
      <c r="AP967" s="6" t="s">
        <v>57</v>
      </c>
      <c r="AQ967" s="9">
        <v>0</v>
      </c>
    </row>
    <row r="968" spans="1:43" ht="15">
      <c r="A968" s="2" t="s">
        <v>3376</v>
      </c>
      <c r="B968" s="5">
        <v>114816784</v>
      </c>
      <c r="C968" s="2" t="s">
        <v>23</v>
      </c>
      <c r="D968" s="2" t="s">
        <v>3377</v>
      </c>
      <c r="E968" s="2" t="s">
        <v>3378</v>
      </c>
      <c r="F968" s="2" t="s">
        <v>26</v>
      </c>
      <c r="G968" s="2" t="s">
        <v>26</v>
      </c>
      <c r="H968" s="2" t="s">
        <v>27</v>
      </c>
      <c r="I968" s="2" t="s">
        <v>28</v>
      </c>
      <c r="J968" s="6"/>
      <c r="K968" s="2" t="s">
        <v>55</v>
      </c>
      <c r="L968" s="2" t="s">
        <v>56</v>
      </c>
      <c r="M968" s="2" t="s">
        <v>55</v>
      </c>
      <c r="N968" s="2"/>
      <c r="O968" s="2"/>
      <c r="P968" s="6" t="s">
        <v>57</v>
      </c>
      <c r="Q968" s="6" t="s">
        <v>57</v>
      </c>
      <c r="R968" s="9">
        <v>0</v>
      </c>
      <c r="S968" s="2"/>
      <c r="T968" s="9">
        <v>0</v>
      </c>
      <c r="U968" s="9">
        <v>0</v>
      </c>
      <c r="V968" s="9">
        <v>0</v>
      </c>
      <c r="W968" s="9">
        <v>0</v>
      </c>
      <c r="X968" s="9">
        <v>0</v>
      </c>
      <c r="Y968" s="9">
        <v>0</v>
      </c>
      <c r="Z968" s="9">
        <v>0</v>
      </c>
      <c r="AA968" s="9">
        <v>0</v>
      </c>
      <c r="AB968" s="9">
        <v>0</v>
      </c>
      <c r="AC968" s="9">
        <v>0</v>
      </c>
      <c r="AD968" s="9">
        <v>0</v>
      </c>
      <c r="AE968" s="6" t="s">
        <v>57</v>
      </c>
      <c r="AF968" s="6" t="s">
        <v>57</v>
      </c>
      <c r="AG968" s="6" t="s">
        <v>57</v>
      </c>
      <c r="AH968" s="6" t="s">
        <v>57</v>
      </c>
      <c r="AI968" s="6" t="s">
        <v>57</v>
      </c>
      <c r="AJ968" s="6" t="s">
        <v>57</v>
      </c>
      <c r="AK968" s="6" t="s">
        <v>57</v>
      </c>
      <c r="AL968" s="6" t="s">
        <v>57</v>
      </c>
      <c r="AM968" s="6" t="s">
        <v>57</v>
      </c>
      <c r="AN968" s="6" t="s">
        <v>57</v>
      </c>
      <c r="AO968" s="6" t="s">
        <v>57</v>
      </c>
      <c r="AP968" s="6" t="s">
        <v>57</v>
      </c>
      <c r="AQ968" s="9">
        <v>0</v>
      </c>
    </row>
    <row r="969" spans="1:43" ht="15">
      <c r="A969" s="2" t="s">
        <v>3379</v>
      </c>
      <c r="B969" s="5">
        <v>114655690</v>
      </c>
      <c r="C969" s="2" t="s">
        <v>23</v>
      </c>
      <c r="D969" s="2" t="s">
        <v>3380</v>
      </c>
      <c r="E969" s="2" t="s">
        <v>3381</v>
      </c>
      <c r="F969" s="2" t="s">
        <v>26</v>
      </c>
      <c r="G969" s="2" t="s">
        <v>26</v>
      </c>
      <c r="H969" s="2" t="s">
        <v>27</v>
      </c>
      <c r="I969" s="2" t="s">
        <v>28</v>
      </c>
      <c r="J969" s="6"/>
      <c r="K969" s="2" t="s">
        <v>55</v>
      </c>
      <c r="L969" s="2" t="s">
        <v>56</v>
      </c>
      <c r="M969" s="2" t="s">
        <v>55</v>
      </c>
      <c r="N969" s="2"/>
      <c r="O969" s="2"/>
      <c r="P969" s="6" t="s">
        <v>57</v>
      </c>
      <c r="Q969" s="6" t="s">
        <v>57</v>
      </c>
      <c r="R969" s="6" t="s">
        <v>57</v>
      </c>
      <c r="S969" s="2"/>
      <c r="T969" s="6" t="s">
        <v>57</v>
      </c>
      <c r="U969" s="6" t="s">
        <v>57</v>
      </c>
      <c r="V969" s="6" t="s">
        <v>57</v>
      </c>
      <c r="W969" s="6" t="s">
        <v>57</v>
      </c>
      <c r="X969" s="6" t="s">
        <v>57</v>
      </c>
      <c r="Y969" s="6" t="s">
        <v>57</v>
      </c>
      <c r="Z969" s="6" t="s">
        <v>57</v>
      </c>
      <c r="AA969" s="6" t="s">
        <v>57</v>
      </c>
      <c r="AB969" s="6" t="s">
        <v>57</v>
      </c>
      <c r="AC969" s="6" t="s">
        <v>57</v>
      </c>
      <c r="AD969" s="6" t="s">
        <v>57</v>
      </c>
      <c r="AE969" s="6" t="s">
        <v>57</v>
      </c>
      <c r="AF969" s="6" t="s">
        <v>57</v>
      </c>
      <c r="AG969" s="6" t="s">
        <v>57</v>
      </c>
      <c r="AH969" s="6" t="s">
        <v>57</v>
      </c>
      <c r="AI969" s="6" t="s">
        <v>57</v>
      </c>
      <c r="AJ969" s="6" t="s">
        <v>57</v>
      </c>
      <c r="AK969" s="6" t="s">
        <v>57</v>
      </c>
      <c r="AL969" s="6" t="s">
        <v>57</v>
      </c>
      <c r="AM969" s="6" t="s">
        <v>57</v>
      </c>
      <c r="AN969" s="6" t="s">
        <v>57</v>
      </c>
      <c r="AO969" s="6" t="s">
        <v>57</v>
      </c>
      <c r="AP969" s="6" t="s">
        <v>57</v>
      </c>
      <c r="AQ969" s="6" t="s">
        <v>57</v>
      </c>
    </row>
    <row r="970" spans="1:43" ht="15">
      <c r="A970" s="2" t="s">
        <v>3382</v>
      </c>
      <c r="B970" s="5">
        <v>29245792</v>
      </c>
      <c r="C970" s="2" t="s">
        <v>23</v>
      </c>
      <c r="D970" s="2" t="s">
        <v>3383</v>
      </c>
      <c r="E970" s="2" t="s">
        <v>3384</v>
      </c>
      <c r="F970" s="2" t="s">
        <v>26</v>
      </c>
      <c r="G970" s="2" t="s">
        <v>26</v>
      </c>
      <c r="H970" s="2" t="s">
        <v>27</v>
      </c>
      <c r="I970" s="2" t="s">
        <v>28</v>
      </c>
      <c r="J970" s="6"/>
      <c r="K970" s="2" t="s">
        <v>55</v>
      </c>
      <c r="L970" s="2" t="s">
        <v>56</v>
      </c>
      <c r="M970" s="2" t="s">
        <v>55</v>
      </c>
      <c r="N970" s="2"/>
      <c r="O970" s="2"/>
      <c r="P970" s="6" t="s">
        <v>57</v>
      </c>
      <c r="Q970" s="6" t="s">
        <v>57</v>
      </c>
      <c r="R970" s="9">
        <v>0</v>
      </c>
      <c r="S970" s="2"/>
      <c r="T970" s="9">
        <v>0</v>
      </c>
      <c r="U970" s="9">
        <v>1389</v>
      </c>
      <c r="V970" s="9">
        <v>1524</v>
      </c>
      <c r="W970" s="9">
        <v>5024</v>
      </c>
      <c r="X970" s="9">
        <v>5004</v>
      </c>
      <c r="Y970" s="9">
        <v>4212</v>
      </c>
      <c r="Z970" s="9">
        <v>3045</v>
      </c>
      <c r="AA970" s="9">
        <v>1863</v>
      </c>
      <c r="AB970" s="9">
        <v>1587</v>
      </c>
      <c r="AC970" s="9">
        <v>1599</v>
      </c>
      <c r="AD970" s="9">
        <v>5336</v>
      </c>
      <c r="AE970" s="6" t="s">
        <v>57</v>
      </c>
      <c r="AF970" s="6" t="s">
        <v>57</v>
      </c>
      <c r="AG970" s="6" t="s">
        <v>57</v>
      </c>
      <c r="AH970" s="6" t="s">
        <v>57</v>
      </c>
      <c r="AI970" s="6" t="s">
        <v>57</v>
      </c>
      <c r="AJ970" s="6" t="s">
        <v>57</v>
      </c>
      <c r="AK970" s="6" t="s">
        <v>57</v>
      </c>
      <c r="AL970" s="6" t="s">
        <v>57</v>
      </c>
      <c r="AM970" s="6" t="s">
        <v>57</v>
      </c>
      <c r="AN970" s="6" t="s">
        <v>57</v>
      </c>
      <c r="AO970" s="6" t="s">
        <v>57</v>
      </c>
      <c r="AP970" s="6" t="s">
        <v>57</v>
      </c>
      <c r="AQ970" s="9">
        <v>0</v>
      </c>
    </row>
    <row r="971" spans="1:43" ht="15">
      <c r="A971" s="2" t="s">
        <v>3385</v>
      </c>
      <c r="B971" s="5">
        <v>101156011</v>
      </c>
      <c r="C971" s="2" t="s">
        <v>23</v>
      </c>
      <c r="D971" s="2" t="s">
        <v>3386</v>
      </c>
      <c r="E971" s="2" t="s">
        <v>3387</v>
      </c>
      <c r="F971" s="2" t="s">
        <v>26</v>
      </c>
      <c r="G971" s="2" t="s">
        <v>26</v>
      </c>
      <c r="H971" s="2" t="s">
        <v>27</v>
      </c>
      <c r="I971" s="2" t="s">
        <v>28</v>
      </c>
      <c r="J971" s="6"/>
      <c r="K971" s="2" t="s">
        <v>55</v>
      </c>
      <c r="L971" s="2" t="s">
        <v>56</v>
      </c>
      <c r="M971" s="2" t="s">
        <v>55</v>
      </c>
      <c r="N971" s="2"/>
      <c r="O971" s="2"/>
      <c r="P971" s="6" t="s">
        <v>57</v>
      </c>
      <c r="Q971" s="6" t="s">
        <v>57</v>
      </c>
      <c r="R971" s="9">
        <v>0</v>
      </c>
      <c r="S971" s="2"/>
      <c r="T971" s="9">
        <v>0</v>
      </c>
      <c r="U971" s="9">
        <v>0</v>
      </c>
      <c r="V971" s="9">
        <v>0</v>
      </c>
      <c r="W971" s="9">
        <v>0</v>
      </c>
      <c r="X971" s="9">
        <v>0</v>
      </c>
      <c r="Y971" s="9">
        <v>1</v>
      </c>
      <c r="Z971" s="9">
        <v>2</v>
      </c>
      <c r="AA971" s="9">
        <v>235</v>
      </c>
      <c r="AB971" s="9">
        <v>0</v>
      </c>
      <c r="AC971" s="9">
        <v>0</v>
      </c>
      <c r="AD971" s="9">
        <v>0</v>
      </c>
      <c r="AE971" s="6" t="s">
        <v>57</v>
      </c>
      <c r="AF971" s="6" t="s">
        <v>57</v>
      </c>
      <c r="AG971" s="6" t="s">
        <v>57</v>
      </c>
      <c r="AH971" s="6" t="s">
        <v>57</v>
      </c>
      <c r="AI971" s="6" t="s">
        <v>57</v>
      </c>
      <c r="AJ971" s="6" t="s">
        <v>57</v>
      </c>
      <c r="AK971" s="6" t="s">
        <v>57</v>
      </c>
      <c r="AL971" s="6" t="s">
        <v>57</v>
      </c>
      <c r="AM971" s="6" t="s">
        <v>57</v>
      </c>
      <c r="AN971" s="6" t="s">
        <v>57</v>
      </c>
      <c r="AO971" s="6" t="s">
        <v>57</v>
      </c>
      <c r="AP971" s="6" t="s">
        <v>57</v>
      </c>
      <c r="AQ971" s="9">
        <v>0</v>
      </c>
    </row>
    <row r="972" spans="1:43" ht="15">
      <c r="A972" s="2" t="s">
        <v>3388</v>
      </c>
      <c r="B972" s="5">
        <v>106353626</v>
      </c>
      <c r="C972" s="2" t="s">
        <v>23</v>
      </c>
      <c r="D972" s="2" t="s">
        <v>3389</v>
      </c>
      <c r="E972" s="2" t="s">
        <v>3390</v>
      </c>
      <c r="F972" s="2" t="s">
        <v>26</v>
      </c>
      <c r="G972" s="2" t="s">
        <v>26</v>
      </c>
      <c r="H972" s="2" t="s">
        <v>27</v>
      </c>
      <c r="I972" s="2" t="s">
        <v>28</v>
      </c>
      <c r="J972" s="6"/>
      <c r="K972" s="2" t="s">
        <v>55</v>
      </c>
      <c r="L972" s="2" t="s">
        <v>56</v>
      </c>
      <c r="M972" s="2" t="s">
        <v>55</v>
      </c>
      <c r="N972" s="2"/>
      <c r="O972" s="2"/>
      <c r="P972" s="6" t="s">
        <v>57</v>
      </c>
      <c r="Q972" s="6" t="s">
        <v>57</v>
      </c>
      <c r="R972" s="9">
        <v>0</v>
      </c>
      <c r="S972" s="2"/>
      <c r="T972" s="9">
        <v>0</v>
      </c>
      <c r="U972" s="9">
        <v>0</v>
      </c>
      <c r="V972" s="9">
        <v>0</v>
      </c>
      <c r="W972" s="9">
        <v>0</v>
      </c>
      <c r="X972" s="9">
        <v>0</v>
      </c>
      <c r="Y972" s="9">
        <v>0</v>
      </c>
      <c r="Z972" s="9">
        <v>228</v>
      </c>
      <c r="AA972" s="9">
        <v>3008</v>
      </c>
      <c r="AB972" s="9">
        <v>0</v>
      </c>
      <c r="AC972" s="9">
        <v>0</v>
      </c>
      <c r="AD972" s="9">
        <v>0</v>
      </c>
      <c r="AE972" s="6" t="s">
        <v>57</v>
      </c>
      <c r="AF972" s="6" t="s">
        <v>57</v>
      </c>
      <c r="AG972" s="6" t="s">
        <v>57</v>
      </c>
      <c r="AH972" s="6" t="s">
        <v>57</v>
      </c>
      <c r="AI972" s="6" t="s">
        <v>57</v>
      </c>
      <c r="AJ972" s="6" t="s">
        <v>57</v>
      </c>
      <c r="AK972" s="6" t="s">
        <v>57</v>
      </c>
      <c r="AL972" s="6" t="s">
        <v>57</v>
      </c>
      <c r="AM972" s="6" t="s">
        <v>57</v>
      </c>
      <c r="AN972" s="6" t="s">
        <v>57</v>
      </c>
      <c r="AO972" s="6" t="s">
        <v>57</v>
      </c>
      <c r="AP972" s="6" t="s">
        <v>57</v>
      </c>
      <c r="AQ972" s="9">
        <v>0</v>
      </c>
    </row>
    <row r="973" spans="1:43" ht="15">
      <c r="A973" s="2" t="s">
        <v>3391</v>
      </c>
      <c r="B973" s="5">
        <v>4773537</v>
      </c>
      <c r="C973" s="2" t="s">
        <v>23</v>
      </c>
      <c r="D973" s="2" t="s">
        <v>3392</v>
      </c>
      <c r="E973" s="2" t="s">
        <v>3393</v>
      </c>
      <c r="F973" s="2" t="s">
        <v>26</v>
      </c>
      <c r="G973" s="2" t="s">
        <v>26</v>
      </c>
      <c r="H973" s="2" t="s">
        <v>27</v>
      </c>
      <c r="I973" s="2" t="s">
        <v>28</v>
      </c>
      <c r="J973" s="6"/>
      <c r="K973" s="2" t="s">
        <v>2360</v>
      </c>
      <c r="L973" s="2" t="s">
        <v>182</v>
      </c>
      <c r="M973" s="2" t="s">
        <v>183</v>
      </c>
      <c r="N973" s="2" t="s">
        <v>2360</v>
      </c>
      <c r="O973" s="2"/>
      <c r="P973" s="7">
        <v>23.413363199999999</v>
      </c>
      <c r="Q973" s="8">
        <v>5.4806098134240004</v>
      </c>
      <c r="R973" s="9">
        <v>0</v>
      </c>
      <c r="S973" s="2" t="s">
        <v>3394</v>
      </c>
      <c r="T973" s="9">
        <v>0</v>
      </c>
      <c r="U973" s="9">
        <v>1793</v>
      </c>
      <c r="V973" s="9">
        <v>9774</v>
      </c>
      <c r="W973" s="9">
        <v>2678</v>
      </c>
      <c r="X973" s="9">
        <v>2668</v>
      </c>
      <c r="Y973" s="9">
        <v>1661</v>
      </c>
      <c r="Z973" s="9">
        <v>1111</v>
      </c>
      <c r="AA973" s="9">
        <v>683</v>
      </c>
      <c r="AB973" s="9">
        <v>58</v>
      </c>
      <c r="AC973" s="9">
        <v>10228</v>
      </c>
      <c r="AD973" s="9">
        <v>5047</v>
      </c>
      <c r="AE973" s="7">
        <v>0</v>
      </c>
      <c r="AF973" s="7">
        <v>0</v>
      </c>
      <c r="AG973" s="7">
        <v>0.044834375000000003</v>
      </c>
      <c r="AH973" s="7">
        <v>0.244360546875</v>
      </c>
      <c r="AI973" s="7">
        <v>0.066960542168674697</v>
      </c>
      <c r="AJ973" s="7">
        <v>0.066692699999999994</v>
      </c>
      <c r="AK973" s="7">
        <v>0.041521478873239398</v>
      </c>
      <c r="AL973" s="7">
        <v>0.027769638069705099</v>
      </c>
      <c r="AM973" s="7">
        <v>0.017087469879518102</v>
      </c>
      <c r="AN973" s="7">
        <v>0.00144761904761905</v>
      </c>
      <c r="AO973" s="7">
        <v>0.25570901639344301</v>
      </c>
      <c r="AP973" s="7">
        <v>0.12617459677419399</v>
      </c>
      <c r="AQ973" s="9">
        <v>0</v>
      </c>
    </row>
    <row r="974" spans="1:43" ht="15">
      <c r="A974" s="2" t="s">
        <v>3395</v>
      </c>
      <c r="B974" s="5">
        <v>4451992</v>
      </c>
      <c r="C974" s="2" t="s">
        <v>46</v>
      </c>
      <c r="D974" s="2" t="s">
        <v>3396</v>
      </c>
      <c r="E974" s="2" t="s">
        <v>3397</v>
      </c>
      <c r="F974" s="2" t="s">
        <v>49</v>
      </c>
      <c r="G974" s="2" t="s">
        <v>49</v>
      </c>
      <c r="H974" s="2" t="s">
        <v>50</v>
      </c>
      <c r="I974" s="2" t="s">
        <v>40</v>
      </c>
      <c r="J974" s="6"/>
      <c r="K974" s="2" t="s">
        <v>1595</v>
      </c>
      <c r="L974" s="2" t="s">
        <v>42</v>
      </c>
      <c r="M974" s="2" t="s">
        <v>1596</v>
      </c>
      <c r="N974" s="2" t="s">
        <v>1595</v>
      </c>
      <c r="O974" s="2"/>
      <c r="P974" s="7">
        <v>55.906586575130099</v>
      </c>
      <c r="Q974" s="8">
        <v>358.89016695371703</v>
      </c>
      <c r="R974" s="9">
        <v>0</v>
      </c>
      <c r="S974" s="2" t="s">
        <v>3398</v>
      </c>
      <c r="T974" s="9">
        <v>0</v>
      </c>
      <c r="U974" s="9">
        <v>0</v>
      </c>
      <c r="V974" s="9">
        <v>0</v>
      </c>
      <c r="W974" s="9">
        <v>120</v>
      </c>
      <c r="X974" s="9">
        <v>120</v>
      </c>
      <c r="Y974" s="9">
        <v>354</v>
      </c>
      <c r="Z974" s="9">
        <v>356</v>
      </c>
      <c r="AA974" s="9">
        <v>532</v>
      </c>
      <c r="AB974" s="9">
        <v>0</v>
      </c>
      <c r="AC974" s="9">
        <v>0</v>
      </c>
      <c r="AD974" s="9">
        <v>0</v>
      </c>
      <c r="AE974" s="7">
        <v>0</v>
      </c>
      <c r="AF974" s="7">
        <v>0</v>
      </c>
      <c r="AG974" s="7">
        <v>0</v>
      </c>
      <c r="AH974" s="7">
        <v>0</v>
      </c>
      <c r="AI974" s="7">
        <v>0.00083852823966509902</v>
      </c>
      <c r="AJ974" s="7">
        <v>0.00083517412670643804</v>
      </c>
      <c r="AK974" s="7">
        <v>0.0024625920868326999</v>
      </c>
      <c r="AL974" s="7">
        <v>0.00247548395069544</v>
      </c>
      <c r="AM974" s="7">
        <v>0.0037014990673547802</v>
      </c>
      <c r="AN974" s="7">
        <v>0</v>
      </c>
      <c r="AO974" s="7">
        <v>0</v>
      </c>
      <c r="AP974" s="7">
        <v>0</v>
      </c>
      <c r="AQ974" s="9">
        <v>0</v>
      </c>
    </row>
    <row r="975" spans="1:43" ht="15">
      <c r="A975" s="2" t="s">
        <v>3399</v>
      </c>
      <c r="B975" s="5">
        <v>4250318</v>
      </c>
      <c r="C975" s="2" t="s">
        <v>23</v>
      </c>
      <c r="D975" s="2" t="s">
        <v>3400</v>
      </c>
      <c r="E975" s="2" t="s">
        <v>3401</v>
      </c>
      <c r="F975" s="2" t="s">
        <v>26</v>
      </c>
      <c r="G975" s="2" t="s">
        <v>26</v>
      </c>
      <c r="H975" s="2" t="s">
        <v>27</v>
      </c>
      <c r="I975" s="2" t="s">
        <v>28</v>
      </c>
      <c r="J975" s="6"/>
      <c r="K975" s="2" t="s">
        <v>435</v>
      </c>
      <c r="L975" s="2" t="s">
        <v>182</v>
      </c>
      <c r="M975" s="2" t="s">
        <v>183</v>
      </c>
      <c r="N975" s="2" t="s">
        <v>435</v>
      </c>
      <c r="O975" s="2"/>
      <c r="P975" s="7">
        <v>6976.9029907668</v>
      </c>
      <c r="Q975" s="8">
        <v>30043.2794495325</v>
      </c>
      <c r="R975" s="9">
        <v>337307</v>
      </c>
      <c r="S975" s="2" t="s">
        <v>3402</v>
      </c>
      <c r="T975" s="9">
        <v>411199</v>
      </c>
      <c r="U975" s="9">
        <v>515037</v>
      </c>
      <c r="V975" s="9">
        <v>448901</v>
      </c>
      <c r="W975" s="9">
        <v>374123</v>
      </c>
      <c r="X975" s="9">
        <v>373953</v>
      </c>
      <c r="Y975" s="9">
        <v>336342</v>
      </c>
      <c r="Z975" s="9">
        <v>328453</v>
      </c>
      <c r="AA975" s="9">
        <v>458440</v>
      </c>
      <c r="AB975" s="9">
        <v>513618</v>
      </c>
      <c r="AC975" s="9">
        <v>456710</v>
      </c>
      <c r="AD975" s="9">
        <v>459074</v>
      </c>
      <c r="AE975" s="7">
        <v>0.101429726046993</v>
      </c>
      <c r="AF975" s="7">
        <v>0.12364966501003199</v>
      </c>
      <c r="AG975" s="7">
        <v>0.15487406262303399</v>
      </c>
      <c r="AH975" s="7">
        <v>0.13498679826891799</v>
      </c>
      <c r="AI975" s="7">
        <v>0.11250060720919999</v>
      </c>
      <c r="AJ975" s="7">
        <v>0.11244960774073801</v>
      </c>
      <c r="AK975" s="7">
        <v>0.10113977722145299</v>
      </c>
      <c r="AL975" s="7">
        <v>0.098767559541337493</v>
      </c>
      <c r="AM975" s="7">
        <v>0.13785526206117699</v>
      </c>
      <c r="AN975" s="7">
        <v>0.154447534164741</v>
      </c>
      <c r="AO975" s="7">
        <v>0.13733500087762501</v>
      </c>
      <c r="AP975" s="7">
        <v>0.13804577672109</v>
      </c>
      <c r="AQ975" s="9">
        <v>234429</v>
      </c>
    </row>
    <row r="976" spans="1:43" ht="15">
      <c r="A976" s="2" t="s">
        <v>3403</v>
      </c>
      <c r="B976" s="5">
        <v>4333359</v>
      </c>
      <c r="C976" s="2" t="s">
        <v>35</v>
      </c>
      <c r="D976" s="2" t="s">
        <v>3404</v>
      </c>
      <c r="E976" s="2" t="s">
        <v>3405</v>
      </c>
      <c r="F976" s="2" t="s">
        <v>38</v>
      </c>
      <c r="G976" s="2" t="s">
        <v>38</v>
      </c>
      <c r="H976" s="2" t="s">
        <v>39</v>
      </c>
      <c r="I976" s="2" t="s">
        <v>28</v>
      </c>
      <c r="J976" s="6"/>
      <c r="K976" s="2" t="s">
        <v>957</v>
      </c>
      <c r="L976" s="2" t="s">
        <v>247</v>
      </c>
      <c r="M976" s="2" t="s">
        <v>470</v>
      </c>
      <c r="N976" s="2" t="s">
        <v>957</v>
      </c>
      <c r="O976" s="2"/>
      <c r="P976" s="7">
        <v>636.75799143105201</v>
      </c>
      <c r="Q976" s="8">
        <v>635.496767840448</v>
      </c>
      <c r="R976" s="9">
        <v>0</v>
      </c>
      <c r="S976" s="2" t="s">
        <v>3406</v>
      </c>
      <c r="T976" s="9">
        <v>0</v>
      </c>
      <c r="U976" s="9">
        <v>0</v>
      </c>
      <c r="V976" s="9">
        <v>0</v>
      </c>
      <c r="W976" s="9">
        <v>0</v>
      </c>
      <c r="X976" s="9">
        <v>0</v>
      </c>
      <c r="Y976" s="9">
        <v>0</v>
      </c>
      <c r="Z976" s="9">
        <v>0</v>
      </c>
      <c r="AA976" s="9">
        <v>0</v>
      </c>
      <c r="AB976" s="9">
        <v>0</v>
      </c>
      <c r="AC976" s="9">
        <v>0</v>
      </c>
      <c r="AD976" s="9">
        <v>0</v>
      </c>
      <c r="AE976" s="7">
        <v>0</v>
      </c>
      <c r="AF976" s="7">
        <v>0</v>
      </c>
      <c r="AG976" s="7">
        <v>0</v>
      </c>
      <c r="AH976" s="7">
        <v>0</v>
      </c>
      <c r="AI976" s="7">
        <v>0</v>
      </c>
      <c r="AJ976" s="7">
        <v>0</v>
      </c>
      <c r="AK976" s="7">
        <v>0</v>
      </c>
      <c r="AL976" s="7">
        <v>0</v>
      </c>
      <c r="AM976" s="7">
        <v>0</v>
      </c>
      <c r="AN976" s="7">
        <v>0</v>
      </c>
      <c r="AO976" s="7">
        <v>0</v>
      </c>
      <c r="AP976" s="7">
        <v>0</v>
      </c>
      <c r="AQ976" s="9">
        <v>0</v>
      </c>
    </row>
    <row r="977" spans="1:43" ht="15">
      <c r="A977" s="2" t="s">
        <v>3407</v>
      </c>
      <c r="B977" s="5">
        <v>4180120</v>
      </c>
      <c r="C977" s="2" t="s">
        <v>46</v>
      </c>
      <c r="D977" s="2" t="s">
        <v>3408</v>
      </c>
      <c r="E977" s="2" t="s">
        <v>3409</v>
      </c>
      <c r="F977" s="2" t="s">
        <v>49</v>
      </c>
      <c r="G977" s="2" t="s">
        <v>49</v>
      </c>
      <c r="H977" s="2" t="s">
        <v>50</v>
      </c>
      <c r="I977" s="2" t="s">
        <v>40</v>
      </c>
      <c r="J977" s="6"/>
      <c r="K977" s="2" t="s">
        <v>2588</v>
      </c>
      <c r="L977" s="2" t="s">
        <v>56</v>
      </c>
      <c r="M977" s="2" t="s">
        <v>602</v>
      </c>
      <c r="N977" s="2" t="s">
        <v>2589</v>
      </c>
      <c r="O977" s="2" t="s">
        <v>2588</v>
      </c>
      <c r="P977" s="7">
        <v>815.86202798399995</v>
      </c>
      <c r="Q977" s="8">
        <v>579.71783854260002</v>
      </c>
      <c r="R977" s="9">
        <v>0</v>
      </c>
      <c r="S977" s="2" t="s">
        <v>3410</v>
      </c>
      <c r="T977" s="9">
        <v>0</v>
      </c>
      <c r="U977" s="9">
        <v>134247</v>
      </c>
      <c r="V977" s="9">
        <v>67697</v>
      </c>
      <c r="W977" s="9">
        <v>25011</v>
      </c>
      <c r="X977" s="9">
        <v>24911</v>
      </c>
      <c r="Y977" s="9">
        <v>25991</v>
      </c>
      <c r="Z977" s="9">
        <v>19132</v>
      </c>
      <c r="AA977" s="9">
        <v>14615</v>
      </c>
      <c r="AB977" s="9">
        <v>153425</v>
      </c>
      <c r="AC977" s="9">
        <v>71026</v>
      </c>
      <c r="AD977" s="9">
        <v>37625</v>
      </c>
      <c r="AE977" s="7">
        <v>0</v>
      </c>
      <c r="AF977" s="7">
        <v>0</v>
      </c>
      <c r="AG977" s="7">
        <v>0.029440067616959099</v>
      </c>
      <c r="AH977" s="7">
        <v>0.0148458162006579</v>
      </c>
      <c r="AI977" s="7">
        <v>0.0054849723455224399</v>
      </c>
      <c r="AJ977" s="7">
        <v>0.0054630324561403499</v>
      </c>
      <c r="AK977" s="7">
        <v>0.0056997415884400401</v>
      </c>
      <c r="AL977" s="7">
        <v>0.0041956345029239804</v>
      </c>
      <c r="AM977" s="7">
        <v>0.0032049384143265501</v>
      </c>
      <c r="AN977" s="7">
        <v>0.033645791562238903</v>
      </c>
      <c r="AO977" s="7">
        <v>0.015575938308887</v>
      </c>
      <c r="AP977" s="7">
        <v>0.0082510027589134099</v>
      </c>
      <c r="AQ977" s="9">
        <v>0</v>
      </c>
    </row>
    <row r="978" spans="1:43" ht="15">
      <c r="A978" s="2" t="s">
        <v>3411</v>
      </c>
      <c r="B978" s="5">
        <v>119907939</v>
      </c>
      <c r="C978" s="2" t="s">
        <v>23</v>
      </c>
      <c r="D978" s="2" t="s">
        <v>3412</v>
      </c>
      <c r="E978" s="2" t="s">
        <v>3413</v>
      </c>
      <c r="F978" s="2" t="s">
        <v>26</v>
      </c>
      <c r="G978" s="2" t="s">
        <v>26</v>
      </c>
      <c r="H978" s="2" t="s">
        <v>27</v>
      </c>
      <c r="I978" s="2" t="s">
        <v>28</v>
      </c>
      <c r="J978" s="6"/>
      <c r="K978" s="2" t="s">
        <v>55</v>
      </c>
      <c r="L978" s="2" t="s">
        <v>56</v>
      </c>
      <c r="M978" s="2" t="s">
        <v>55</v>
      </c>
      <c r="N978" s="2"/>
      <c r="O978" s="2"/>
      <c r="P978" s="6" t="s">
        <v>57</v>
      </c>
      <c r="Q978" s="6" t="s">
        <v>57</v>
      </c>
      <c r="R978" s="6" t="s">
        <v>57</v>
      </c>
      <c r="S978" s="2"/>
      <c r="T978" s="6" t="s">
        <v>57</v>
      </c>
      <c r="U978" s="6" t="s">
        <v>57</v>
      </c>
      <c r="V978" s="6" t="s">
        <v>57</v>
      </c>
      <c r="W978" s="6" t="s">
        <v>57</v>
      </c>
      <c r="X978" s="6" t="s">
        <v>57</v>
      </c>
      <c r="Y978" s="6" t="s">
        <v>57</v>
      </c>
      <c r="Z978" s="6" t="s">
        <v>57</v>
      </c>
      <c r="AA978" s="6" t="s">
        <v>57</v>
      </c>
      <c r="AB978" s="6" t="s">
        <v>57</v>
      </c>
      <c r="AC978" s="6" t="s">
        <v>57</v>
      </c>
      <c r="AD978" s="6" t="s">
        <v>57</v>
      </c>
      <c r="AE978" s="6" t="s">
        <v>57</v>
      </c>
      <c r="AF978" s="6" t="s">
        <v>57</v>
      </c>
      <c r="AG978" s="6" t="s">
        <v>57</v>
      </c>
      <c r="AH978" s="6" t="s">
        <v>57</v>
      </c>
      <c r="AI978" s="6" t="s">
        <v>57</v>
      </c>
      <c r="AJ978" s="6" t="s">
        <v>57</v>
      </c>
      <c r="AK978" s="6" t="s">
        <v>57</v>
      </c>
      <c r="AL978" s="6" t="s">
        <v>57</v>
      </c>
      <c r="AM978" s="6" t="s">
        <v>57</v>
      </c>
      <c r="AN978" s="6" t="s">
        <v>57</v>
      </c>
      <c r="AO978" s="6" t="s">
        <v>57</v>
      </c>
      <c r="AP978" s="6" t="s">
        <v>57</v>
      </c>
      <c r="AQ978" s="6" t="s">
        <v>57</v>
      </c>
    </row>
    <row r="979" spans="1:43" ht="15">
      <c r="A979" s="2" t="s">
        <v>3414</v>
      </c>
      <c r="B979" s="5">
        <v>8303829</v>
      </c>
      <c r="C979" s="2" t="s">
        <v>35</v>
      </c>
      <c r="D979" s="2" t="s">
        <v>3415</v>
      </c>
      <c r="E979" s="2" t="s">
        <v>3416</v>
      </c>
      <c r="F979" s="2" t="s">
        <v>38</v>
      </c>
      <c r="G979" s="2" t="s">
        <v>38</v>
      </c>
      <c r="H979" s="2" t="s">
        <v>39</v>
      </c>
      <c r="I979" s="2" t="s">
        <v>28</v>
      </c>
      <c r="J979" s="6"/>
      <c r="K979" s="2" t="s">
        <v>188</v>
      </c>
      <c r="L979" s="2" t="s">
        <v>30</v>
      </c>
      <c r="M979" s="2" t="s">
        <v>189</v>
      </c>
      <c r="N979" s="2" t="s">
        <v>188</v>
      </c>
      <c r="O979" s="2"/>
      <c r="P979" s="7">
        <v>110.54817533022801</v>
      </c>
      <c r="Q979" s="8">
        <v>109.789614187659</v>
      </c>
      <c r="R979" s="9">
        <v>0</v>
      </c>
      <c r="S979" s="2" t="s">
        <v>3417</v>
      </c>
      <c r="T979" s="9">
        <v>0</v>
      </c>
      <c r="U979" s="9">
        <v>0</v>
      </c>
      <c r="V979" s="9">
        <v>0</v>
      </c>
      <c r="W979" s="9">
        <v>0</v>
      </c>
      <c r="X979" s="9">
        <v>0</v>
      </c>
      <c r="Y979" s="9">
        <v>0</v>
      </c>
      <c r="Z979" s="9">
        <v>0</v>
      </c>
      <c r="AA979" s="9">
        <v>0</v>
      </c>
      <c r="AB979" s="9">
        <v>0</v>
      </c>
      <c r="AC979" s="9">
        <v>0</v>
      </c>
      <c r="AD979" s="9">
        <v>0</v>
      </c>
      <c r="AE979" s="7">
        <v>0</v>
      </c>
      <c r="AF979" s="7">
        <v>0</v>
      </c>
      <c r="AG979" s="7">
        <v>0</v>
      </c>
      <c r="AH979" s="7">
        <v>0</v>
      </c>
      <c r="AI979" s="7">
        <v>0</v>
      </c>
      <c r="AJ979" s="7">
        <v>0</v>
      </c>
      <c r="AK979" s="7">
        <v>0</v>
      </c>
      <c r="AL979" s="7">
        <v>0</v>
      </c>
      <c r="AM979" s="7">
        <v>0</v>
      </c>
      <c r="AN979" s="7">
        <v>0</v>
      </c>
      <c r="AO979" s="7">
        <v>0</v>
      </c>
      <c r="AP979" s="7">
        <v>0</v>
      </c>
      <c r="AQ979" s="9">
        <v>0</v>
      </c>
    </row>
    <row r="980" spans="1:43" ht="15">
      <c r="A980" s="2" t="s">
        <v>3418</v>
      </c>
      <c r="B980" s="5">
        <v>4997108</v>
      </c>
      <c r="C980" s="2" t="s">
        <v>35</v>
      </c>
      <c r="D980" s="2" t="s">
        <v>3419</v>
      </c>
      <c r="E980" s="2" t="s">
        <v>3420</v>
      </c>
      <c r="F980" s="2" t="s">
        <v>38</v>
      </c>
      <c r="G980" s="2" t="s">
        <v>38</v>
      </c>
      <c r="H980" s="2" t="s">
        <v>39</v>
      </c>
      <c r="I980" s="2" t="s">
        <v>28</v>
      </c>
      <c r="J980" s="6"/>
      <c r="K980" s="2" t="s">
        <v>211</v>
      </c>
      <c r="L980" s="2" t="s">
        <v>30</v>
      </c>
      <c r="M980" s="2" t="s">
        <v>189</v>
      </c>
      <c r="N980" s="2" t="s">
        <v>211</v>
      </c>
      <c r="O980" s="2"/>
      <c r="P980" s="7">
        <v>194.64640376166699</v>
      </c>
      <c r="Q980" s="8">
        <v>359.89065701096399</v>
      </c>
      <c r="R980" s="9">
        <v>0</v>
      </c>
      <c r="S980" s="2" t="s">
        <v>3421</v>
      </c>
      <c r="T980" s="9">
        <v>0</v>
      </c>
      <c r="U980" s="9">
        <v>0</v>
      </c>
      <c r="V980" s="9">
        <v>0</v>
      </c>
      <c r="W980" s="9">
        <v>0</v>
      </c>
      <c r="X980" s="9">
        <v>0</v>
      </c>
      <c r="Y980" s="9">
        <v>0</v>
      </c>
      <c r="Z980" s="9">
        <v>0</v>
      </c>
      <c r="AA980" s="9">
        <v>0</v>
      </c>
      <c r="AB980" s="9">
        <v>0</v>
      </c>
      <c r="AC980" s="9">
        <v>0</v>
      </c>
      <c r="AD980" s="9">
        <v>0</v>
      </c>
      <c r="AE980" s="7">
        <v>0</v>
      </c>
      <c r="AF980" s="7">
        <v>0</v>
      </c>
      <c r="AG980" s="7">
        <v>0</v>
      </c>
      <c r="AH980" s="7">
        <v>0</v>
      </c>
      <c r="AI980" s="7">
        <v>0</v>
      </c>
      <c r="AJ980" s="7">
        <v>0</v>
      </c>
      <c r="AK980" s="7">
        <v>0</v>
      </c>
      <c r="AL980" s="7">
        <v>0</v>
      </c>
      <c r="AM980" s="7">
        <v>0</v>
      </c>
      <c r="AN980" s="7">
        <v>0</v>
      </c>
      <c r="AO980" s="7">
        <v>0</v>
      </c>
      <c r="AP980" s="7">
        <v>0</v>
      </c>
      <c r="AQ980" s="9">
        <v>0</v>
      </c>
    </row>
    <row r="981" spans="1:43" ht="15">
      <c r="A981" s="2" t="s">
        <v>3422</v>
      </c>
      <c r="B981" s="5">
        <v>4672860</v>
      </c>
      <c r="C981" s="2" t="s">
        <v>23</v>
      </c>
      <c r="D981" s="2" t="s">
        <v>3423</v>
      </c>
      <c r="E981" s="2" t="s">
        <v>3424</v>
      </c>
      <c r="F981" s="2" t="s">
        <v>26</v>
      </c>
      <c r="G981" s="2" t="s">
        <v>26</v>
      </c>
      <c r="H981" s="2" t="s">
        <v>27</v>
      </c>
      <c r="I981" s="2" t="s">
        <v>28</v>
      </c>
      <c r="J981" s="10">
        <v>38546</v>
      </c>
      <c r="K981" s="2" t="s">
        <v>29</v>
      </c>
      <c r="L981" s="2" t="s">
        <v>30</v>
      </c>
      <c r="M981" s="2" t="s">
        <v>31</v>
      </c>
      <c r="N981" s="2" t="s">
        <v>32</v>
      </c>
      <c r="O981" s="2" t="s">
        <v>29</v>
      </c>
      <c r="P981" s="7">
        <v>805.857700040331</v>
      </c>
      <c r="Q981" s="8">
        <v>3168.1932243888</v>
      </c>
      <c r="R981" s="9">
        <v>2921538</v>
      </c>
      <c r="S981" s="2" t="s">
        <v>3425</v>
      </c>
      <c r="T981" s="9">
        <v>1946271</v>
      </c>
      <c r="U981" s="9">
        <v>2877716</v>
      </c>
      <c r="V981" s="9">
        <v>3895910</v>
      </c>
      <c r="W981" s="9">
        <v>3971044</v>
      </c>
      <c r="X981" s="9">
        <v>4009307</v>
      </c>
      <c r="Y981" s="9">
        <v>3545554</v>
      </c>
      <c r="Z981" s="9">
        <v>3261650</v>
      </c>
      <c r="AA981" s="9">
        <v>4311035</v>
      </c>
      <c r="AB981" s="9">
        <v>2676748</v>
      </c>
      <c r="AC981" s="9">
        <v>3960890</v>
      </c>
      <c r="AD981" s="9">
        <v>5034555</v>
      </c>
      <c r="AE981" s="7">
        <v>0.75450906027126297</v>
      </c>
      <c r="AF981" s="7">
        <v>0.50263909933559703</v>
      </c>
      <c r="AG981" s="7">
        <v>0.74319179754926201</v>
      </c>
      <c r="AH981" s="7">
        <v>1.00614794397589</v>
      </c>
      <c r="AI981" s="7">
        <v>1.0255517525845499</v>
      </c>
      <c r="AJ981" s="7">
        <v>1.03543356864423</v>
      </c>
      <c r="AK981" s="7">
        <v>0.91566596470682005</v>
      </c>
      <c r="AL981" s="7">
        <v>0.84234543943427198</v>
      </c>
      <c r="AM981" s="7">
        <v>1.1133571738150601</v>
      </c>
      <c r="AN981" s="7">
        <v>0.69129014868811201</v>
      </c>
      <c r="AO981" s="7">
        <v>1.0229294529278199</v>
      </c>
      <c r="AP981" s="7">
        <v>1.30021140067431</v>
      </c>
      <c r="AQ981" s="9">
        <v>1811640</v>
      </c>
    </row>
    <row r="982" spans="1:43" ht="15">
      <c r="A982" s="2" t="s">
        <v>3426</v>
      </c>
      <c r="B982" s="5">
        <v>4911153</v>
      </c>
      <c r="C982" s="2" t="s">
        <v>46</v>
      </c>
      <c r="D982" s="2" t="s">
        <v>3427</v>
      </c>
      <c r="E982" s="2" t="s">
        <v>3428</v>
      </c>
      <c r="F982" s="2" t="s">
        <v>49</v>
      </c>
      <c r="G982" s="2" t="s">
        <v>49</v>
      </c>
      <c r="H982" s="2" t="s">
        <v>50</v>
      </c>
      <c r="I982" s="2" t="s">
        <v>40</v>
      </c>
      <c r="J982" s="6"/>
      <c r="K982" s="2" t="s">
        <v>29</v>
      </c>
      <c r="L982" s="2" t="s">
        <v>30</v>
      </c>
      <c r="M982" s="2" t="s">
        <v>31</v>
      </c>
      <c r="N982" s="2" t="s">
        <v>32</v>
      </c>
      <c r="O982" s="2" t="s">
        <v>29</v>
      </c>
      <c r="P982" s="7">
        <v>367.71144459219602</v>
      </c>
      <c r="Q982" s="8">
        <v>428.12266060303602</v>
      </c>
      <c r="R982" s="9">
        <v>0</v>
      </c>
      <c r="S982" s="2" t="s">
        <v>3429</v>
      </c>
      <c r="T982" s="9">
        <v>0</v>
      </c>
      <c r="U982" s="9">
        <v>0</v>
      </c>
      <c r="V982" s="9">
        <v>14</v>
      </c>
      <c r="W982" s="9">
        <v>53</v>
      </c>
      <c r="X982" s="9">
        <v>53</v>
      </c>
      <c r="Y982" s="9">
        <v>45</v>
      </c>
      <c r="Z982" s="9">
        <v>30</v>
      </c>
      <c r="AA982" s="9">
        <v>470</v>
      </c>
      <c r="AB982" s="9">
        <v>0</v>
      </c>
      <c r="AC982" s="9">
        <v>15</v>
      </c>
      <c r="AD982" s="9">
        <v>18</v>
      </c>
      <c r="AE982" s="7">
        <v>0</v>
      </c>
      <c r="AF982" s="7">
        <v>0</v>
      </c>
      <c r="AG982" s="7">
        <v>0</v>
      </c>
      <c r="AH982" s="7">
        <v>4.53167542411696E-05</v>
      </c>
      <c r="AI982" s="7">
        <v>0.00017057636255623501</v>
      </c>
      <c r="AJ982" s="7">
        <v>0.00016989405710600999</v>
      </c>
      <c r="AK982" s="7">
        <v>0.00014300237295413799</v>
      </c>
      <c r="AL982" s="7">
        <v>9.5144245472153301E-05</v>
      </c>
      <c r="AM982" s="7">
        <v>0.00150050815366115</v>
      </c>
      <c r="AN982" s="7">
        <v>0</v>
      </c>
      <c r="AO982" s="7">
        <v>4.7545447072702501E-05</v>
      </c>
      <c r="AP982" s="7">
        <v>5.8974981778351699E-05</v>
      </c>
      <c r="AQ982" s="9">
        <v>0</v>
      </c>
    </row>
    <row r="983" spans="1:43" ht="15">
      <c r="A983" s="2" t="s">
        <v>3430</v>
      </c>
      <c r="B983" s="5">
        <v>4365531</v>
      </c>
      <c r="C983" s="2" t="s">
        <v>23</v>
      </c>
      <c r="D983" s="2" t="s">
        <v>3431</v>
      </c>
      <c r="E983" s="2" t="s">
        <v>3432</v>
      </c>
      <c r="F983" s="2" t="s">
        <v>26</v>
      </c>
      <c r="G983" s="2" t="s">
        <v>26</v>
      </c>
      <c r="H983" s="2" t="s">
        <v>27</v>
      </c>
      <c r="I983" s="2" t="s">
        <v>28</v>
      </c>
      <c r="J983" s="10">
        <v>38275</v>
      </c>
      <c r="K983" s="2" t="s">
        <v>181</v>
      </c>
      <c r="L983" s="2" t="s">
        <v>182</v>
      </c>
      <c r="M983" s="2" t="s">
        <v>183</v>
      </c>
      <c r="N983" s="2" t="s">
        <v>181</v>
      </c>
      <c r="O983" s="2"/>
      <c r="P983" s="7">
        <v>748.48014886763997</v>
      </c>
      <c r="Q983" s="8">
        <v>723.00915835260798</v>
      </c>
      <c r="R983" s="9">
        <v>458025</v>
      </c>
      <c r="S983" s="2" t="s">
        <v>3433</v>
      </c>
      <c r="T983" s="9">
        <v>389818</v>
      </c>
      <c r="U983" s="9">
        <v>266745</v>
      </c>
      <c r="V983" s="9">
        <v>450933</v>
      </c>
      <c r="W983" s="9">
        <v>879806</v>
      </c>
      <c r="X983" s="9">
        <v>882090</v>
      </c>
      <c r="Y983" s="9">
        <v>820321</v>
      </c>
      <c r="Z983" s="9">
        <v>874988</v>
      </c>
      <c r="AA983" s="9">
        <v>779662</v>
      </c>
      <c r="AB983" s="9">
        <v>277816</v>
      </c>
      <c r="AC983" s="9">
        <v>392660</v>
      </c>
      <c r="AD983" s="9">
        <v>585600</v>
      </c>
      <c r="AE983" s="7">
        <v>0.416461033360914</v>
      </c>
      <c r="AF983" s="7">
        <v>0.35444408871764999</v>
      </c>
      <c r="AG983" s="7">
        <v>0.24253928130251401</v>
      </c>
      <c r="AH983" s="7">
        <v>0.41001290997424999</v>
      </c>
      <c r="AI983" s="7">
        <v>0.79996826174178104</v>
      </c>
      <c r="AJ983" s="7">
        <v>0.80204426039492105</v>
      </c>
      <c r="AK983" s="7">
        <v>0.74588086898149297</v>
      </c>
      <c r="AL983" s="7">
        <v>0.79558757919168599</v>
      </c>
      <c r="AM983" s="7">
        <v>0.70891150110224899</v>
      </c>
      <c r="AN983" s="7">
        <v>0.25260574002069103</v>
      </c>
      <c r="AO983" s="7">
        <v>0.35702820364200399</v>
      </c>
      <c r="AP983" s="7">
        <v>0.53245991996053998</v>
      </c>
      <c r="AQ983" s="9">
        <v>641058</v>
      </c>
    </row>
    <row r="984" spans="1:43" ht="15">
      <c r="A984" s="2" t="s">
        <v>3434</v>
      </c>
      <c r="B984" s="5">
        <v>8586547</v>
      </c>
      <c r="C984" s="2" t="s">
        <v>23</v>
      </c>
      <c r="D984" s="2" t="s">
        <v>3435</v>
      </c>
      <c r="E984" s="2" t="s">
        <v>3436</v>
      </c>
      <c r="F984" s="2" t="s">
        <v>26</v>
      </c>
      <c r="G984" s="2" t="s">
        <v>26</v>
      </c>
      <c r="H984" s="2" t="s">
        <v>27</v>
      </c>
      <c r="I984" s="2" t="s">
        <v>40</v>
      </c>
      <c r="J984" s="10">
        <v>43132</v>
      </c>
      <c r="K984" s="2" t="s">
        <v>211</v>
      </c>
      <c r="L984" s="2" t="s">
        <v>30</v>
      </c>
      <c r="M984" s="2" t="s">
        <v>189</v>
      </c>
      <c r="N984" s="2" t="s">
        <v>211</v>
      </c>
      <c r="O984" s="2"/>
      <c r="P984" s="7">
        <v>418.20475877606401</v>
      </c>
      <c r="Q984" s="8">
        <v>524.19304986377597</v>
      </c>
      <c r="R984" s="9">
        <v>0</v>
      </c>
      <c r="S984" s="2" t="s">
        <v>3437</v>
      </c>
      <c r="T984" s="9">
        <v>5865</v>
      </c>
      <c r="U984" s="9">
        <v>1499</v>
      </c>
      <c r="V984" s="9">
        <v>1325</v>
      </c>
      <c r="W984" s="9">
        <v>3224</v>
      </c>
      <c r="X984" s="9">
        <v>3211</v>
      </c>
      <c r="Y984" s="9">
        <v>7790</v>
      </c>
      <c r="Z984" s="9">
        <v>7510</v>
      </c>
      <c r="AA984" s="9">
        <v>12417</v>
      </c>
      <c r="AB984" s="9">
        <v>1714</v>
      </c>
      <c r="AC984" s="9">
        <v>1389</v>
      </c>
      <c r="AD984" s="9">
        <v>1710</v>
      </c>
      <c r="AE984" s="7">
        <v>0</v>
      </c>
      <c r="AF984" s="7">
        <v>0.039526387794927099</v>
      </c>
      <c r="AG984" s="7">
        <v>0.0101048257954652</v>
      </c>
      <c r="AH984" s="7">
        <v>0.0089258896739355994</v>
      </c>
      <c r="AI984" s="7">
        <v>0.021726186878586001</v>
      </c>
      <c r="AJ984" s="7">
        <v>0.0216396864701148</v>
      </c>
      <c r="AK984" s="7">
        <v>0.052499872208794603</v>
      </c>
      <c r="AL984" s="7">
        <v>0.050611766634432703</v>
      </c>
      <c r="AM984" s="7">
        <v>0.083677921675060704</v>
      </c>
      <c r="AN984" s="7">
        <v>0.011548051433672</v>
      </c>
      <c r="AO984" s="7">
        <v>0.0093637631031369701</v>
      </c>
      <c r="AP984" s="7">
        <v>0.011524695315748699</v>
      </c>
      <c r="AQ984" s="9">
        <v>0</v>
      </c>
    </row>
    <row r="985" spans="1:43" ht="15">
      <c r="A985" s="2" t="s">
        <v>3438</v>
      </c>
      <c r="B985" s="5">
        <v>27638457</v>
      </c>
      <c r="C985" s="2" t="s">
        <v>23</v>
      </c>
      <c r="D985" s="2" t="s">
        <v>3439</v>
      </c>
      <c r="E985" s="2" t="s">
        <v>3440</v>
      </c>
      <c r="F985" s="2" t="s">
        <v>3441</v>
      </c>
      <c r="G985" s="2" t="s">
        <v>26</v>
      </c>
      <c r="H985" s="2" t="s">
        <v>27</v>
      </c>
      <c r="I985" s="2" t="s">
        <v>28</v>
      </c>
      <c r="J985" s="6"/>
      <c r="K985" s="2" t="s">
        <v>55</v>
      </c>
      <c r="L985" s="2" t="s">
        <v>56</v>
      </c>
      <c r="M985" s="2" t="s">
        <v>55</v>
      </c>
      <c r="N985" s="2"/>
      <c r="O985" s="2"/>
      <c r="P985" s="6" t="s">
        <v>57</v>
      </c>
      <c r="Q985" s="6" t="s">
        <v>57</v>
      </c>
      <c r="R985" s="9">
        <v>0</v>
      </c>
      <c r="S985" s="2"/>
      <c r="T985" s="9">
        <v>0</v>
      </c>
      <c r="U985" s="9">
        <v>0</v>
      </c>
      <c r="V985" s="9">
        <v>484</v>
      </c>
      <c r="W985" s="9">
        <v>773</v>
      </c>
      <c r="X985" s="9">
        <v>770</v>
      </c>
      <c r="Y985" s="9">
        <v>4566</v>
      </c>
      <c r="Z985" s="9">
        <v>12396</v>
      </c>
      <c r="AA985" s="9">
        <v>10708</v>
      </c>
      <c r="AB985" s="9">
        <v>0</v>
      </c>
      <c r="AC985" s="9">
        <v>508</v>
      </c>
      <c r="AD985" s="9">
        <v>766</v>
      </c>
      <c r="AE985" s="6" t="s">
        <v>57</v>
      </c>
      <c r="AF985" s="6" t="s">
        <v>57</v>
      </c>
      <c r="AG985" s="6" t="s">
        <v>57</v>
      </c>
      <c r="AH985" s="6" t="s">
        <v>57</v>
      </c>
      <c r="AI985" s="6" t="s">
        <v>57</v>
      </c>
      <c r="AJ985" s="6" t="s">
        <v>57</v>
      </c>
      <c r="AK985" s="6" t="s">
        <v>57</v>
      </c>
      <c r="AL985" s="6" t="s">
        <v>57</v>
      </c>
      <c r="AM985" s="6" t="s">
        <v>57</v>
      </c>
      <c r="AN985" s="6" t="s">
        <v>57</v>
      </c>
      <c r="AO985" s="6" t="s">
        <v>57</v>
      </c>
      <c r="AP985" s="6" t="s">
        <v>57</v>
      </c>
      <c r="AQ985" s="9">
        <v>0</v>
      </c>
    </row>
    <row r="986" spans="1:43" ht="15">
      <c r="A986" s="2" t="s">
        <v>3442</v>
      </c>
      <c r="B986" s="5">
        <v>143134563</v>
      </c>
      <c r="C986" s="2" t="s">
        <v>23</v>
      </c>
      <c r="D986" s="2" t="s">
        <v>3443</v>
      </c>
      <c r="E986" s="2" t="s">
        <v>3444</v>
      </c>
      <c r="F986" s="2" t="s">
        <v>26</v>
      </c>
      <c r="G986" s="2"/>
      <c r="H986" s="2"/>
      <c r="I986" s="2" t="s">
        <v>28</v>
      </c>
      <c r="J986" s="6"/>
      <c r="K986" s="2" t="s">
        <v>55</v>
      </c>
      <c r="L986" s="2" t="s">
        <v>56</v>
      </c>
      <c r="M986" s="2" t="s">
        <v>55</v>
      </c>
      <c r="N986" s="2"/>
      <c r="O986" s="2"/>
      <c r="P986" s="6" t="s">
        <v>57</v>
      </c>
      <c r="Q986" s="6" t="s">
        <v>57</v>
      </c>
      <c r="R986" s="6" t="s">
        <v>57</v>
      </c>
      <c r="S986" s="2"/>
      <c r="T986" s="6" t="s">
        <v>57</v>
      </c>
      <c r="U986" s="6" t="s">
        <v>57</v>
      </c>
      <c r="V986" s="6" t="s">
        <v>57</v>
      </c>
      <c r="W986" s="6" t="s">
        <v>57</v>
      </c>
      <c r="X986" s="6" t="s">
        <v>57</v>
      </c>
      <c r="Y986" s="6" t="s">
        <v>57</v>
      </c>
      <c r="Z986" s="6" t="s">
        <v>57</v>
      </c>
      <c r="AA986" s="6" t="s">
        <v>57</v>
      </c>
      <c r="AB986" s="6" t="s">
        <v>57</v>
      </c>
      <c r="AC986" s="6" t="s">
        <v>57</v>
      </c>
      <c r="AD986" s="6" t="s">
        <v>57</v>
      </c>
      <c r="AE986" s="6" t="s">
        <v>57</v>
      </c>
      <c r="AF986" s="6" t="s">
        <v>57</v>
      </c>
      <c r="AG986" s="6" t="s">
        <v>57</v>
      </c>
      <c r="AH986" s="6" t="s">
        <v>57</v>
      </c>
      <c r="AI986" s="6" t="s">
        <v>57</v>
      </c>
      <c r="AJ986" s="6" t="s">
        <v>57</v>
      </c>
      <c r="AK986" s="6" t="s">
        <v>57</v>
      </c>
      <c r="AL986" s="6" t="s">
        <v>57</v>
      </c>
      <c r="AM986" s="6" t="s">
        <v>57</v>
      </c>
      <c r="AN986" s="6" t="s">
        <v>57</v>
      </c>
      <c r="AO986" s="6" t="s">
        <v>57</v>
      </c>
      <c r="AP986" s="6" t="s">
        <v>57</v>
      </c>
      <c r="AQ986" s="6" t="s">
        <v>57</v>
      </c>
    </row>
    <row r="987" spans="1:43" ht="15">
      <c r="A987" s="2" t="s">
        <v>3445</v>
      </c>
      <c r="B987" s="5">
        <v>5738489</v>
      </c>
      <c r="C987" s="2" t="s">
        <v>23</v>
      </c>
      <c r="D987" s="2" t="s">
        <v>3446</v>
      </c>
      <c r="E987" s="2" t="s">
        <v>3447</v>
      </c>
      <c r="F987" s="2" t="s">
        <v>26</v>
      </c>
      <c r="G987" s="2" t="s">
        <v>26</v>
      </c>
      <c r="H987" s="2" t="s">
        <v>27</v>
      </c>
      <c r="I987" s="2" t="s">
        <v>28</v>
      </c>
      <c r="J987" s="6"/>
      <c r="K987" s="2" t="s">
        <v>55</v>
      </c>
      <c r="L987" s="2" t="s">
        <v>56</v>
      </c>
      <c r="M987" s="2" t="s">
        <v>55</v>
      </c>
      <c r="N987" s="2"/>
      <c r="O987" s="2"/>
      <c r="P987" s="7">
        <v>92.355821194388994</v>
      </c>
      <c r="Q987" s="6" t="s">
        <v>57</v>
      </c>
      <c r="R987" s="9">
        <v>0</v>
      </c>
      <c r="S987" s="2"/>
      <c r="T987" s="9">
        <v>2101</v>
      </c>
      <c r="U987" s="9">
        <v>3255</v>
      </c>
      <c r="V987" s="9">
        <v>3770</v>
      </c>
      <c r="W987" s="9">
        <v>4034</v>
      </c>
      <c r="X987" s="9">
        <v>4018</v>
      </c>
      <c r="Y987" s="9">
        <v>5132</v>
      </c>
      <c r="Z987" s="9">
        <v>6898</v>
      </c>
      <c r="AA987" s="9">
        <v>6401</v>
      </c>
      <c r="AB987" s="9">
        <v>3720</v>
      </c>
      <c r="AC987" s="9">
        <v>3541</v>
      </c>
      <c r="AD987" s="9">
        <v>5360</v>
      </c>
      <c r="AE987" s="6" t="s">
        <v>57</v>
      </c>
      <c r="AF987" s="6" t="s">
        <v>57</v>
      </c>
      <c r="AG987" s="6" t="s">
        <v>57</v>
      </c>
      <c r="AH987" s="6" t="s">
        <v>57</v>
      </c>
      <c r="AI987" s="6" t="s">
        <v>57</v>
      </c>
      <c r="AJ987" s="6" t="s">
        <v>57</v>
      </c>
      <c r="AK987" s="6" t="s">
        <v>57</v>
      </c>
      <c r="AL987" s="6" t="s">
        <v>57</v>
      </c>
      <c r="AM987" s="6" t="s">
        <v>57</v>
      </c>
      <c r="AN987" s="6" t="s">
        <v>57</v>
      </c>
      <c r="AO987" s="6" t="s">
        <v>57</v>
      </c>
      <c r="AP987" s="6" t="s">
        <v>57</v>
      </c>
      <c r="AQ987" s="9">
        <v>0</v>
      </c>
    </row>
    <row r="988" spans="1:43" ht="15">
      <c r="A988" s="2" t="s">
        <v>3448</v>
      </c>
      <c r="B988" s="5">
        <v>9275192</v>
      </c>
      <c r="C988" s="2" t="s">
        <v>23</v>
      </c>
      <c r="D988" s="2" t="s">
        <v>3449</v>
      </c>
      <c r="E988" s="2" t="s">
        <v>3450</v>
      </c>
      <c r="F988" s="2" t="s">
        <v>26</v>
      </c>
      <c r="G988" s="2" t="s">
        <v>26</v>
      </c>
      <c r="H988" s="2" t="s">
        <v>27</v>
      </c>
      <c r="I988" s="2" t="s">
        <v>28</v>
      </c>
      <c r="J988" s="6"/>
      <c r="K988" s="2" t="s">
        <v>55</v>
      </c>
      <c r="L988" s="2" t="s">
        <v>56</v>
      </c>
      <c r="M988" s="2" t="s">
        <v>55</v>
      </c>
      <c r="N988" s="2"/>
      <c r="O988" s="2"/>
      <c r="P988" s="6" t="s">
        <v>57</v>
      </c>
      <c r="Q988" s="6" t="s">
        <v>57</v>
      </c>
      <c r="R988" s="9">
        <v>0</v>
      </c>
      <c r="S988" s="2"/>
      <c r="T988" s="9">
        <v>0</v>
      </c>
      <c r="U988" s="9">
        <v>0</v>
      </c>
      <c r="V988" s="9">
        <v>0</v>
      </c>
      <c r="W988" s="9">
        <v>0</v>
      </c>
      <c r="X988" s="9">
        <v>0</v>
      </c>
      <c r="Y988" s="9">
        <v>748</v>
      </c>
      <c r="Z988" s="9">
        <v>644</v>
      </c>
      <c r="AA988" s="9">
        <v>959</v>
      </c>
      <c r="AB988" s="9">
        <v>0</v>
      </c>
      <c r="AC988" s="9">
        <v>0</v>
      </c>
      <c r="AD988" s="9">
        <v>0</v>
      </c>
      <c r="AE988" s="6" t="s">
        <v>57</v>
      </c>
      <c r="AF988" s="6" t="s">
        <v>57</v>
      </c>
      <c r="AG988" s="6" t="s">
        <v>57</v>
      </c>
      <c r="AH988" s="6" t="s">
        <v>57</v>
      </c>
      <c r="AI988" s="6" t="s">
        <v>57</v>
      </c>
      <c r="AJ988" s="6" t="s">
        <v>57</v>
      </c>
      <c r="AK988" s="6" t="s">
        <v>57</v>
      </c>
      <c r="AL988" s="6" t="s">
        <v>57</v>
      </c>
      <c r="AM988" s="6" t="s">
        <v>57</v>
      </c>
      <c r="AN988" s="6" t="s">
        <v>57</v>
      </c>
      <c r="AO988" s="6" t="s">
        <v>57</v>
      </c>
      <c r="AP988" s="6" t="s">
        <v>57</v>
      </c>
      <c r="AQ988" s="9">
        <v>0</v>
      </c>
    </row>
    <row r="989" spans="1:43" ht="15">
      <c r="A989" s="2" t="s">
        <v>3451</v>
      </c>
      <c r="B989" s="5">
        <v>9275193</v>
      </c>
      <c r="C989" s="2" t="s">
        <v>23</v>
      </c>
      <c r="D989" s="2" t="s">
        <v>3452</v>
      </c>
      <c r="E989" s="2" t="s">
        <v>3453</v>
      </c>
      <c r="F989" s="2" t="s">
        <v>3441</v>
      </c>
      <c r="G989" s="2" t="s">
        <v>26</v>
      </c>
      <c r="H989" s="2" t="s">
        <v>27</v>
      </c>
      <c r="I989" s="2" t="s">
        <v>28</v>
      </c>
      <c r="J989" s="6"/>
      <c r="K989" s="2" t="s">
        <v>55</v>
      </c>
      <c r="L989" s="2" t="s">
        <v>56</v>
      </c>
      <c r="M989" s="2" t="s">
        <v>55</v>
      </c>
      <c r="N989" s="2"/>
      <c r="O989" s="2"/>
      <c r="P989" s="6" t="s">
        <v>57</v>
      </c>
      <c r="Q989" s="6" t="s">
        <v>57</v>
      </c>
      <c r="R989" s="9">
        <v>0</v>
      </c>
      <c r="S989" s="2" t="s">
        <v>3454</v>
      </c>
      <c r="T989" s="9">
        <v>0</v>
      </c>
      <c r="U989" s="9">
        <v>0</v>
      </c>
      <c r="V989" s="9">
        <v>0</v>
      </c>
      <c r="W989" s="9">
        <v>0</v>
      </c>
      <c r="X989" s="9">
        <v>0</v>
      </c>
      <c r="Y989" s="9">
        <v>764</v>
      </c>
      <c r="Z989" s="9">
        <v>755</v>
      </c>
      <c r="AA989" s="9">
        <v>1936</v>
      </c>
      <c r="AB989" s="9">
        <v>0</v>
      </c>
      <c r="AC989" s="9">
        <v>0</v>
      </c>
      <c r="AD989" s="9">
        <v>0</v>
      </c>
      <c r="AE989" s="6" t="s">
        <v>57</v>
      </c>
      <c r="AF989" s="6" t="s">
        <v>57</v>
      </c>
      <c r="AG989" s="6" t="s">
        <v>57</v>
      </c>
      <c r="AH989" s="6" t="s">
        <v>57</v>
      </c>
      <c r="AI989" s="6" t="s">
        <v>57</v>
      </c>
      <c r="AJ989" s="6" t="s">
        <v>57</v>
      </c>
      <c r="AK989" s="6" t="s">
        <v>57</v>
      </c>
      <c r="AL989" s="6" t="s">
        <v>57</v>
      </c>
      <c r="AM989" s="6" t="s">
        <v>57</v>
      </c>
      <c r="AN989" s="6" t="s">
        <v>57</v>
      </c>
      <c r="AO989" s="6" t="s">
        <v>57</v>
      </c>
      <c r="AP989" s="6" t="s">
        <v>57</v>
      </c>
      <c r="AQ989" s="9">
        <v>0</v>
      </c>
    </row>
    <row r="990" spans="1:43" ht="15">
      <c r="A990" s="2" t="s">
        <v>3455</v>
      </c>
      <c r="B990" s="5">
        <v>108064199</v>
      </c>
      <c r="C990" s="2" t="s">
        <v>23</v>
      </c>
      <c r="D990" s="2" t="s">
        <v>3456</v>
      </c>
      <c r="E990" s="2" t="s">
        <v>3457</v>
      </c>
      <c r="F990" s="2" t="s">
        <v>26</v>
      </c>
      <c r="G990" s="2" t="s">
        <v>26</v>
      </c>
      <c r="H990" s="2" t="s">
        <v>27</v>
      </c>
      <c r="I990" s="2" t="s">
        <v>28</v>
      </c>
      <c r="J990" s="6"/>
      <c r="K990" s="2" t="s">
        <v>55</v>
      </c>
      <c r="L990" s="2" t="s">
        <v>56</v>
      </c>
      <c r="M990" s="2" t="s">
        <v>55</v>
      </c>
      <c r="N990" s="2"/>
      <c r="O990" s="2"/>
      <c r="P990" s="6" t="s">
        <v>57</v>
      </c>
      <c r="Q990" s="6" t="s">
        <v>57</v>
      </c>
      <c r="R990" s="9">
        <v>0</v>
      </c>
      <c r="S990" s="2"/>
      <c r="T990" s="9">
        <v>0</v>
      </c>
      <c r="U990" s="9">
        <v>0</v>
      </c>
      <c r="V990" s="9">
        <v>0</v>
      </c>
      <c r="W990" s="9">
        <v>0</v>
      </c>
      <c r="X990" s="9">
        <v>0</v>
      </c>
      <c r="Y990" s="9">
        <v>50220</v>
      </c>
      <c r="Z990" s="9">
        <v>60071</v>
      </c>
      <c r="AA990" s="9">
        <v>114825</v>
      </c>
      <c r="AB990" s="9">
        <v>0</v>
      </c>
      <c r="AC990" s="9">
        <v>0</v>
      </c>
      <c r="AD990" s="9">
        <v>0</v>
      </c>
      <c r="AE990" s="6" t="s">
        <v>57</v>
      </c>
      <c r="AF990" s="6" t="s">
        <v>57</v>
      </c>
      <c r="AG990" s="6" t="s">
        <v>57</v>
      </c>
      <c r="AH990" s="6" t="s">
        <v>57</v>
      </c>
      <c r="AI990" s="6" t="s">
        <v>57</v>
      </c>
      <c r="AJ990" s="6" t="s">
        <v>57</v>
      </c>
      <c r="AK990" s="6" t="s">
        <v>57</v>
      </c>
      <c r="AL990" s="6" t="s">
        <v>57</v>
      </c>
      <c r="AM990" s="6" t="s">
        <v>57</v>
      </c>
      <c r="AN990" s="6" t="s">
        <v>57</v>
      </c>
      <c r="AO990" s="6" t="s">
        <v>57</v>
      </c>
      <c r="AP990" s="6" t="s">
        <v>57</v>
      </c>
      <c r="AQ990" s="9">
        <v>0</v>
      </c>
    </row>
    <row r="991" spans="1:43" ht="15">
      <c r="A991" s="2" t="s">
        <v>3458</v>
      </c>
      <c r="B991" s="5">
        <v>108064410</v>
      </c>
      <c r="C991" s="2" t="s">
        <v>23</v>
      </c>
      <c r="D991" s="2" t="s">
        <v>3459</v>
      </c>
      <c r="E991" s="2" t="s">
        <v>3460</v>
      </c>
      <c r="F991" s="2" t="s">
        <v>26</v>
      </c>
      <c r="G991" s="2"/>
      <c r="H991" s="2"/>
      <c r="I991" s="2" t="s">
        <v>28</v>
      </c>
      <c r="J991" s="6"/>
      <c r="K991" s="2" t="s">
        <v>55</v>
      </c>
      <c r="L991" s="2" t="s">
        <v>56</v>
      </c>
      <c r="M991" s="2" t="s">
        <v>55</v>
      </c>
      <c r="N991" s="2"/>
      <c r="O991" s="2"/>
      <c r="P991" s="6" t="s">
        <v>57</v>
      </c>
      <c r="Q991" s="6" t="s">
        <v>57</v>
      </c>
      <c r="R991" s="9">
        <v>0</v>
      </c>
      <c r="S991" s="2"/>
      <c r="T991" s="9">
        <v>0</v>
      </c>
      <c r="U991" s="9">
        <v>0</v>
      </c>
      <c r="V991" s="9">
        <v>0</v>
      </c>
      <c r="W991" s="9">
        <v>0</v>
      </c>
      <c r="X991" s="9">
        <v>0</v>
      </c>
      <c r="Y991" s="9">
        <v>146</v>
      </c>
      <c r="Z991" s="9">
        <v>679</v>
      </c>
      <c r="AA991" s="9">
        <v>679</v>
      </c>
      <c r="AB991" s="9">
        <v>0</v>
      </c>
      <c r="AC991" s="9">
        <v>0</v>
      </c>
      <c r="AD991" s="9">
        <v>0</v>
      </c>
      <c r="AE991" s="6" t="s">
        <v>57</v>
      </c>
      <c r="AF991" s="6" t="s">
        <v>57</v>
      </c>
      <c r="AG991" s="6" t="s">
        <v>57</v>
      </c>
      <c r="AH991" s="6" t="s">
        <v>57</v>
      </c>
      <c r="AI991" s="6" t="s">
        <v>57</v>
      </c>
      <c r="AJ991" s="6" t="s">
        <v>57</v>
      </c>
      <c r="AK991" s="6" t="s">
        <v>57</v>
      </c>
      <c r="AL991" s="6" t="s">
        <v>57</v>
      </c>
      <c r="AM991" s="6" t="s">
        <v>57</v>
      </c>
      <c r="AN991" s="6" t="s">
        <v>57</v>
      </c>
      <c r="AO991" s="6" t="s">
        <v>57</v>
      </c>
      <c r="AP991" s="6" t="s">
        <v>57</v>
      </c>
      <c r="AQ991" s="9">
        <v>0</v>
      </c>
    </row>
    <row r="992" spans="1:43" ht="15">
      <c r="A992" s="2" t="s">
        <v>3461</v>
      </c>
      <c r="B992" s="5">
        <v>108064201</v>
      </c>
      <c r="C992" s="2" t="s">
        <v>23</v>
      </c>
      <c r="D992" s="2" t="s">
        <v>3462</v>
      </c>
      <c r="E992" s="2" t="s">
        <v>3463</v>
      </c>
      <c r="F992" s="2" t="s">
        <v>26</v>
      </c>
      <c r="G992" s="2"/>
      <c r="H992" s="2"/>
      <c r="I992" s="2" t="s">
        <v>28</v>
      </c>
      <c r="J992" s="6"/>
      <c r="K992" s="2" t="s">
        <v>55</v>
      </c>
      <c r="L992" s="2" t="s">
        <v>56</v>
      </c>
      <c r="M992" s="2" t="s">
        <v>55</v>
      </c>
      <c r="N992" s="2"/>
      <c r="O992" s="2"/>
      <c r="P992" s="6" t="s">
        <v>57</v>
      </c>
      <c r="Q992" s="6" t="s">
        <v>57</v>
      </c>
      <c r="R992" s="9">
        <v>0</v>
      </c>
      <c r="S992" s="2"/>
      <c r="T992" s="9">
        <v>0</v>
      </c>
      <c r="U992" s="9">
        <v>0</v>
      </c>
      <c r="V992" s="9">
        <v>0</v>
      </c>
      <c r="W992" s="9">
        <v>0</v>
      </c>
      <c r="X992" s="9">
        <v>0</v>
      </c>
      <c r="Y992" s="9">
        <v>0</v>
      </c>
      <c r="Z992" s="9">
        <v>7</v>
      </c>
      <c r="AA992" s="9">
        <v>7</v>
      </c>
      <c r="AB992" s="9">
        <v>0</v>
      </c>
      <c r="AC992" s="9">
        <v>0</v>
      </c>
      <c r="AD992" s="9">
        <v>0</v>
      </c>
      <c r="AE992" s="6" t="s">
        <v>57</v>
      </c>
      <c r="AF992" s="6" t="s">
        <v>57</v>
      </c>
      <c r="AG992" s="6" t="s">
        <v>57</v>
      </c>
      <c r="AH992" s="6" t="s">
        <v>57</v>
      </c>
      <c r="AI992" s="6" t="s">
        <v>57</v>
      </c>
      <c r="AJ992" s="6" t="s">
        <v>57</v>
      </c>
      <c r="AK992" s="6" t="s">
        <v>57</v>
      </c>
      <c r="AL992" s="6" t="s">
        <v>57</v>
      </c>
      <c r="AM992" s="6" t="s">
        <v>57</v>
      </c>
      <c r="AN992" s="6" t="s">
        <v>57</v>
      </c>
      <c r="AO992" s="6" t="s">
        <v>57</v>
      </c>
      <c r="AP992" s="6" t="s">
        <v>57</v>
      </c>
      <c r="AQ992" s="9">
        <v>0</v>
      </c>
    </row>
    <row r="993" spans="1:43" ht="15">
      <c r="A993" s="2" t="s">
        <v>3464</v>
      </c>
      <c r="B993" s="5">
        <v>106503337</v>
      </c>
      <c r="C993" s="2" t="s">
        <v>23</v>
      </c>
      <c r="D993" s="2" t="s">
        <v>3465</v>
      </c>
      <c r="E993" s="2" t="s">
        <v>3466</v>
      </c>
      <c r="F993" s="2" t="s">
        <v>26</v>
      </c>
      <c r="G993" s="2" t="s">
        <v>26</v>
      </c>
      <c r="H993" s="2" t="s">
        <v>27</v>
      </c>
      <c r="I993" s="2" t="s">
        <v>28</v>
      </c>
      <c r="J993" s="6"/>
      <c r="K993" s="2" t="s">
        <v>55</v>
      </c>
      <c r="L993" s="2" t="s">
        <v>56</v>
      </c>
      <c r="M993" s="2" t="s">
        <v>55</v>
      </c>
      <c r="N993" s="2"/>
      <c r="O993" s="2"/>
      <c r="P993" s="6" t="s">
        <v>57</v>
      </c>
      <c r="Q993" s="6" t="s">
        <v>57</v>
      </c>
      <c r="R993" s="9">
        <v>0</v>
      </c>
      <c r="S993" s="2"/>
      <c r="T993" s="9">
        <v>0</v>
      </c>
      <c r="U993" s="9">
        <v>0</v>
      </c>
      <c r="V993" s="9">
        <v>0</v>
      </c>
      <c r="W993" s="9">
        <v>0</v>
      </c>
      <c r="X993" s="9">
        <v>0</v>
      </c>
      <c r="Y993" s="9">
        <v>5041</v>
      </c>
      <c r="Z993" s="9">
        <v>7229</v>
      </c>
      <c r="AA993" s="9">
        <v>8800</v>
      </c>
      <c r="AB993" s="9">
        <v>0</v>
      </c>
      <c r="AC993" s="9">
        <v>0</v>
      </c>
      <c r="AD993" s="9">
        <v>0</v>
      </c>
      <c r="AE993" s="6" t="s">
        <v>57</v>
      </c>
      <c r="AF993" s="6" t="s">
        <v>57</v>
      </c>
      <c r="AG993" s="6" t="s">
        <v>57</v>
      </c>
      <c r="AH993" s="6" t="s">
        <v>57</v>
      </c>
      <c r="AI993" s="6" t="s">
        <v>57</v>
      </c>
      <c r="AJ993" s="6" t="s">
        <v>57</v>
      </c>
      <c r="AK993" s="6" t="s">
        <v>57</v>
      </c>
      <c r="AL993" s="6" t="s">
        <v>57</v>
      </c>
      <c r="AM993" s="6" t="s">
        <v>57</v>
      </c>
      <c r="AN993" s="6" t="s">
        <v>57</v>
      </c>
      <c r="AO993" s="6" t="s">
        <v>57</v>
      </c>
      <c r="AP993" s="6" t="s">
        <v>57</v>
      </c>
      <c r="AQ993" s="9">
        <v>0</v>
      </c>
    </row>
    <row r="994" spans="1:43" ht="15">
      <c r="A994" s="2" t="s">
        <v>3467</v>
      </c>
      <c r="B994" s="5">
        <v>5738721</v>
      </c>
      <c r="C994" s="2" t="s">
        <v>23</v>
      </c>
      <c r="D994" s="2" t="s">
        <v>3468</v>
      </c>
      <c r="E994" s="2" t="s">
        <v>3469</v>
      </c>
      <c r="F994" s="2" t="s">
        <v>26</v>
      </c>
      <c r="G994" s="2"/>
      <c r="H994" s="2"/>
      <c r="I994" s="2" t="s">
        <v>28</v>
      </c>
      <c r="J994" s="6"/>
      <c r="K994" s="2" t="s">
        <v>55</v>
      </c>
      <c r="L994" s="2" t="s">
        <v>56</v>
      </c>
      <c r="M994" s="2" t="s">
        <v>55</v>
      </c>
      <c r="N994" s="2"/>
      <c r="O994" s="2"/>
      <c r="P994" s="7">
        <v>34.196968674446403</v>
      </c>
      <c r="Q994" s="6" t="s">
        <v>57</v>
      </c>
      <c r="R994" s="9">
        <v>0</v>
      </c>
      <c r="S994" s="2"/>
      <c r="T994" s="9">
        <v>0</v>
      </c>
      <c r="U994" s="9">
        <v>0</v>
      </c>
      <c r="V994" s="9">
        <v>0</v>
      </c>
      <c r="W994" s="9">
        <v>0</v>
      </c>
      <c r="X994" s="9">
        <v>0</v>
      </c>
      <c r="Y994" s="9">
        <v>67829</v>
      </c>
      <c r="Z994" s="9">
        <v>107318</v>
      </c>
      <c r="AA994" s="9">
        <v>243726</v>
      </c>
      <c r="AB994" s="9">
        <v>0</v>
      </c>
      <c r="AC994" s="9">
        <v>0</v>
      </c>
      <c r="AD994" s="9">
        <v>0</v>
      </c>
      <c r="AE994" s="6" t="s">
        <v>57</v>
      </c>
      <c r="AF994" s="6" t="s">
        <v>57</v>
      </c>
      <c r="AG994" s="6" t="s">
        <v>57</v>
      </c>
      <c r="AH994" s="6" t="s">
        <v>57</v>
      </c>
      <c r="AI994" s="6" t="s">
        <v>57</v>
      </c>
      <c r="AJ994" s="6" t="s">
        <v>57</v>
      </c>
      <c r="AK994" s="6" t="s">
        <v>57</v>
      </c>
      <c r="AL994" s="6" t="s">
        <v>57</v>
      </c>
      <c r="AM994" s="6" t="s">
        <v>57</v>
      </c>
      <c r="AN994" s="6" t="s">
        <v>57</v>
      </c>
      <c r="AO994" s="6" t="s">
        <v>57</v>
      </c>
      <c r="AP994" s="6" t="s">
        <v>57</v>
      </c>
      <c r="AQ994" s="9">
        <v>0</v>
      </c>
    </row>
    <row r="995" spans="1:43" ht="15">
      <c r="A995" s="2" t="s">
        <v>3470</v>
      </c>
      <c r="B995" s="5">
        <v>15126228</v>
      </c>
      <c r="C995" s="2" t="s">
        <v>23</v>
      </c>
      <c r="D995" s="2" t="s">
        <v>3471</v>
      </c>
      <c r="E995" s="2" t="s">
        <v>3472</v>
      </c>
      <c r="F995" s="2" t="s">
        <v>26</v>
      </c>
      <c r="G995" s="2" t="s">
        <v>26</v>
      </c>
      <c r="H995" s="2" t="s">
        <v>27</v>
      </c>
      <c r="I995" s="2" t="s">
        <v>28</v>
      </c>
      <c r="J995" s="6"/>
      <c r="K995" s="2" t="s">
        <v>55</v>
      </c>
      <c r="L995" s="2" t="s">
        <v>56</v>
      </c>
      <c r="M995" s="2" t="s">
        <v>55</v>
      </c>
      <c r="N995" s="2"/>
      <c r="O995" s="2"/>
      <c r="P995" s="7">
        <v>9.6791692577179393</v>
      </c>
      <c r="Q995" s="6" t="s">
        <v>57</v>
      </c>
      <c r="R995" s="9">
        <v>0</v>
      </c>
      <c r="S995" s="2"/>
      <c r="T995" s="9">
        <v>0</v>
      </c>
      <c r="U995" s="9">
        <v>0</v>
      </c>
      <c r="V995" s="9">
        <v>0</v>
      </c>
      <c r="W995" s="9">
        <v>0</v>
      </c>
      <c r="X995" s="9">
        <v>0</v>
      </c>
      <c r="Y995" s="9">
        <v>56</v>
      </c>
      <c r="Z995" s="9">
        <v>43</v>
      </c>
      <c r="AA995" s="9">
        <v>30</v>
      </c>
      <c r="AB995" s="9">
        <v>0</v>
      </c>
      <c r="AC995" s="9">
        <v>0</v>
      </c>
      <c r="AD995" s="9">
        <v>0</v>
      </c>
      <c r="AE995" s="6" t="s">
        <v>57</v>
      </c>
      <c r="AF995" s="6" t="s">
        <v>57</v>
      </c>
      <c r="AG995" s="6" t="s">
        <v>57</v>
      </c>
      <c r="AH995" s="6" t="s">
        <v>57</v>
      </c>
      <c r="AI995" s="6" t="s">
        <v>57</v>
      </c>
      <c r="AJ995" s="6" t="s">
        <v>57</v>
      </c>
      <c r="AK995" s="6" t="s">
        <v>57</v>
      </c>
      <c r="AL995" s="6" t="s">
        <v>57</v>
      </c>
      <c r="AM995" s="6" t="s">
        <v>57</v>
      </c>
      <c r="AN995" s="6" t="s">
        <v>57</v>
      </c>
      <c r="AO995" s="6" t="s">
        <v>57</v>
      </c>
      <c r="AP995" s="6" t="s">
        <v>57</v>
      </c>
      <c r="AQ995" s="9">
        <v>0</v>
      </c>
    </row>
    <row r="996" spans="1:43" ht="15">
      <c r="A996" s="2" t="s">
        <v>3473</v>
      </c>
      <c r="B996" s="5">
        <v>9311509</v>
      </c>
      <c r="C996" s="2" t="s">
        <v>23</v>
      </c>
      <c r="D996" s="2" t="s">
        <v>3474</v>
      </c>
      <c r="E996" s="2" t="s">
        <v>3475</v>
      </c>
      <c r="F996" s="2" t="s">
        <v>26</v>
      </c>
      <c r="G996" s="2" t="s">
        <v>26</v>
      </c>
      <c r="H996" s="2" t="s">
        <v>27</v>
      </c>
      <c r="I996" s="2" t="s">
        <v>28</v>
      </c>
      <c r="J996" s="6"/>
      <c r="K996" s="2" t="s">
        <v>55</v>
      </c>
      <c r="L996" s="2" t="s">
        <v>56</v>
      </c>
      <c r="M996" s="2" t="s">
        <v>55</v>
      </c>
      <c r="N996" s="2"/>
      <c r="O996" s="2"/>
      <c r="P996" s="7">
        <v>26.1451161923985</v>
      </c>
      <c r="Q996" s="6" t="s">
        <v>57</v>
      </c>
      <c r="R996" s="9">
        <v>0</v>
      </c>
      <c r="S996" s="2" t="s">
        <v>3476</v>
      </c>
      <c r="T996" s="9">
        <v>0</v>
      </c>
      <c r="U996" s="9">
        <v>0</v>
      </c>
      <c r="V996" s="9">
        <v>0</v>
      </c>
      <c r="W996" s="9">
        <v>0</v>
      </c>
      <c r="X996" s="9">
        <v>0</v>
      </c>
      <c r="Y996" s="9">
        <v>562</v>
      </c>
      <c r="Z996" s="9">
        <v>884</v>
      </c>
      <c r="AA996" s="9">
        <v>1670</v>
      </c>
      <c r="AB996" s="9">
        <v>0</v>
      </c>
      <c r="AC996" s="9">
        <v>0</v>
      </c>
      <c r="AD996" s="9">
        <v>0</v>
      </c>
      <c r="AE996" s="6" t="s">
        <v>57</v>
      </c>
      <c r="AF996" s="6" t="s">
        <v>57</v>
      </c>
      <c r="AG996" s="6" t="s">
        <v>57</v>
      </c>
      <c r="AH996" s="6" t="s">
        <v>57</v>
      </c>
      <c r="AI996" s="6" t="s">
        <v>57</v>
      </c>
      <c r="AJ996" s="6" t="s">
        <v>57</v>
      </c>
      <c r="AK996" s="6" t="s">
        <v>57</v>
      </c>
      <c r="AL996" s="6" t="s">
        <v>57</v>
      </c>
      <c r="AM996" s="6" t="s">
        <v>57</v>
      </c>
      <c r="AN996" s="6" t="s">
        <v>57</v>
      </c>
      <c r="AO996" s="6" t="s">
        <v>57</v>
      </c>
      <c r="AP996" s="6" t="s">
        <v>57</v>
      </c>
      <c r="AQ996" s="9">
        <v>0</v>
      </c>
    </row>
    <row r="997" spans="1:43" ht="15">
      <c r="A997" s="2" t="s">
        <v>3477</v>
      </c>
      <c r="B997" s="5">
        <v>5738627</v>
      </c>
      <c r="C997" s="2" t="s">
        <v>23</v>
      </c>
      <c r="D997" s="2" t="s">
        <v>3478</v>
      </c>
      <c r="E997" s="2" t="s">
        <v>3479</v>
      </c>
      <c r="F997" s="2" t="s">
        <v>26</v>
      </c>
      <c r="G997" s="2" t="s">
        <v>26</v>
      </c>
      <c r="H997" s="2" t="s">
        <v>27</v>
      </c>
      <c r="I997" s="2" t="s">
        <v>28</v>
      </c>
      <c r="J997" s="6"/>
      <c r="K997" s="2" t="s">
        <v>55</v>
      </c>
      <c r="L997" s="2" t="s">
        <v>56</v>
      </c>
      <c r="M997" s="2" t="s">
        <v>55</v>
      </c>
      <c r="N997" s="2"/>
      <c r="O997" s="2"/>
      <c r="P997" s="7">
        <v>61.583186402754897</v>
      </c>
      <c r="Q997" s="6" t="s">
        <v>57</v>
      </c>
      <c r="R997" s="9">
        <v>0</v>
      </c>
      <c r="S997" s="2"/>
      <c r="T997" s="9">
        <v>0</v>
      </c>
      <c r="U997" s="9">
        <v>0</v>
      </c>
      <c r="V997" s="9">
        <v>0</v>
      </c>
      <c r="W997" s="9">
        <v>0</v>
      </c>
      <c r="X997" s="9">
        <v>0</v>
      </c>
      <c r="Y997" s="9">
        <v>302</v>
      </c>
      <c r="Z997" s="9">
        <v>1236</v>
      </c>
      <c r="AA997" s="9">
        <v>2969</v>
      </c>
      <c r="AB997" s="9">
        <v>0</v>
      </c>
      <c r="AC997" s="9">
        <v>0</v>
      </c>
      <c r="AD997" s="9">
        <v>0</v>
      </c>
      <c r="AE997" s="6" t="s">
        <v>57</v>
      </c>
      <c r="AF997" s="6" t="s">
        <v>57</v>
      </c>
      <c r="AG997" s="6" t="s">
        <v>57</v>
      </c>
      <c r="AH997" s="6" t="s">
        <v>57</v>
      </c>
      <c r="AI997" s="6" t="s">
        <v>57</v>
      </c>
      <c r="AJ997" s="6" t="s">
        <v>57</v>
      </c>
      <c r="AK997" s="6" t="s">
        <v>57</v>
      </c>
      <c r="AL997" s="6" t="s">
        <v>57</v>
      </c>
      <c r="AM997" s="6" t="s">
        <v>57</v>
      </c>
      <c r="AN997" s="6" t="s">
        <v>57</v>
      </c>
      <c r="AO997" s="6" t="s">
        <v>57</v>
      </c>
      <c r="AP997" s="6" t="s">
        <v>57</v>
      </c>
      <c r="AQ997" s="9">
        <v>0</v>
      </c>
    </row>
    <row r="998" spans="1:43" ht="15">
      <c r="A998" s="2" t="s">
        <v>3480</v>
      </c>
      <c r="B998" s="5">
        <v>109513849</v>
      </c>
      <c r="C998" s="2" t="s">
        <v>23</v>
      </c>
      <c r="D998" s="2" t="s">
        <v>3481</v>
      </c>
      <c r="E998" s="2" t="s">
        <v>3482</v>
      </c>
      <c r="F998" s="2" t="s">
        <v>26</v>
      </c>
      <c r="G998" s="2"/>
      <c r="H998" s="2"/>
      <c r="I998" s="2" t="s">
        <v>28</v>
      </c>
      <c r="J998" s="6"/>
      <c r="K998" s="2" t="s">
        <v>55</v>
      </c>
      <c r="L998" s="2" t="s">
        <v>56</v>
      </c>
      <c r="M998" s="2" t="s">
        <v>55</v>
      </c>
      <c r="N998" s="2"/>
      <c r="O998" s="2"/>
      <c r="P998" s="6" t="s">
        <v>57</v>
      </c>
      <c r="Q998" s="6" t="s">
        <v>57</v>
      </c>
      <c r="R998" s="9">
        <v>0</v>
      </c>
      <c r="S998" s="2"/>
      <c r="T998" s="9">
        <v>0</v>
      </c>
      <c r="U998" s="9">
        <v>0</v>
      </c>
      <c r="V998" s="9">
        <v>0</v>
      </c>
      <c r="W998" s="9">
        <v>0</v>
      </c>
      <c r="X998" s="9">
        <v>0</v>
      </c>
      <c r="Y998" s="9">
        <v>0</v>
      </c>
      <c r="Z998" s="9">
        <v>0</v>
      </c>
      <c r="AA998" s="9">
        <v>76</v>
      </c>
      <c r="AB998" s="9">
        <v>0</v>
      </c>
      <c r="AC998" s="9">
        <v>0</v>
      </c>
      <c r="AD998" s="9">
        <v>0</v>
      </c>
      <c r="AE998" s="6" t="s">
        <v>57</v>
      </c>
      <c r="AF998" s="6" t="s">
        <v>57</v>
      </c>
      <c r="AG998" s="6" t="s">
        <v>57</v>
      </c>
      <c r="AH998" s="6" t="s">
        <v>57</v>
      </c>
      <c r="AI998" s="6" t="s">
        <v>57</v>
      </c>
      <c r="AJ998" s="6" t="s">
        <v>57</v>
      </c>
      <c r="AK998" s="6" t="s">
        <v>57</v>
      </c>
      <c r="AL998" s="6" t="s">
        <v>57</v>
      </c>
      <c r="AM998" s="6" t="s">
        <v>57</v>
      </c>
      <c r="AN998" s="6" t="s">
        <v>57</v>
      </c>
      <c r="AO998" s="6" t="s">
        <v>57</v>
      </c>
      <c r="AP998" s="6" t="s">
        <v>57</v>
      </c>
      <c r="AQ998" s="9">
        <v>0</v>
      </c>
    </row>
    <row r="999" spans="1:43" ht="15">
      <c r="A999" s="2" t="s">
        <v>3483</v>
      </c>
      <c r="B999" s="5">
        <v>19126613</v>
      </c>
      <c r="C999" s="2" t="s">
        <v>23</v>
      </c>
      <c r="D999" s="2" t="s">
        <v>3484</v>
      </c>
      <c r="E999" s="2" t="s">
        <v>3485</v>
      </c>
      <c r="F999" s="2" t="s">
        <v>26</v>
      </c>
      <c r="G999" s="2" t="s">
        <v>26</v>
      </c>
      <c r="H999" s="2" t="s">
        <v>27</v>
      </c>
      <c r="I999" s="2" t="s">
        <v>28</v>
      </c>
      <c r="J999" s="6"/>
      <c r="K999" s="2" t="s">
        <v>55</v>
      </c>
      <c r="L999" s="2" t="s">
        <v>56</v>
      </c>
      <c r="M999" s="2" t="s">
        <v>55</v>
      </c>
      <c r="N999" s="2"/>
      <c r="O999" s="2"/>
      <c r="P999" s="7">
        <v>4.3279287529120003</v>
      </c>
      <c r="Q999" s="6" t="s">
        <v>57</v>
      </c>
      <c r="R999" s="9">
        <v>0</v>
      </c>
      <c r="S999" s="2"/>
      <c r="T999" s="9">
        <v>0</v>
      </c>
      <c r="U999" s="9">
        <v>0</v>
      </c>
      <c r="V999" s="9">
        <v>0</v>
      </c>
      <c r="W999" s="9">
        <v>0</v>
      </c>
      <c r="X999" s="9">
        <v>0</v>
      </c>
      <c r="Y999" s="9">
        <v>1</v>
      </c>
      <c r="Z999" s="9">
        <v>11</v>
      </c>
      <c r="AA999" s="9">
        <v>17</v>
      </c>
      <c r="AB999" s="9">
        <v>0</v>
      </c>
      <c r="AC999" s="9">
        <v>0</v>
      </c>
      <c r="AD999" s="9">
        <v>0</v>
      </c>
      <c r="AE999" s="6" t="s">
        <v>57</v>
      </c>
      <c r="AF999" s="6" t="s">
        <v>57</v>
      </c>
      <c r="AG999" s="6" t="s">
        <v>57</v>
      </c>
      <c r="AH999" s="6" t="s">
        <v>57</v>
      </c>
      <c r="AI999" s="6" t="s">
        <v>57</v>
      </c>
      <c r="AJ999" s="6" t="s">
        <v>57</v>
      </c>
      <c r="AK999" s="6" t="s">
        <v>57</v>
      </c>
      <c r="AL999" s="6" t="s">
        <v>57</v>
      </c>
      <c r="AM999" s="6" t="s">
        <v>57</v>
      </c>
      <c r="AN999" s="6" t="s">
        <v>57</v>
      </c>
      <c r="AO999" s="6" t="s">
        <v>57</v>
      </c>
      <c r="AP999" s="6" t="s">
        <v>57</v>
      </c>
      <c r="AQ999" s="9">
        <v>0</v>
      </c>
    </row>
    <row r="1000" spans="1:43" ht="15">
      <c r="A1000" s="2" t="s">
        <v>3486</v>
      </c>
      <c r="B1000" s="5">
        <v>19119661</v>
      </c>
      <c r="C1000" s="2" t="s">
        <v>23</v>
      </c>
      <c r="D1000" s="2" t="s">
        <v>3487</v>
      </c>
      <c r="E1000" s="2" t="s">
        <v>3488</v>
      </c>
      <c r="F1000" s="2" t="s">
        <v>26</v>
      </c>
      <c r="G1000" s="2" t="s">
        <v>26</v>
      </c>
      <c r="H1000" s="2" t="s">
        <v>27</v>
      </c>
      <c r="I1000" s="2" t="s">
        <v>28</v>
      </c>
      <c r="J1000" s="6"/>
      <c r="K1000" s="2" t="s">
        <v>55</v>
      </c>
      <c r="L1000" s="2" t="s">
        <v>56</v>
      </c>
      <c r="M1000" s="2" t="s">
        <v>55</v>
      </c>
      <c r="N1000" s="2"/>
      <c r="O1000" s="2"/>
      <c r="P1000" s="6" t="s">
        <v>57</v>
      </c>
      <c r="Q1000" s="6" t="s">
        <v>57</v>
      </c>
      <c r="R1000" s="9">
        <v>0</v>
      </c>
      <c r="S1000" s="2"/>
      <c r="T1000" s="9">
        <v>0</v>
      </c>
      <c r="U1000" s="9">
        <v>0</v>
      </c>
      <c r="V1000" s="9">
        <v>0</v>
      </c>
      <c r="W1000" s="9">
        <v>0</v>
      </c>
      <c r="X1000" s="9">
        <v>0</v>
      </c>
      <c r="Y1000" s="9">
        <v>0</v>
      </c>
      <c r="Z1000" s="9">
        <v>1</v>
      </c>
      <c r="AA1000" s="9">
        <v>1</v>
      </c>
      <c r="AB1000" s="9">
        <v>0</v>
      </c>
      <c r="AC1000" s="9">
        <v>0</v>
      </c>
      <c r="AD1000" s="9">
        <v>0</v>
      </c>
      <c r="AE1000" s="6" t="s">
        <v>57</v>
      </c>
      <c r="AF1000" s="6" t="s">
        <v>57</v>
      </c>
      <c r="AG1000" s="6" t="s">
        <v>57</v>
      </c>
      <c r="AH1000" s="6" t="s">
        <v>57</v>
      </c>
      <c r="AI1000" s="6" t="s">
        <v>57</v>
      </c>
      <c r="AJ1000" s="6" t="s">
        <v>57</v>
      </c>
      <c r="AK1000" s="6" t="s">
        <v>57</v>
      </c>
      <c r="AL1000" s="6" t="s">
        <v>57</v>
      </c>
      <c r="AM1000" s="6" t="s">
        <v>57</v>
      </c>
      <c r="AN1000" s="6" t="s">
        <v>57</v>
      </c>
      <c r="AO1000" s="6" t="s">
        <v>57</v>
      </c>
      <c r="AP1000" s="6" t="s">
        <v>57</v>
      </c>
      <c r="AQ1000" s="9">
        <v>0</v>
      </c>
    </row>
    <row r="1001" spans="1:43" ht="15">
      <c r="A1001" s="2" t="s">
        <v>3489</v>
      </c>
      <c r="B1001" s="5">
        <v>4988353</v>
      </c>
      <c r="C1001" s="2" t="s">
        <v>23</v>
      </c>
      <c r="D1001" s="2" t="s">
        <v>3490</v>
      </c>
      <c r="E1001" s="2" t="s">
        <v>3491</v>
      </c>
      <c r="F1001" s="2" t="s">
        <v>26</v>
      </c>
      <c r="G1001" s="2" t="s">
        <v>26</v>
      </c>
      <c r="H1001" s="2" t="s">
        <v>27</v>
      </c>
      <c r="I1001" s="2" t="s">
        <v>28</v>
      </c>
      <c r="J1001" s="6"/>
      <c r="K1001" s="2" t="s">
        <v>3233</v>
      </c>
      <c r="L1001" s="2" t="s">
        <v>182</v>
      </c>
      <c r="M1001" s="2" t="s">
        <v>2355</v>
      </c>
      <c r="N1001" s="2" t="s">
        <v>3233</v>
      </c>
      <c r="O1001" s="2"/>
      <c r="P1001" s="7">
        <v>77.679346354844299</v>
      </c>
      <c r="Q1001" s="8">
        <v>100.62309181163199</v>
      </c>
      <c r="R1001" s="9">
        <v>11758344</v>
      </c>
      <c r="S1001" s="2" t="s">
        <v>3492</v>
      </c>
      <c r="T1001" s="9">
        <v>6194130</v>
      </c>
      <c r="U1001" s="9">
        <v>44569775</v>
      </c>
      <c r="V1001" s="9">
        <v>23091289</v>
      </c>
      <c r="W1001" s="9">
        <v>12961142</v>
      </c>
      <c r="X1001" s="9">
        <v>12914112</v>
      </c>
      <c r="Y1001" s="9">
        <v>11216047</v>
      </c>
      <c r="Z1001" s="9">
        <v>17392800</v>
      </c>
      <c r="AA1001" s="9">
        <v>13374293</v>
      </c>
      <c r="AB1001" s="9">
        <v>49432613</v>
      </c>
      <c r="AC1001" s="9">
        <v>23920579</v>
      </c>
      <c r="AD1001" s="9">
        <v>14359843</v>
      </c>
      <c r="AE1001" s="7">
        <v>0.26121234328234799</v>
      </c>
      <c r="AF1001" s="7">
        <v>0.137602981646582</v>
      </c>
      <c r="AG1001" s="7">
        <v>0.99012036301418205</v>
      </c>
      <c r="AH1001" s="7">
        <v>0.51297444834143002</v>
      </c>
      <c r="AI1001" s="7">
        <v>0.28793259093874901</v>
      </c>
      <c r="AJ1001" s="7">
        <v>0.28688781952835801</v>
      </c>
      <c r="AK1001" s="7">
        <v>0.24916518684068101</v>
      </c>
      <c r="AL1001" s="7">
        <v>0.38638214182541097</v>
      </c>
      <c r="AM1001" s="7">
        <v>0.29711077312813999</v>
      </c>
      <c r="AN1001" s="7">
        <v>1.09814861794612</v>
      </c>
      <c r="AO1001" s="7">
        <v>0.53139716447054097</v>
      </c>
      <c r="AP1001" s="7">
        <v>0.319004810873387</v>
      </c>
      <c r="AQ1001" s="9">
        <v>20435558</v>
      </c>
    </row>
    <row r="1002" spans="1:43" ht="15">
      <c r="A1002" s="2" t="s">
        <v>3493</v>
      </c>
      <c r="B1002" s="5">
        <v>4395918</v>
      </c>
      <c r="C1002" s="2" t="s">
        <v>23</v>
      </c>
      <c r="D1002" s="2" t="s">
        <v>3494</v>
      </c>
      <c r="E1002" s="2" t="s">
        <v>3495</v>
      </c>
      <c r="F1002" s="2" t="s">
        <v>26</v>
      </c>
      <c r="G1002" s="2" t="s">
        <v>26</v>
      </c>
      <c r="H1002" s="2" t="s">
        <v>27</v>
      </c>
      <c r="I1002" s="2" t="s">
        <v>40</v>
      </c>
      <c r="J1002" s="6"/>
      <c r="K1002" s="2" t="s">
        <v>226</v>
      </c>
      <c r="L1002" s="2" t="s">
        <v>56</v>
      </c>
      <c r="M1002" s="2" t="s">
        <v>227</v>
      </c>
      <c r="N1002" s="2" t="s">
        <v>226</v>
      </c>
      <c r="O1002" s="2"/>
      <c r="P1002" s="7">
        <v>3318.21709907902</v>
      </c>
      <c r="Q1002" s="6" t="s">
        <v>57</v>
      </c>
      <c r="R1002" s="9">
        <v>0</v>
      </c>
      <c r="S1002" s="2" t="s">
        <v>3496</v>
      </c>
      <c r="T1002" s="9">
        <v>0</v>
      </c>
      <c r="U1002" s="9">
        <v>288</v>
      </c>
      <c r="V1002" s="9">
        <v>2841</v>
      </c>
      <c r="W1002" s="9">
        <v>1968</v>
      </c>
      <c r="X1002" s="9">
        <v>1960</v>
      </c>
      <c r="Y1002" s="9">
        <v>3325</v>
      </c>
      <c r="Z1002" s="9">
        <v>2285</v>
      </c>
      <c r="AA1002" s="9">
        <v>1561</v>
      </c>
      <c r="AB1002" s="9">
        <v>234</v>
      </c>
      <c r="AC1002" s="9">
        <v>2981</v>
      </c>
      <c r="AD1002" s="9">
        <v>2139</v>
      </c>
      <c r="AE1002" s="7">
        <v>0</v>
      </c>
      <c r="AF1002" s="7">
        <v>0</v>
      </c>
      <c r="AG1002" s="7">
        <v>1.17583103370469E-05</v>
      </c>
      <c r="AH1002" s="7">
        <v>0.000116026118310826</v>
      </c>
      <c r="AI1002" s="7">
        <v>8.0357620297011594E-05</v>
      </c>
      <c r="AJ1002" s="7">
        <v>8.0036189815823504E-05</v>
      </c>
      <c r="AK1002" s="7">
        <v>0.000135780827895241</v>
      </c>
      <c r="AL1002" s="7">
        <v>9.3299552381362902E-05</v>
      </c>
      <c r="AM1002" s="7">
        <v>6.3749194765104397E-05</v>
      </c>
      <c r="AN1002" s="7">
        <v>9.5491761895507907E-06</v>
      </c>
      <c r="AO1002" s="7">
        <v>0.000121732320850703</v>
      </c>
      <c r="AP1002" s="7">
        <v>8.7354771254039397E-05</v>
      </c>
      <c r="AQ1002" s="9">
        <v>0</v>
      </c>
    </row>
    <row r="1003" spans="1:43" ht="15">
      <c r="A1003" s="2" t="s">
        <v>3497</v>
      </c>
      <c r="B1003" s="5">
        <v>4400059</v>
      </c>
      <c r="C1003" s="2" t="s">
        <v>46</v>
      </c>
      <c r="D1003" s="2" t="s">
        <v>3498</v>
      </c>
      <c r="E1003" s="2" t="s">
        <v>3499</v>
      </c>
      <c r="F1003" s="2" t="s">
        <v>49</v>
      </c>
      <c r="G1003" s="2" t="s">
        <v>49</v>
      </c>
      <c r="H1003" s="2" t="s">
        <v>50</v>
      </c>
      <c r="I1003" s="2" t="s">
        <v>40</v>
      </c>
      <c r="J1003" s="6"/>
      <c r="K1003" s="2" t="s">
        <v>226</v>
      </c>
      <c r="L1003" s="2" t="s">
        <v>56</v>
      </c>
      <c r="M1003" s="2" t="s">
        <v>227</v>
      </c>
      <c r="N1003" s="2" t="s">
        <v>226</v>
      </c>
      <c r="O1003" s="2"/>
      <c r="P1003" s="7">
        <v>4102.0468891867604</v>
      </c>
      <c r="Q1003" s="6" t="s">
        <v>57</v>
      </c>
      <c r="R1003" s="9">
        <v>0</v>
      </c>
      <c r="S1003" s="2" t="s">
        <v>3500</v>
      </c>
      <c r="T1003" s="9">
        <v>0</v>
      </c>
      <c r="U1003" s="9">
        <v>60</v>
      </c>
      <c r="V1003" s="9">
        <v>142</v>
      </c>
      <c r="W1003" s="9">
        <v>424</v>
      </c>
      <c r="X1003" s="9">
        <v>422</v>
      </c>
      <c r="Y1003" s="9">
        <v>535</v>
      </c>
      <c r="Z1003" s="9">
        <v>756</v>
      </c>
      <c r="AA1003" s="9">
        <v>13260</v>
      </c>
      <c r="AB1003" s="9">
        <v>48</v>
      </c>
      <c r="AC1003" s="9">
        <v>137</v>
      </c>
      <c r="AD1003" s="9">
        <v>281</v>
      </c>
      <c r="AE1003" s="7">
        <v>0</v>
      </c>
      <c r="AF1003" s="7">
        <v>0</v>
      </c>
      <c r="AG1003" s="7">
        <v>3.66182343303929E-05</v>
      </c>
      <c r="AH1003" s="7">
        <v>8.6408017160851994E-05</v>
      </c>
      <c r="AI1003" s="7">
        <v>0.00025765851349968198</v>
      </c>
      <c r="AJ1003" s="7">
        <v>0.00025662787944568402</v>
      </c>
      <c r="AK1003" s="7">
        <v>0.00032530148694615197</v>
      </c>
      <c r="AL1003" s="7">
        <v>0.000459705415079007</v>
      </c>
      <c r="AM1003" s="7">
        <v>0.0080590120605065797</v>
      </c>
      <c r="AN1003" s="7">
        <v>2.9230916161783702E-05</v>
      </c>
      <c r="AO1003" s="7">
        <v>8.2995685183912104E-05</v>
      </c>
      <c r="AP1003" s="7">
        <v>0.00017074948860499201</v>
      </c>
      <c r="AQ1003" s="9">
        <v>0</v>
      </c>
    </row>
    <row r="1004" spans="1:43" ht="15">
      <c r="A1004" s="2" t="s">
        <v>3501</v>
      </c>
      <c r="B1004" s="5">
        <v>6675576</v>
      </c>
      <c r="C1004" s="2" t="s">
        <v>46</v>
      </c>
      <c r="D1004" s="2" t="s">
        <v>3502</v>
      </c>
      <c r="E1004" s="2" t="s">
        <v>3503</v>
      </c>
      <c r="F1004" s="2" t="s">
        <v>49</v>
      </c>
      <c r="G1004" s="2" t="s">
        <v>49</v>
      </c>
      <c r="H1004" s="2" t="s">
        <v>50</v>
      </c>
      <c r="I1004" s="2" t="s">
        <v>40</v>
      </c>
      <c r="J1004" s="6"/>
      <c r="K1004" s="2" t="s">
        <v>982</v>
      </c>
      <c r="L1004" s="2" t="s">
        <v>217</v>
      </c>
      <c r="M1004" s="2" t="s">
        <v>218</v>
      </c>
      <c r="N1004" s="2" t="s">
        <v>982</v>
      </c>
      <c r="O1004" s="2"/>
      <c r="P1004" s="7">
        <v>8.5783401593139406</v>
      </c>
      <c r="Q1004" s="8">
        <v>-2.06282864887392</v>
      </c>
      <c r="R1004" s="9">
        <v>0</v>
      </c>
      <c r="S1004" s="2" t="s">
        <v>3504</v>
      </c>
      <c r="T1004" s="9">
        <v>0</v>
      </c>
      <c r="U1004" s="9">
        <v>0</v>
      </c>
      <c r="V1004" s="9">
        <v>0</v>
      </c>
      <c r="W1004" s="9">
        <v>0</v>
      </c>
      <c r="X1004" s="9">
        <v>0</v>
      </c>
      <c r="Y1004" s="9">
        <v>0</v>
      </c>
      <c r="Z1004" s="9">
        <v>0</v>
      </c>
      <c r="AA1004" s="9">
        <v>1</v>
      </c>
      <c r="AB1004" s="9">
        <v>0</v>
      </c>
      <c r="AC1004" s="9">
        <v>0</v>
      </c>
      <c r="AD1004" s="9">
        <v>0</v>
      </c>
      <c r="AE1004" s="7">
        <v>0</v>
      </c>
      <c r="AF1004" s="7">
        <v>0</v>
      </c>
      <c r="AG1004" s="7">
        <v>0</v>
      </c>
      <c r="AH1004" s="7">
        <v>0</v>
      </c>
      <c r="AI1004" s="7">
        <v>0</v>
      </c>
      <c r="AJ1004" s="7">
        <v>0</v>
      </c>
      <c r="AK1004" s="7">
        <v>0</v>
      </c>
      <c r="AL1004" s="7">
        <v>0</v>
      </c>
      <c r="AM1004" s="7">
        <v>7.4953092068595697E-06</v>
      </c>
      <c r="AN1004" s="7">
        <v>0</v>
      </c>
      <c r="AO1004" s="7">
        <v>0</v>
      </c>
      <c r="AP1004" s="7">
        <v>0</v>
      </c>
      <c r="AQ1004" s="9">
        <v>0</v>
      </c>
    </row>
    <row r="1005" spans="1:43" ht="15">
      <c r="A1005" s="2" t="s">
        <v>3505</v>
      </c>
      <c r="B1005" s="5">
        <v>4354184</v>
      </c>
      <c r="C1005" s="2" t="s">
        <v>46</v>
      </c>
      <c r="D1005" s="2" t="s">
        <v>3506</v>
      </c>
      <c r="E1005" s="2" t="s">
        <v>3507</v>
      </c>
      <c r="F1005" s="2" t="s">
        <v>49</v>
      </c>
      <c r="G1005" s="2" t="s">
        <v>49</v>
      </c>
      <c r="H1005" s="2" t="s">
        <v>50</v>
      </c>
      <c r="I1005" s="2" t="s">
        <v>40</v>
      </c>
      <c r="J1005" s="6"/>
      <c r="K1005" s="2" t="s">
        <v>41</v>
      </c>
      <c r="L1005" s="2" t="s">
        <v>42</v>
      </c>
      <c r="M1005" s="2" t="s">
        <v>43</v>
      </c>
      <c r="N1005" s="2" t="s">
        <v>41</v>
      </c>
      <c r="O1005" s="2"/>
      <c r="P1005" s="7">
        <v>3139.91062858739</v>
      </c>
      <c r="Q1005" s="8">
        <v>2939.44779068047</v>
      </c>
      <c r="R1005" s="9">
        <v>411</v>
      </c>
      <c r="S1005" s="2" t="s">
        <v>3508</v>
      </c>
      <c r="T1005" s="9">
        <v>137</v>
      </c>
      <c r="U1005" s="9">
        <v>173</v>
      </c>
      <c r="V1005" s="9">
        <v>217</v>
      </c>
      <c r="W1005" s="9">
        <v>160</v>
      </c>
      <c r="X1005" s="9">
        <v>159</v>
      </c>
      <c r="Y1005" s="9">
        <v>145</v>
      </c>
      <c r="Z1005" s="9">
        <v>124</v>
      </c>
      <c r="AA1005" s="9">
        <v>126</v>
      </c>
      <c r="AB1005" s="9">
        <v>183</v>
      </c>
      <c r="AC1005" s="9">
        <v>227</v>
      </c>
      <c r="AD1005" s="9">
        <v>166</v>
      </c>
      <c r="AE1005" s="7">
        <v>0.00046071019617867403</v>
      </c>
      <c r="AF1005" s="7">
        <v>0.00015357006539289101</v>
      </c>
      <c r="AG1005" s="7">
        <v>0.00019369071203902699</v>
      </c>
      <c r="AH1005" s="7">
        <v>0.00024287820447117101</v>
      </c>
      <c r="AI1005" s="7">
        <v>0.000178928731542399</v>
      </c>
      <c r="AJ1005" s="7">
        <v>0.00017821301661622999</v>
      </c>
      <c r="AK1005" s="7">
        <v>0.000162876865576072</v>
      </c>
      <c r="AL1005" s="7">
        <v>0.00013894391785094701</v>
      </c>
      <c r="AM1005" s="7">
        <v>0.000141237831532197</v>
      </c>
      <c r="AN1005" s="7">
        <v>0.00020534725115274699</v>
      </c>
      <c r="AO1005" s="7">
        <v>0.00025482303419926099</v>
      </c>
      <c r="AP1005" s="7">
        <v>0.000186086637397732</v>
      </c>
      <c r="AQ1005" s="9">
        <v>522</v>
      </c>
    </row>
    <row r="1006" spans="1:43" ht="15">
      <c r="A1006" s="2" t="s">
        <v>3509</v>
      </c>
      <c r="B1006" s="5">
        <v>4995452</v>
      </c>
      <c r="C1006" s="2" t="s">
        <v>23</v>
      </c>
      <c r="D1006" s="2" t="s">
        <v>3510</v>
      </c>
      <c r="E1006" s="2" t="s">
        <v>3511</v>
      </c>
      <c r="F1006" s="2" t="s">
        <v>26</v>
      </c>
      <c r="G1006" s="2" t="s">
        <v>26</v>
      </c>
      <c r="H1006" s="2" t="s">
        <v>27</v>
      </c>
      <c r="I1006" s="2" t="s">
        <v>28</v>
      </c>
      <c r="J1006" s="10">
        <v>38644</v>
      </c>
      <c r="K1006" s="2" t="s">
        <v>435</v>
      </c>
      <c r="L1006" s="2" t="s">
        <v>182</v>
      </c>
      <c r="M1006" s="2" t="s">
        <v>183</v>
      </c>
      <c r="N1006" s="2" t="s">
        <v>435</v>
      </c>
      <c r="O1006" s="2"/>
      <c r="P1006" s="7">
        <v>1897.0783340606599</v>
      </c>
      <c r="Q1006" s="8">
        <v>3744.8270557967198</v>
      </c>
      <c r="R1006" s="9">
        <v>1632</v>
      </c>
      <c r="S1006" s="2" t="s">
        <v>3512</v>
      </c>
      <c r="T1006" s="9">
        <v>5463</v>
      </c>
      <c r="U1006" s="9">
        <v>40430</v>
      </c>
      <c r="V1006" s="9">
        <v>32176</v>
      </c>
      <c r="W1006" s="9">
        <v>55187</v>
      </c>
      <c r="X1006" s="9">
        <v>55011</v>
      </c>
      <c r="Y1006" s="9">
        <v>74274</v>
      </c>
      <c r="Z1006" s="9">
        <v>87153</v>
      </c>
      <c r="AA1006" s="9">
        <v>92911</v>
      </c>
      <c r="AB1006" s="9">
        <v>41815</v>
      </c>
      <c r="AC1006" s="9">
        <v>26116</v>
      </c>
      <c r="AD1006" s="9">
        <v>38183</v>
      </c>
      <c r="AE1006" s="7">
        <v>0.000759980676746215</v>
      </c>
      <c r="AF1006" s="7">
        <v>0.0025439794344758399</v>
      </c>
      <c r="AG1006" s="7">
        <v>0.018827392005884298</v>
      </c>
      <c r="AH1006" s="7">
        <v>0.014983460559624601</v>
      </c>
      <c r="AI1006" s="7">
        <v>0.0256989973376999</v>
      </c>
      <c r="AJ1006" s="7">
        <v>0.025617190226451099</v>
      </c>
      <c r="AK1006" s="7">
        <v>0.034587631296754698</v>
      </c>
      <c r="AL1006" s="7">
        <v>0.040584988890632098</v>
      </c>
      <c r="AM1006" s="7">
        <v>0.043266147199040303</v>
      </c>
      <c r="AN1006" s="7">
        <v>0.0194723316942618</v>
      </c>
      <c r="AO1006" s="7">
        <v>0.012161774911883</v>
      </c>
      <c r="AP1006" s="7">
        <v>0.017780632864120401</v>
      </c>
      <c r="AQ1006" s="9">
        <v>1225</v>
      </c>
    </row>
    <row r="1007" spans="1:43" ht="15">
      <c r="A1007" s="2" t="s">
        <v>3513</v>
      </c>
      <c r="B1007" s="5">
        <v>138912791</v>
      </c>
      <c r="C1007" s="2" t="s">
        <v>23</v>
      </c>
      <c r="D1007" s="2" t="s">
        <v>3514</v>
      </c>
      <c r="E1007" s="2" t="s">
        <v>3515</v>
      </c>
      <c r="F1007" s="2" t="s">
        <v>26</v>
      </c>
      <c r="G1007" s="2"/>
      <c r="H1007" s="2"/>
      <c r="I1007" s="2" t="s">
        <v>28</v>
      </c>
      <c r="J1007" s="6"/>
      <c r="K1007" s="2" t="s">
        <v>55</v>
      </c>
      <c r="L1007" s="2" t="s">
        <v>56</v>
      </c>
      <c r="M1007" s="2" t="s">
        <v>55</v>
      </c>
      <c r="N1007" s="2"/>
      <c r="O1007" s="2"/>
      <c r="P1007" s="6" t="s">
        <v>57</v>
      </c>
      <c r="Q1007" s="6" t="s">
        <v>57</v>
      </c>
      <c r="R1007" s="9">
        <v>15842</v>
      </c>
      <c r="S1007" s="2"/>
      <c r="T1007" s="9">
        <v>15028</v>
      </c>
      <c r="U1007" s="9">
        <v>16134</v>
      </c>
      <c r="V1007" s="9">
        <v>26913</v>
      </c>
      <c r="W1007" s="9">
        <v>43923</v>
      </c>
      <c r="X1007" s="9">
        <v>43923</v>
      </c>
      <c r="Y1007" s="9">
        <v>43923</v>
      </c>
      <c r="Z1007" s="9">
        <v>43923</v>
      </c>
      <c r="AA1007" s="9">
        <v>43923</v>
      </c>
      <c r="AB1007" s="9">
        <v>17925</v>
      </c>
      <c r="AC1007" s="9">
        <v>27939</v>
      </c>
      <c r="AD1007" s="9">
        <v>26472</v>
      </c>
      <c r="AE1007" s="6" t="s">
        <v>57</v>
      </c>
      <c r="AF1007" s="6" t="s">
        <v>57</v>
      </c>
      <c r="AG1007" s="6" t="s">
        <v>57</v>
      </c>
      <c r="AH1007" s="6" t="s">
        <v>57</v>
      </c>
      <c r="AI1007" s="6" t="s">
        <v>57</v>
      </c>
      <c r="AJ1007" s="6" t="s">
        <v>57</v>
      </c>
      <c r="AK1007" s="6" t="s">
        <v>57</v>
      </c>
      <c r="AL1007" s="6" t="s">
        <v>57</v>
      </c>
      <c r="AM1007" s="6" t="s">
        <v>57</v>
      </c>
      <c r="AN1007" s="6" t="s">
        <v>57</v>
      </c>
      <c r="AO1007" s="6" t="s">
        <v>57</v>
      </c>
      <c r="AP1007" s="6" t="s">
        <v>57</v>
      </c>
      <c r="AQ1007" s="9">
        <v>11335</v>
      </c>
    </row>
    <row r="1008" spans="1:43" ht="15">
      <c r="A1008" s="2" t="s">
        <v>3516</v>
      </c>
      <c r="B1008" s="5">
        <v>117278239</v>
      </c>
      <c r="C1008" s="2" t="s">
        <v>23</v>
      </c>
      <c r="D1008" s="2" t="s">
        <v>3517</v>
      </c>
      <c r="E1008" s="2" t="s">
        <v>3518</v>
      </c>
      <c r="F1008" s="2" t="s">
        <v>26</v>
      </c>
      <c r="G1008" s="2"/>
      <c r="H1008" s="2"/>
      <c r="I1008" s="2" t="s">
        <v>28</v>
      </c>
      <c r="J1008" s="6"/>
      <c r="K1008" s="2" t="s">
        <v>55</v>
      </c>
      <c r="L1008" s="2" t="s">
        <v>56</v>
      </c>
      <c r="M1008" s="2" t="s">
        <v>55</v>
      </c>
      <c r="N1008" s="2"/>
      <c r="O1008" s="2"/>
      <c r="P1008" s="6" t="s">
        <v>57</v>
      </c>
      <c r="Q1008" s="6" t="s">
        <v>57</v>
      </c>
      <c r="R1008" s="6" t="s">
        <v>57</v>
      </c>
      <c r="S1008" s="2"/>
      <c r="T1008" s="6" t="s">
        <v>57</v>
      </c>
      <c r="U1008" s="6" t="s">
        <v>57</v>
      </c>
      <c r="V1008" s="6" t="s">
        <v>57</v>
      </c>
      <c r="W1008" s="6" t="s">
        <v>57</v>
      </c>
      <c r="X1008" s="6" t="s">
        <v>57</v>
      </c>
      <c r="Y1008" s="6" t="s">
        <v>57</v>
      </c>
      <c r="Z1008" s="6" t="s">
        <v>57</v>
      </c>
      <c r="AA1008" s="6" t="s">
        <v>57</v>
      </c>
      <c r="AB1008" s="6" t="s">
        <v>57</v>
      </c>
      <c r="AC1008" s="6" t="s">
        <v>57</v>
      </c>
      <c r="AD1008" s="6" t="s">
        <v>57</v>
      </c>
      <c r="AE1008" s="6" t="s">
        <v>57</v>
      </c>
      <c r="AF1008" s="6" t="s">
        <v>57</v>
      </c>
      <c r="AG1008" s="6" t="s">
        <v>57</v>
      </c>
      <c r="AH1008" s="6" t="s">
        <v>57</v>
      </c>
      <c r="AI1008" s="6" t="s">
        <v>57</v>
      </c>
      <c r="AJ1008" s="6" t="s">
        <v>57</v>
      </c>
      <c r="AK1008" s="6" t="s">
        <v>57</v>
      </c>
      <c r="AL1008" s="6" t="s">
        <v>57</v>
      </c>
      <c r="AM1008" s="6" t="s">
        <v>57</v>
      </c>
      <c r="AN1008" s="6" t="s">
        <v>57</v>
      </c>
      <c r="AO1008" s="6" t="s">
        <v>57</v>
      </c>
      <c r="AP1008" s="6" t="s">
        <v>57</v>
      </c>
      <c r="AQ1008" s="6" t="s">
        <v>57</v>
      </c>
    </row>
    <row r="1009" spans="1:43" ht="15">
      <c r="A1009" s="2" t="s">
        <v>3519</v>
      </c>
      <c r="B1009" s="5">
        <v>111420516</v>
      </c>
      <c r="C1009" s="2" t="s">
        <v>23</v>
      </c>
      <c r="D1009" s="2" t="s">
        <v>3520</v>
      </c>
      <c r="E1009" s="2" t="s">
        <v>3521</v>
      </c>
      <c r="F1009" s="2" t="s">
        <v>26</v>
      </c>
      <c r="G1009" s="2" t="s">
        <v>26</v>
      </c>
      <c r="H1009" s="2" t="s">
        <v>27</v>
      </c>
      <c r="I1009" s="2" t="s">
        <v>28</v>
      </c>
      <c r="J1009" s="6"/>
      <c r="K1009" s="2" t="s">
        <v>55</v>
      </c>
      <c r="L1009" s="2" t="s">
        <v>56</v>
      </c>
      <c r="M1009" s="2" t="s">
        <v>55</v>
      </c>
      <c r="N1009" s="2"/>
      <c r="O1009" s="2"/>
      <c r="P1009" s="6" t="s">
        <v>57</v>
      </c>
      <c r="Q1009" s="6" t="s">
        <v>57</v>
      </c>
      <c r="R1009" s="6" t="s">
        <v>57</v>
      </c>
      <c r="S1009" s="2"/>
      <c r="T1009" s="6" t="s">
        <v>57</v>
      </c>
      <c r="U1009" s="6" t="s">
        <v>57</v>
      </c>
      <c r="V1009" s="6" t="s">
        <v>57</v>
      </c>
      <c r="W1009" s="6" t="s">
        <v>57</v>
      </c>
      <c r="X1009" s="6" t="s">
        <v>57</v>
      </c>
      <c r="Y1009" s="6" t="s">
        <v>57</v>
      </c>
      <c r="Z1009" s="6" t="s">
        <v>57</v>
      </c>
      <c r="AA1009" s="6" t="s">
        <v>57</v>
      </c>
      <c r="AB1009" s="6" t="s">
        <v>57</v>
      </c>
      <c r="AC1009" s="6" t="s">
        <v>57</v>
      </c>
      <c r="AD1009" s="6" t="s">
        <v>57</v>
      </c>
      <c r="AE1009" s="6" t="s">
        <v>57</v>
      </c>
      <c r="AF1009" s="6" t="s">
        <v>57</v>
      </c>
      <c r="AG1009" s="6" t="s">
        <v>57</v>
      </c>
      <c r="AH1009" s="6" t="s">
        <v>57</v>
      </c>
      <c r="AI1009" s="6" t="s">
        <v>57</v>
      </c>
      <c r="AJ1009" s="6" t="s">
        <v>57</v>
      </c>
      <c r="AK1009" s="6" t="s">
        <v>57</v>
      </c>
      <c r="AL1009" s="6" t="s">
        <v>57</v>
      </c>
      <c r="AM1009" s="6" t="s">
        <v>57</v>
      </c>
      <c r="AN1009" s="6" t="s">
        <v>57</v>
      </c>
      <c r="AO1009" s="6" t="s">
        <v>57</v>
      </c>
      <c r="AP1009" s="6" t="s">
        <v>57</v>
      </c>
      <c r="AQ1009" s="6" t="s">
        <v>57</v>
      </c>
    </row>
    <row r="1010" spans="1:43" ht="15">
      <c r="A1010" s="2" t="s">
        <v>3522</v>
      </c>
      <c r="B1010" s="5">
        <v>100420550</v>
      </c>
      <c r="C1010" s="2" t="s">
        <v>23</v>
      </c>
      <c r="D1010" s="2" t="s">
        <v>3523</v>
      </c>
      <c r="E1010" s="2" t="s">
        <v>3524</v>
      </c>
      <c r="F1010" s="2" t="s">
        <v>26</v>
      </c>
      <c r="G1010" s="2" t="s">
        <v>26</v>
      </c>
      <c r="H1010" s="2" t="s">
        <v>27</v>
      </c>
      <c r="I1010" s="2" t="s">
        <v>28</v>
      </c>
      <c r="J1010" s="6"/>
      <c r="K1010" s="2" t="s">
        <v>55</v>
      </c>
      <c r="L1010" s="2" t="s">
        <v>56</v>
      </c>
      <c r="M1010" s="2" t="s">
        <v>55</v>
      </c>
      <c r="N1010" s="2"/>
      <c r="O1010" s="2"/>
      <c r="P1010" s="6" t="s">
        <v>57</v>
      </c>
      <c r="Q1010" s="6" t="s">
        <v>57</v>
      </c>
      <c r="R1010" s="9">
        <v>163181</v>
      </c>
      <c r="S1010" s="2"/>
      <c r="T1010" s="9">
        <v>302431</v>
      </c>
      <c r="U1010" s="9">
        <v>339186</v>
      </c>
      <c r="V1010" s="9">
        <v>285031</v>
      </c>
      <c r="W1010" s="9">
        <v>133155</v>
      </c>
      <c r="X1010" s="9">
        <v>132822</v>
      </c>
      <c r="Y1010" s="9">
        <v>130891</v>
      </c>
      <c r="Z1010" s="9">
        <v>104710</v>
      </c>
      <c r="AA1010" s="9">
        <v>124520</v>
      </c>
      <c r="AB1010" s="9">
        <v>334233</v>
      </c>
      <c r="AC1010" s="9">
        <v>296162</v>
      </c>
      <c r="AD1010" s="9">
        <v>188960</v>
      </c>
      <c r="AE1010" s="6" t="s">
        <v>57</v>
      </c>
      <c r="AF1010" s="6" t="s">
        <v>57</v>
      </c>
      <c r="AG1010" s="6" t="s">
        <v>57</v>
      </c>
      <c r="AH1010" s="6" t="s">
        <v>57</v>
      </c>
      <c r="AI1010" s="6" t="s">
        <v>57</v>
      </c>
      <c r="AJ1010" s="6" t="s">
        <v>57</v>
      </c>
      <c r="AK1010" s="6" t="s">
        <v>57</v>
      </c>
      <c r="AL1010" s="6" t="s">
        <v>57</v>
      </c>
      <c r="AM1010" s="6" t="s">
        <v>57</v>
      </c>
      <c r="AN1010" s="6" t="s">
        <v>57</v>
      </c>
      <c r="AO1010" s="6" t="s">
        <v>57</v>
      </c>
      <c r="AP1010" s="6" t="s">
        <v>57</v>
      </c>
      <c r="AQ1010" s="9">
        <v>286844</v>
      </c>
    </row>
    <row r="1011" spans="1:43" ht="15">
      <c r="A1011" s="2" t="s">
        <v>3525</v>
      </c>
      <c r="B1011" s="5">
        <v>26518573</v>
      </c>
      <c r="C1011" s="2" t="s">
        <v>23</v>
      </c>
      <c r="D1011" s="2" t="s">
        <v>3526</v>
      </c>
      <c r="E1011" s="2" t="s">
        <v>3527</v>
      </c>
      <c r="F1011" s="2" t="s">
        <v>26</v>
      </c>
      <c r="G1011" s="2" t="s">
        <v>26</v>
      </c>
      <c r="H1011" s="2" t="s">
        <v>27</v>
      </c>
      <c r="I1011" s="2" t="s">
        <v>28</v>
      </c>
      <c r="J1011" s="6"/>
      <c r="K1011" s="2" t="s">
        <v>55</v>
      </c>
      <c r="L1011" s="2" t="s">
        <v>56</v>
      </c>
      <c r="M1011" s="2" t="s">
        <v>55</v>
      </c>
      <c r="N1011" s="2"/>
      <c r="O1011" s="2"/>
      <c r="P1011" s="6" t="s">
        <v>57</v>
      </c>
      <c r="Q1011" s="6" t="s">
        <v>57</v>
      </c>
      <c r="R1011" s="9">
        <v>24715</v>
      </c>
      <c r="S1011" s="2"/>
      <c r="T1011" s="9">
        <v>39630</v>
      </c>
      <c r="U1011" s="9">
        <v>32295</v>
      </c>
      <c r="V1011" s="9">
        <v>72889</v>
      </c>
      <c r="W1011" s="9">
        <v>99346</v>
      </c>
      <c r="X1011" s="9">
        <v>99067</v>
      </c>
      <c r="Y1011" s="9">
        <v>87608</v>
      </c>
      <c r="Z1011" s="9">
        <v>85058</v>
      </c>
      <c r="AA1011" s="9">
        <v>65244</v>
      </c>
      <c r="AB1011" s="9">
        <v>31277</v>
      </c>
      <c r="AC1011" s="9">
        <v>73842</v>
      </c>
      <c r="AD1011" s="9">
        <v>80017</v>
      </c>
      <c r="AE1011" s="6" t="s">
        <v>57</v>
      </c>
      <c r="AF1011" s="6" t="s">
        <v>57</v>
      </c>
      <c r="AG1011" s="6" t="s">
        <v>57</v>
      </c>
      <c r="AH1011" s="6" t="s">
        <v>57</v>
      </c>
      <c r="AI1011" s="6" t="s">
        <v>57</v>
      </c>
      <c r="AJ1011" s="6" t="s">
        <v>57</v>
      </c>
      <c r="AK1011" s="6" t="s">
        <v>57</v>
      </c>
      <c r="AL1011" s="6" t="s">
        <v>57</v>
      </c>
      <c r="AM1011" s="6" t="s">
        <v>57</v>
      </c>
      <c r="AN1011" s="6" t="s">
        <v>57</v>
      </c>
      <c r="AO1011" s="6" t="s">
        <v>57</v>
      </c>
      <c r="AP1011" s="6" t="s">
        <v>57</v>
      </c>
      <c r="AQ1011" s="9">
        <v>24009</v>
      </c>
    </row>
    <row r="1012" spans="1:43" ht="15">
      <c r="A1012" s="2" t="s">
        <v>3528</v>
      </c>
      <c r="B1012" s="5">
        <v>27657257</v>
      </c>
      <c r="C1012" s="2" t="s">
        <v>23</v>
      </c>
      <c r="D1012" s="2" t="s">
        <v>3529</v>
      </c>
      <c r="E1012" s="2" t="s">
        <v>3530</v>
      </c>
      <c r="F1012" s="2" t="s">
        <v>26</v>
      </c>
      <c r="G1012" s="2" t="s">
        <v>26</v>
      </c>
      <c r="H1012" s="2" t="s">
        <v>27</v>
      </c>
      <c r="I1012" s="2" t="s">
        <v>28</v>
      </c>
      <c r="J1012" s="6"/>
      <c r="K1012" s="2" t="s">
        <v>55</v>
      </c>
      <c r="L1012" s="2" t="s">
        <v>56</v>
      </c>
      <c r="M1012" s="2" t="s">
        <v>55</v>
      </c>
      <c r="N1012" s="2"/>
      <c r="O1012" s="2"/>
      <c r="P1012" s="7">
        <v>3.3430726983533399</v>
      </c>
      <c r="Q1012" s="6" t="s">
        <v>57</v>
      </c>
      <c r="R1012" s="9">
        <v>0</v>
      </c>
      <c r="S1012" s="2"/>
      <c r="T1012" s="9">
        <v>0</v>
      </c>
      <c r="U1012" s="9">
        <v>0</v>
      </c>
      <c r="V1012" s="9">
        <v>0</v>
      </c>
      <c r="W1012" s="9">
        <v>4</v>
      </c>
      <c r="X1012" s="9">
        <v>4</v>
      </c>
      <c r="Y1012" s="9">
        <v>2</v>
      </c>
      <c r="Z1012" s="9">
        <v>2</v>
      </c>
      <c r="AA1012" s="9">
        <v>1</v>
      </c>
      <c r="AB1012" s="9">
        <v>0</v>
      </c>
      <c r="AC1012" s="9">
        <v>0</v>
      </c>
      <c r="AD1012" s="9">
        <v>4</v>
      </c>
      <c r="AE1012" s="6" t="s">
        <v>57</v>
      </c>
      <c r="AF1012" s="6" t="s">
        <v>57</v>
      </c>
      <c r="AG1012" s="6" t="s">
        <v>57</v>
      </c>
      <c r="AH1012" s="6" t="s">
        <v>57</v>
      </c>
      <c r="AI1012" s="6" t="s">
        <v>57</v>
      </c>
      <c r="AJ1012" s="6" t="s">
        <v>57</v>
      </c>
      <c r="AK1012" s="6" t="s">
        <v>57</v>
      </c>
      <c r="AL1012" s="6" t="s">
        <v>57</v>
      </c>
      <c r="AM1012" s="6" t="s">
        <v>57</v>
      </c>
      <c r="AN1012" s="6" t="s">
        <v>57</v>
      </c>
      <c r="AO1012" s="6" t="s">
        <v>57</v>
      </c>
      <c r="AP1012" s="6" t="s">
        <v>57</v>
      </c>
      <c r="AQ1012" s="9">
        <v>0</v>
      </c>
    </row>
    <row r="1013" spans="1:43" ht="15">
      <c r="A1013" s="2" t="s">
        <v>3531</v>
      </c>
      <c r="B1013" s="5">
        <v>139059909</v>
      </c>
      <c r="C1013" s="2" t="s">
        <v>23</v>
      </c>
      <c r="D1013" s="2" t="s">
        <v>3532</v>
      </c>
      <c r="E1013" s="2" t="s">
        <v>3533</v>
      </c>
      <c r="F1013" s="2" t="s">
        <v>26</v>
      </c>
      <c r="G1013" s="2" t="s">
        <v>26</v>
      </c>
      <c r="H1013" s="2" t="s">
        <v>27</v>
      </c>
      <c r="I1013" s="2" t="s">
        <v>28</v>
      </c>
      <c r="J1013" s="6"/>
      <c r="K1013" s="2" t="s">
        <v>55</v>
      </c>
      <c r="L1013" s="2" t="s">
        <v>56</v>
      </c>
      <c r="M1013" s="2" t="s">
        <v>55</v>
      </c>
      <c r="N1013" s="2"/>
      <c r="O1013" s="2"/>
      <c r="P1013" s="6" t="s">
        <v>57</v>
      </c>
      <c r="Q1013" s="6" t="s">
        <v>57</v>
      </c>
      <c r="R1013" s="9">
        <v>1153815</v>
      </c>
      <c r="S1013" s="2"/>
      <c r="T1013" s="9">
        <v>670505</v>
      </c>
      <c r="U1013" s="9">
        <v>551580</v>
      </c>
      <c r="V1013" s="9">
        <v>551580</v>
      </c>
      <c r="W1013" s="9">
        <v>551580</v>
      </c>
      <c r="X1013" s="9">
        <v>551580</v>
      </c>
      <c r="Y1013" s="9">
        <v>551580</v>
      </c>
      <c r="Z1013" s="9">
        <v>551580</v>
      </c>
      <c r="AA1013" s="9">
        <v>551580</v>
      </c>
      <c r="AB1013" s="9">
        <v>551580</v>
      </c>
      <c r="AC1013" s="9">
        <v>551580</v>
      </c>
      <c r="AD1013" s="9">
        <v>551580</v>
      </c>
      <c r="AE1013" s="6" t="s">
        <v>57</v>
      </c>
      <c r="AF1013" s="6" t="s">
        <v>57</v>
      </c>
      <c r="AG1013" s="6" t="s">
        <v>57</v>
      </c>
      <c r="AH1013" s="6" t="s">
        <v>57</v>
      </c>
      <c r="AI1013" s="6" t="s">
        <v>57</v>
      </c>
      <c r="AJ1013" s="6" t="s">
        <v>57</v>
      </c>
      <c r="AK1013" s="6" t="s">
        <v>57</v>
      </c>
      <c r="AL1013" s="6" t="s">
        <v>57</v>
      </c>
      <c r="AM1013" s="6" t="s">
        <v>57</v>
      </c>
      <c r="AN1013" s="6" t="s">
        <v>57</v>
      </c>
      <c r="AO1013" s="6" t="s">
        <v>57</v>
      </c>
      <c r="AP1013" s="6" t="s">
        <v>57</v>
      </c>
      <c r="AQ1013" s="9">
        <v>368254</v>
      </c>
    </row>
    <row r="1014" spans="1:43" ht="15">
      <c r="A1014" s="2" t="s">
        <v>3534</v>
      </c>
      <c r="B1014" s="5">
        <v>29444708</v>
      </c>
      <c r="C1014" s="2" t="s">
        <v>23</v>
      </c>
      <c r="D1014" s="2" t="s">
        <v>3535</v>
      </c>
      <c r="E1014" s="2" t="s">
        <v>3536</v>
      </c>
      <c r="F1014" s="2" t="s">
        <v>26</v>
      </c>
      <c r="G1014" s="2" t="s">
        <v>26</v>
      </c>
      <c r="H1014" s="2" t="s">
        <v>27</v>
      </c>
      <c r="I1014" s="2" t="s">
        <v>28</v>
      </c>
      <c r="J1014" s="6"/>
      <c r="K1014" s="2" t="s">
        <v>55</v>
      </c>
      <c r="L1014" s="2" t="s">
        <v>56</v>
      </c>
      <c r="M1014" s="2" t="s">
        <v>55</v>
      </c>
      <c r="N1014" s="2"/>
      <c r="O1014" s="2"/>
      <c r="P1014" s="6" t="s">
        <v>57</v>
      </c>
      <c r="Q1014" s="6" t="s">
        <v>57</v>
      </c>
      <c r="R1014" s="9">
        <v>554</v>
      </c>
      <c r="S1014" s="2"/>
      <c r="T1014" s="9">
        <v>185</v>
      </c>
      <c r="U1014" s="9">
        <v>110</v>
      </c>
      <c r="V1014" s="9">
        <v>251</v>
      </c>
      <c r="W1014" s="9">
        <v>104</v>
      </c>
      <c r="X1014" s="9">
        <v>104</v>
      </c>
      <c r="Y1014" s="9">
        <v>66</v>
      </c>
      <c r="Z1014" s="9">
        <v>61</v>
      </c>
      <c r="AA1014" s="9">
        <v>348</v>
      </c>
      <c r="AB1014" s="9">
        <v>125</v>
      </c>
      <c r="AC1014" s="9">
        <v>264</v>
      </c>
      <c r="AD1014" s="9">
        <v>152</v>
      </c>
      <c r="AE1014" s="6" t="s">
        <v>57</v>
      </c>
      <c r="AF1014" s="6" t="s">
        <v>57</v>
      </c>
      <c r="AG1014" s="6" t="s">
        <v>57</v>
      </c>
      <c r="AH1014" s="6" t="s">
        <v>57</v>
      </c>
      <c r="AI1014" s="6" t="s">
        <v>57</v>
      </c>
      <c r="AJ1014" s="6" t="s">
        <v>57</v>
      </c>
      <c r="AK1014" s="6" t="s">
        <v>57</v>
      </c>
      <c r="AL1014" s="6" t="s">
        <v>57</v>
      </c>
      <c r="AM1014" s="6" t="s">
        <v>57</v>
      </c>
      <c r="AN1014" s="6" t="s">
        <v>57</v>
      </c>
      <c r="AO1014" s="6" t="s">
        <v>57</v>
      </c>
      <c r="AP1014" s="6" t="s">
        <v>57</v>
      </c>
      <c r="AQ1014" s="9">
        <v>0</v>
      </c>
    </row>
    <row r="1015" spans="1:43" ht="15">
      <c r="A1015" s="2" t="s">
        <v>3537</v>
      </c>
      <c r="B1015" s="5">
        <v>116648546</v>
      </c>
      <c r="C1015" s="2" t="s">
        <v>23</v>
      </c>
      <c r="D1015" s="2" t="s">
        <v>3535</v>
      </c>
      <c r="E1015" s="2" t="s">
        <v>3538</v>
      </c>
      <c r="F1015" s="2" t="s">
        <v>26</v>
      </c>
      <c r="G1015" s="2" t="s">
        <v>26</v>
      </c>
      <c r="H1015" s="2" t="s">
        <v>27</v>
      </c>
      <c r="I1015" s="2" t="s">
        <v>28</v>
      </c>
      <c r="J1015" s="6"/>
      <c r="K1015" s="2" t="s">
        <v>55</v>
      </c>
      <c r="L1015" s="2" t="s">
        <v>56</v>
      </c>
      <c r="M1015" s="2" t="s">
        <v>55</v>
      </c>
      <c r="N1015" s="2"/>
      <c r="O1015" s="2"/>
      <c r="P1015" s="6" t="s">
        <v>57</v>
      </c>
      <c r="Q1015" s="6" t="s">
        <v>57</v>
      </c>
      <c r="R1015" s="9">
        <v>0</v>
      </c>
      <c r="S1015" s="2"/>
      <c r="T1015" s="9">
        <v>0</v>
      </c>
      <c r="U1015" s="9">
        <v>0</v>
      </c>
      <c r="V1015" s="9">
        <v>0</v>
      </c>
      <c r="W1015" s="9">
        <v>106</v>
      </c>
      <c r="X1015" s="9">
        <v>106</v>
      </c>
      <c r="Y1015" s="9">
        <v>790</v>
      </c>
      <c r="Z1015" s="9">
        <v>1128</v>
      </c>
      <c r="AA1015" s="9">
        <v>1128</v>
      </c>
      <c r="AB1015" s="9">
        <v>0</v>
      </c>
      <c r="AC1015" s="9">
        <v>0</v>
      </c>
      <c r="AD1015" s="9">
        <v>0</v>
      </c>
      <c r="AE1015" s="6" t="s">
        <v>57</v>
      </c>
      <c r="AF1015" s="6" t="s">
        <v>57</v>
      </c>
      <c r="AG1015" s="6" t="s">
        <v>57</v>
      </c>
      <c r="AH1015" s="6" t="s">
        <v>57</v>
      </c>
      <c r="AI1015" s="6" t="s">
        <v>57</v>
      </c>
      <c r="AJ1015" s="6" t="s">
        <v>57</v>
      </c>
      <c r="AK1015" s="6" t="s">
        <v>57</v>
      </c>
      <c r="AL1015" s="6" t="s">
        <v>57</v>
      </c>
      <c r="AM1015" s="6" t="s">
        <v>57</v>
      </c>
      <c r="AN1015" s="6" t="s">
        <v>57</v>
      </c>
      <c r="AO1015" s="6" t="s">
        <v>57</v>
      </c>
      <c r="AP1015" s="6" t="s">
        <v>57</v>
      </c>
      <c r="AQ1015" s="9">
        <v>0</v>
      </c>
    </row>
    <row r="1016" spans="1:43" ht="15">
      <c r="A1016" s="2" t="s">
        <v>3539</v>
      </c>
      <c r="B1016" s="5">
        <v>138698894</v>
      </c>
      <c r="C1016" s="2" t="s">
        <v>23</v>
      </c>
      <c r="D1016" s="2" t="s">
        <v>3540</v>
      </c>
      <c r="E1016" s="2" t="s">
        <v>3541</v>
      </c>
      <c r="F1016" s="2" t="s">
        <v>26</v>
      </c>
      <c r="G1016" s="2"/>
      <c r="H1016" s="2"/>
      <c r="I1016" s="2" t="s">
        <v>28</v>
      </c>
      <c r="J1016" s="6"/>
      <c r="K1016" s="2" t="s">
        <v>55</v>
      </c>
      <c r="L1016" s="2" t="s">
        <v>56</v>
      </c>
      <c r="M1016" s="2" t="s">
        <v>55</v>
      </c>
      <c r="N1016" s="2"/>
      <c r="O1016" s="2"/>
      <c r="P1016" s="6" t="s">
        <v>57</v>
      </c>
      <c r="Q1016" s="6" t="s">
        <v>57</v>
      </c>
      <c r="R1016" s="9">
        <v>0</v>
      </c>
      <c r="S1016" s="2"/>
      <c r="T1016" s="9">
        <v>0</v>
      </c>
      <c r="U1016" s="9">
        <v>18</v>
      </c>
      <c r="V1016" s="9">
        <v>14</v>
      </c>
      <c r="W1016" s="9">
        <v>75</v>
      </c>
      <c r="X1016" s="9">
        <v>75</v>
      </c>
      <c r="Y1016" s="9">
        <v>75</v>
      </c>
      <c r="Z1016" s="9">
        <v>75</v>
      </c>
      <c r="AA1016" s="9">
        <v>75</v>
      </c>
      <c r="AB1016" s="9">
        <v>21</v>
      </c>
      <c r="AC1016" s="9">
        <v>15</v>
      </c>
      <c r="AD1016" s="9">
        <v>23</v>
      </c>
      <c r="AE1016" s="6" t="s">
        <v>57</v>
      </c>
      <c r="AF1016" s="6" t="s">
        <v>57</v>
      </c>
      <c r="AG1016" s="6" t="s">
        <v>57</v>
      </c>
      <c r="AH1016" s="6" t="s">
        <v>57</v>
      </c>
      <c r="AI1016" s="6" t="s">
        <v>57</v>
      </c>
      <c r="AJ1016" s="6" t="s">
        <v>57</v>
      </c>
      <c r="AK1016" s="6" t="s">
        <v>57</v>
      </c>
      <c r="AL1016" s="6" t="s">
        <v>57</v>
      </c>
      <c r="AM1016" s="6" t="s">
        <v>57</v>
      </c>
      <c r="AN1016" s="6" t="s">
        <v>57</v>
      </c>
      <c r="AO1016" s="6" t="s">
        <v>57</v>
      </c>
      <c r="AP1016" s="6" t="s">
        <v>57</v>
      </c>
      <c r="AQ1016" s="9">
        <v>0</v>
      </c>
    </row>
    <row r="1017" spans="1:43" ht="15">
      <c r="A1017" s="2" t="s">
        <v>3542</v>
      </c>
      <c r="B1017" s="5">
        <v>108580912</v>
      </c>
      <c r="C1017" s="2" t="s">
        <v>23</v>
      </c>
      <c r="D1017" s="2" t="s">
        <v>3543</v>
      </c>
      <c r="E1017" s="2" t="s">
        <v>3544</v>
      </c>
      <c r="F1017" s="2" t="s">
        <v>26</v>
      </c>
      <c r="G1017" s="2" t="s">
        <v>26</v>
      </c>
      <c r="H1017" s="2" t="s">
        <v>27</v>
      </c>
      <c r="I1017" s="2" t="s">
        <v>28</v>
      </c>
      <c r="J1017" s="6"/>
      <c r="K1017" s="2" t="s">
        <v>55</v>
      </c>
      <c r="L1017" s="2" t="s">
        <v>56</v>
      </c>
      <c r="M1017" s="2" t="s">
        <v>55</v>
      </c>
      <c r="N1017" s="2"/>
      <c r="O1017" s="2"/>
      <c r="P1017" s="6" t="s">
        <v>57</v>
      </c>
      <c r="Q1017" s="6" t="s">
        <v>57</v>
      </c>
      <c r="R1017" s="9">
        <v>0</v>
      </c>
      <c r="S1017" s="2"/>
      <c r="T1017" s="9">
        <v>0</v>
      </c>
      <c r="U1017" s="9">
        <v>1</v>
      </c>
      <c r="V1017" s="9">
        <v>0</v>
      </c>
      <c r="W1017" s="9">
        <v>0</v>
      </c>
      <c r="X1017" s="9">
        <v>0</v>
      </c>
      <c r="Y1017" s="9">
        <v>0</v>
      </c>
      <c r="Z1017" s="9">
        <v>1</v>
      </c>
      <c r="AA1017" s="9">
        <v>14</v>
      </c>
      <c r="AB1017" s="9">
        <v>1</v>
      </c>
      <c r="AC1017" s="9">
        <v>0</v>
      </c>
      <c r="AD1017" s="9">
        <v>0</v>
      </c>
      <c r="AE1017" s="6" t="s">
        <v>57</v>
      </c>
      <c r="AF1017" s="6" t="s">
        <v>57</v>
      </c>
      <c r="AG1017" s="6" t="s">
        <v>57</v>
      </c>
      <c r="AH1017" s="6" t="s">
        <v>57</v>
      </c>
      <c r="AI1017" s="6" t="s">
        <v>57</v>
      </c>
      <c r="AJ1017" s="6" t="s">
        <v>57</v>
      </c>
      <c r="AK1017" s="6" t="s">
        <v>57</v>
      </c>
      <c r="AL1017" s="6" t="s">
        <v>57</v>
      </c>
      <c r="AM1017" s="6" t="s">
        <v>57</v>
      </c>
      <c r="AN1017" s="6" t="s">
        <v>57</v>
      </c>
      <c r="AO1017" s="6" t="s">
        <v>57</v>
      </c>
      <c r="AP1017" s="6" t="s">
        <v>57</v>
      </c>
      <c r="AQ1017" s="9">
        <v>0</v>
      </c>
    </row>
    <row r="1018" spans="1:43" ht="15">
      <c r="A1018" s="2" t="s">
        <v>3545</v>
      </c>
      <c r="B1018" s="5">
        <v>108455085</v>
      </c>
      <c r="C1018" s="2" t="s">
        <v>23</v>
      </c>
      <c r="D1018" s="2" t="s">
        <v>3546</v>
      </c>
      <c r="E1018" s="2" t="s">
        <v>3547</v>
      </c>
      <c r="F1018" s="2" t="s">
        <v>26</v>
      </c>
      <c r="G1018" s="2"/>
      <c r="H1018" s="2"/>
      <c r="I1018" s="2" t="s">
        <v>28</v>
      </c>
      <c r="J1018" s="6"/>
      <c r="K1018" s="2" t="s">
        <v>55</v>
      </c>
      <c r="L1018" s="2" t="s">
        <v>56</v>
      </c>
      <c r="M1018" s="2" t="s">
        <v>55</v>
      </c>
      <c r="N1018" s="2"/>
      <c r="O1018" s="2"/>
      <c r="P1018" s="6" t="s">
        <v>57</v>
      </c>
      <c r="Q1018" s="6" t="s">
        <v>57</v>
      </c>
      <c r="R1018" s="9">
        <v>0</v>
      </c>
      <c r="S1018" s="2"/>
      <c r="T1018" s="9">
        <v>0</v>
      </c>
      <c r="U1018" s="9">
        <v>0</v>
      </c>
      <c r="V1018" s="9">
        <v>0</v>
      </c>
      <c r="W1018" s="9">
        <v>27</v>
      </c>
      <c r="X1018" s="9">
        <v>27</v>
      </c>
      <c r="Y1018" s="9">
        <v>55</v>
      </c>
      <c r="Z1018" s="9">
        <v>542</v>
      </c>
      <c r="AA1018" s="9">
        <v>859</v>
      </c>
      <c r="AB1018" s="9">
        <v>0</v>
      </c>
      <c r="AC1018" s="9">
        <v>0</v>
      </c>
      <c r="AD1018" s="9">
        <v>25</v>
      </c>
      <c r="AE1018" s="6" t="s">
        <v>57</v>
      </c>
      <c r="AF1018" s="6" t="s">
        <v>57</v>
      </c>
      <c r="AG1018" s="6" t="s">
        <v>57</v>
      </c>
      <c r="AH1018" s="6" t="s">
        <v>57</v>
      </c>
      <c r="AI1018" s="6" t="s">
        <v>57</v>
      </c>
      <c r="AJ1018" s="6" t="s">
        <v>57</v>
      </c>
      <c r="AK1018" s="6" t="s">
        <v>57</v>
      </c>
      <c r="AL1018" s="6" t="s">
        <v>57</v>
      </c>
      <c r="AM1018" s="6" t="s">
        <v>57</v>
      </c>
      <c r="AN1018" s="6" t="s">
        <v>57</v>
      </c>
      <c r="AO1018" s="6" t="s">
        <v>57</v>
      </c>
      <c r="AP1018" s="6" t="s">
        <v>57</v>
      </c>
      <c r="AQ1018" s="9">
        <v>0</v>
      </c>
    </row>
    <row r="1019" spans="1:43" ht="15">
      <c r="A1019" s="2" t="s">
        <v>3548</v>
      </c>
      <c r="B1019" s="5">
        <v>24556218</v>
      </c>
      <c r="C1019" s="2" t="s">
        <v>23</v>
      </c>
      <c r="D1019" s="2" t="s">
        <v>3549</v>
      </c>
      <c r="E1019" s="2" t="s">
        <v>3550</v>
      </c>
      <c r="F1019" s="2" t="s">
        <v>26</v>
      </c>
      <c r="G1019" s="2" t="s">
        <v>26</v>
      </c>
      <c r="H1019" s="2" t="s">
        <v>27</v>
      </c>
      <c r="I1019" s="2" t="s">
        <v>28</v>
      </c>
      <c r="J1019" s="6"/>
      <c r="K1019" s="2" t="s">
        <v>55</v>
      </c>
      <c r="L1019" s="2" t="s">
        <v>56</v>
      </c>
      <c r="M1019" s="2" t="s">
        <v>55</v>
      </c>
      <c r="N1019" s="2"/>
      <c r="O1019" s="2"/>
      <c r="P1019" s="6" t="s">
        <v>57</v>
      </c>
      <c r="Q1019" s="6" t="s">
        <v>57</v>
      </c>
      <c r="R1019" s="9">
        <v>0</v>
      </c>
      <c r="S1019" s="2"/>
      <c r="T1019" s="9">
        <v>0</v>
      </c>
      <c r="U1019" s="9">
        <v>0</v>
      </c>
      <c r="V1019" s="9">
        <v>1</v>
      </c>
      <c r="W1019" s="9">
        <v>0</v>
      </c>
      <c r="X1019" s="9">
        <v>0</v>
      </c>
      <c r="Y1019" s="9">
        <v>0</v>
      </c>
      <c r="Z1019" s="9">
        <v>0</v>
      </c>
      <c r="AA1019" s="9">
        <v>2</v>
      </c>
      <c r="AB1019" s="9">
        <v>0</v>
      </c>
      <c r="AC1019" s="9">
        <v>1</v>
      </c>
      <c r="AD1019" s="9">
        <v>0</v>
      </c>
      <c r="AE1019" s="6" t="s">
        <v>57</v>
      </c>
      <c r="AF1019" s="6" t="s">
        <v>57</v>
      </c>
      <c r="AG1019" s="6" t="s">
        <v>57</v>
      </c>
      <c r="AH1019" s="6" t="s">
        <v>57</v>
      </c>
      <c r="AI1019" s="6" t="s">
        <v>57</v>
      </c>
      <c r="AJ1019" s="6" t="s">
        <v>57</v>
      </c>
      <c r="AK1019" s="6" t="s">
        <v>57</v>
      </c>
      <c r="AL1019" s="6" t="s">
        <v>57</v>
      </c>
      <c r="AM1019" s="6" t="s">
        <v>57</v>
      </c>
      <c r="AN1019" s="6" t="s">
        <v>57</v>
      </c>
      <c r="AO1019" s="6" t="s">
        <v>57</v>
      </c>
      <c r="AP1019" s="6" t="s">
        <v>57</v>
      </c>
      <c r="AQ1019" s="9">
        <v>0</v>
      </c>
    </row>
    <row r="1020" spans="1:43" ht="15">
      <c r="A1020" s="2" t="s">
        <v>3551</v>
      </c>
      <c r="B1020" s="5">
        <v>24798194</v>
      </c>
      <c r="C1020" s="2" t="s">
        <v>23</v>
      </c>
      <c r="D1020" s="2" t="s">
        <v>3552</v>
      </c>
      <c r="E1020" s="2" t="s">
        <v>3553</v>
      </c>
      <c r="F1020" s="2" t="s">
        <v>26</v>
      </c>
      <c r="G1020" s="2" t="s">
        <v>26</v>
      </c>
      <c r="H1020" s="2" t="s">
        <v>27</v>
      </c>
      <c r="I1020" s="2" t="s">
        <v>28</v>
      </c>
      <c r="J1020" s="6"/>
      <c r="K1020" s="2" t="s">
        <v>55</v>
      </c>
      <c r="L1020" s="2" t="s">
        <v>56</v>
      </c>
      <c r="M1020" s="2" t="s">
        <v>55</v>
      </c>
      <c r="N1020" s="2"/>
      <c r="O1020" s="2"/>
      <c r="P1020" s="6" t="s">
        <v>57</v>
      </c>
      <c r="Q1020" s="6" t="s">
        <v>57</v>
      </c>
      <c r="R1020" s="6" t="s">
        <v>57</v>
      </c>
      <c r="S1020" s="2"/>
      <c r="T1020" s="6" t="s">
        <v>57</v>
      </c>
      <c r="U1020" s="6" t="s">
        <v>57</v>
      </c>
      <c r="V1020" s="6" t="s">
        <v>57</v>
      </c>
      <c r="W1020" s="6" t="s">
        <v>57</v>
      </c>
      <c r="X1020" s="6" t="s">
        <v>57</v>
      </c>
      <c r="Y1020" s="6" t="s">
        <v>57</v>
      </c>
      <c r="Z1020" s="6" t="s">
        <v>57</v>
      </c>
      <c r="AA1020" s="6" t="s">
        <v>57</v>
      </c>
      <c r="AB1020" s="6" t="s">
        <v>57</v>
      </c>
      <c r="AC1020" s="6" t="s">
        <v>57</v>
      </c>
      <c r="AD1020" s="6" t="s">
        <v>57</v>
      </c>
      <c r="AE1020" s="6" t="s">
        <v>57</v>
      </c>
      <c r="AF1020" s="6" t="s">
        <v>57</v>
      </c>
      <c r="AG1020" s="6" t="s">
        <v>57</v>
      </c>
      <c r="AH1020" s="6" t="s">
        <v>57</v>
      </c>
      <c r="AI1020" s="6" t="s">
        <v>57</v>
      </c>
      <c r="AJ1020" s="6" t="s">
        <v>57</v>
      </c>
      <c r="AK1020" s="6" t="s">
        <v>57</v>
      </c>
      <c r="AL1020" s="6" t="s">
        <v>57</v>
      </c>
      <c r="AM1020" s="6" t="s">
        <v>57</v>
      </c>
      <c r="AN1020" s="6" t="s">
        <v>57</v>
      </c>
      <c r="AO1020" s="6" t="s">
        <v>57</v>
      </c>
      <c r="AP1020" s="6" t="s">
        <v>57</v>
      </c>
      <c r="AQ1020" s="6" t="s">
        <v>57</v>
      </c>
    </row>
    <row r="1021" spans="1:43" ht="15">
      <c r="A1021" s="2" t="s">
        <v>3554</v>
      </c>
      <c r="B1021" s="5">
        <v>19739647</v>
      </c>
      <c r="C1021" s="2" t="s">
        <v>23</v>
      </c>
      <c r="D1021" s="2" t="s">
        <v>3555</v>
      </c>
      <c r="E1021" s="2" t="s">
        <v>3556</v>
      </c>
      <c r="F1021" s="2" t="s">
        <v>26</v>
      </c>
      <c r="G1021" s="2" t="s">
        <v>26</v>
      </c>
      <c r="H1021" s="2" t="s">
        <v>27</v>
      </c>
      <c r="I1021" s="2" t="s">
        <v>28</v>
      </c>
      <c r="J1021" s="6"/>
      <c r="K1021" s="2" t="s">
        <v>55</v>
      </c>
      <c r="L1021" s="2" t="s">
        <v>56</v>
      </c>
      <c r="M1021" s="2" t="s">
        <v>55</v>
      </c>
      <c r="N1021" s="2"/>
      <c r="O1021" s="2"/>
      <c r="P1021" s="7">
        <v>40.950836362250399</v>
      </c>
      <c r="Q1021" s="6" t="s">
        <v>57</v>
      </c>
      <c r="R1021" s="9">
        <v>0</v>
      </c>
      <c r="S1021" s="2"/>
      <c r="T1021" s="9">
        <v>0</v>
      </c>
      <c r="U1021" s="9">
        <v>0</v>
      </c>
      <c r="V1021" s="9">
        <v>7</v>
      </c>
      <c r="W1021" s="9">
        <v>2</v>
      </c>
      <c r="X1021" s="9">
        <v>2</v>
      </c>
      <c r="Y1021" s="9">
        <v>1</v>
      </c>
      <c r="Z1021" s="9">
        <v>5</v>
      </c>
      <c r="AA1021" s="9">
        <v>17</v>
      </c>
      <c r="AB1021" s="9">
        <v>0</v>
      </c>
      <c r="AC1021" s="9">
        <v>8</v>
      </c>
      <c r="AD1021" s="9">
        <v>4</v>
      </c>
      <c r="AE1021" s="6" t="s">
        <v>57</v>
      </c>
      <c r="AF1021" s="6" t="s">
        <v>57</v>
      </c>
      <c r="AG1021" s="6" t="s">
        <v>57</v>
      </c>
      <c r="AH1021" s="6" t="s">
        <v>57</v>
      </c>
      <c r="AI1021" s="6" t="s">
        <v>57</v>
      </c>
      <c r="AJ1021" s="6" t="s">
        <v>57</v>
      </c>
      <c r="AK1021" s="6" t="s">
        <v>57</v>
      </c>
      <c r="AL1021" s="6" t="s">
        <v>57</v>
      </c>
      <c r="AM1021" s="6" t="s">
        <v>57</v>
      </c>
      <c r="AN1021" s="6" t="s">
        <v>57</v>
      </c>
      <c r="AO1021" s="6" t="s">
        <v>57</v>
      </c>
      <c r="AP1021" s="6" t="s">
        <v>57</v>
      </c>
      <c r="AQ1021" s="9">
        <v>0</v>
      </c>
    </row>
    <row r="1022" spans="1:43" ht="15">
      <c r="A1022" s="2" t="s">
        <v>3557</v>
      </c>
      <c r="B1022" s="5">
        <v>5731599</v>
      </c>
      <c r="C1022" s="2" t="s">
        <v>23</v>
      </c>
      <c r="D1022" s="2" t="s">
        <v>3558</v>
      </c>
      <c r="E1022" s="2" t="s">
        <v>3559</v>
      </c>
      <c r="F1022" s="2" t="s">
        <v>26</v>
      </c>
      <c r="G1022" s="2" t="s">
        <v>26</v>
      </c>
      <c r="H1022" s="2" t="s">
        <v>27</v>
      </c>
      <c r="I1022" s="2" t="s">
        <v>28</v>
      </c>
      <c r="J1022" s="6"/>
      <c r="K1022" s="2" t="s">
        <v>55</v>
      </c>
      <c r="L1022" s="2" t="s">
        <v>56</v>
      </c>
      <c r="M1022" s="2" t="s">
        <v>55</v>
      </c>
      <c r="N1022" s="2"/>
      <c r="O1022" s="2"/>
      <c r="P1022" s="7">
        <v>21.3824944563742</v>
      </c>
      <c r="Q1022" s="6" t="s">
        <v>57</v>
      </c>
      <c r="R1022" s="9">
        <v>0</v>
      </c>
      <c r="S1022" s="2"/>
      <c r="T1022" s="9">
        <v>0</v>
      </c>
      <c r="U1022" s="9">
        <v>0</v>
      </c>
      <c r="V1022" s="9">
        <v>0</v>
      </c>
      <c r="W1022" s="9">
        <v>0</v>
      </c>
      <c r="X1022" s="9">
        <v>0</v>
      </c>
      <c r="Y1022" s="9">
        <v>0</v>
      </c>
      <c r="Z1022" s="9">
        <v>56</v>
      </c>
      <c r="AA1022" s="9">
        <v>39</v>
      </c>
      <c r="AB1022" s="9">
        <v>0</v>
      </c>
      <c r="AC1022" s="9">
        <v>0</v>
      </c>
      <c r="AD1022" s="9">
        <v>0</v>
      </c>
      <c r="AE1022" s="6" t="s">
        <v>57</v>
      </c>
      <c r="AF1022" s="6" t="s">
        <v>57</v>
      </c>
      <c r="AG1022" s="6" t="s">
        <v>57</v>
      </c>
      <c r="AH1022" s="6" t="s">
        <v>57</v>
      </c>
      <c r="AI1022" s="6" t="s">
        <v>57</v>
      </c>
      <c r="AJ1022" s="6" t="s">
        <v>57</v>
      </c>
      <c r="AK1022" s="6" t="s">
        <v>57</v>
      </c>
      <c r="AL1022" s="6" t="s">
        <v>57</v>
      </c>
      <c r="AM1022" s="6" t="s">
        <v>57</v>
      </c>
      <c r="AN1022" s="6" t="s">
        <v>57</v>
      </c>
      <c r="AO1022" s="6" t="s">
        <v>57</v>
      </c>
      <c r="AP1022" s="6" t="s">
        <v>57</v>
      </c>
      <c r="AQ1022" s="9">
        <v>0</v>
      </c>
    </row>
    <row r="1023" spans="1:43" ht="15">
      <c r="A1023" s="2" t="s">
        <v>3560</v>
      </c>
      <c r="B1023" s="5">
        <v>5228647</v>
      </c>
      <c r="C1023" s="2" t="s">
        <v>23</v>
      </c>
      <c r="D1023" s="2" t="s">
        <v>3561</v>
      </c>
      <c r="E1023" s="2" t="s">
        <v>3562</v>
      </c>
      <c r="F1023" s="2" t="s">
        <v>26</v>
      </c>
      <c r="G1023" s="2" t="s">
        <v>26</v>
      </c>
      <c r="H1023" s="2" t="s">
        <v>27</v>
      </c>
      <c r="I1023" s="2" t="s">
        <v>28</v>
      </c>
      <c r="J1023" s="6"/>
      <c r="K1023" s="2" t="s">
        <v>2365</v>
      </c>
      <c r="L1023" s="2" t="s">
        <v>30</v>
      </c>
      <c r="M1023" s="2" t="s">
        <v>31</v>
      </c>
      <c r="N1023" s="2" t="s">
        <v>241</v>
      </c>
      <c r="O1023" s="2" t="s">
        <v>2365</v>
      </c>
      <c r="P1023" s="7">
        <v>828.70538090203195</v>
      </c>
      <c r="Q1023" s="8">
        <v>2061.9378442960801</v>
      </c>
      <c r="R1023" s="9">
        <v>7293448</v>
      </c>
      <c r="S1023" s="2" t="s">
        <v>3563</v>
      </c>
      <c r="T1023" s="9">
        <v>10027053</v>
      </c>
      <c r="U1023" s="9">
        <v>20512201</v>
      </c>
      <c r="V1023" s="9">
        <v>14261926</v>
      </c>
      <c r="W1023" s="9">
        <v>12530497</v>
      </c>
      <c r="X1023" s="9">
        <v>12500520</v>
      </c>
      <c r="Y1023" s="9">
        <v>12042518</v>
      </c>
      <c r="Z1023" s="9">
        <v>10693980</v>
      </c>
      <c r="AA1023" s="9">
        <v>8386994</v>
      </c>
      <c r="AB1023" s="9">
        <v>22970081</v>
      </c>
      <c r="AC1023" s="9">
        <v>14034932</v>
      </c>
      <c r="AD1023" s="9">
        <v>12804559</v>
      </c>
      <c r="AE1023" s="7">
        <v>0.63392479469426599</v>
      </c>
      <c r="AF1023" s="7">
        <v>0.871521636798682</v>
      </c>
      <c r="AG1023" s="7">
        <v>1.78285958474905</v>
      </c>
      <c r="AH1023" s="7">
        <v>1.23960421649337</v>
      </c>
      <c r="AI1023" s="7">
        <v>1.08911360136258</v>
      </c>
      <c r="AJ1023" s="7">
        <v>1.08650810825626</v>
      </c>
      <c r="AK1023" s="7">
        <v>1.04669989856032</v>
      </c>
      <c r="AL1023" s="7">
        <v>0.92948902138950595</v>
      </c>
      <c r="AM1023" s="7">
        <v>0.72897261506378896</v>
      </c>
      <c r="AN1023" s="7">
        <v>1.99649120549301</v>
      </c>
      <c r="AO1023" s="7">
        <v>1.2198746019442199</v>
      </c>
      <c r="AP1023" s="7">
        <v>1.1129342021723601</v>
      </c>
      <c r="AQ1023" s="9">
        <v>10169976</v>
      </c>
    </row>
    <row r="1024" spans="1:43" ht="15">
      <c r="A1024" s="2" t="s">
        <v>3564</v>
      </c>
      <c r="B1024" s="5">
        <v>4912289</v>
      </c>
      <c r="C1024" s="2" t="s">
        <v>23</v>
      </c>
      <c r="D1024" s="2" t="s">
        <v>3565</v>
      </c>
      <c r="E1024" s="2" t="s">
        <v>3566</v>
      </c>
      <c r="F1024" s="2" t="s">
        <v>26</v>
      </c>
      <c r="G1024" s="2" t="s">
        <v>26</v>
      </c>
      <c r="H1024" s="2" t="s">
        <v>27</v>
      </c>
      <c r="I1024" s="2" t="s">
        <v>40</v>
      </c>
      <c r="J1024" s="6"/>
      <c r="K1024" s="2" t="s">
        <v>211</v>
      </c>
      <c r="L1024" s="2" t="s">
        <v>30</v>
      </c>
      <c r="M1024" s="2" t="s">
        <v>189</v>
      </c>
      <c r="N1024" s="2" t="s">
        <v>211</v>
      </c>
      <c r="O1024" s="2"/>
      <c r="P1024" s="7">
        <v>23.846944000000001</v>
      </c>
      <c r="Q1024" s="8">
        <v>62.185545794559999</v>
      </c>
      <c r="R1024" s="9">
        <v>0</v>
      </c>
      <c r="S1024" s="2" t="s">
        <v>3567</v>
      </c>
      <c r="T1024" s="9">
        <v>0</v>
      </c>
      <c r="U1024" s="9">
        <v>92</v>
      </c>
      <c r="V1024" s="9">
        <v>264</v>
      </c>
      <c r="W1024" s="9">
        <v>156</v>
      </c>
      <c r="X1024" s="9">
        <v>155</v>
      </c>
      <c r="Y1024" s="9">
        <v>81</v>
      </c>
      <c r="Z1024" s="9">
        <v>55</v>
      </c>
      <c r="AA1024" s="9">
        <v>52</v>
      </c>
      <c r="AB1024" s="9">
        <v>81</v>
      </c>
      <c r="AC1024" s="9">
        <v>277</v>
      </c>
      <c r="AD1024" s="9">
        <v>146</v>
      </c>
      <c r="AE1024" s="7">
        <v>0</v>
      </c>
      <c r="AF1024" s="7">
        <v>0</v>
      </c>
      <c r="AG1024" s="7">
        <v>0.0041818181818181798</v>
      </c>
      <c r="AH1024" s="7">
        <v>0.0119836647727273</v>
      </c>
      <c r="AI1024" s="7">
        <v>0.0070854326396495096</v>
      </c>
      <c r="AJ1024" s="7">
        <v>0.0070570909090909104</v>
      </c>
      <c r="AK1024" s="7">
        <v>0.0036845619169562798</v>
      </c>
      <c r="AL1024" s="7">
        <v>0.00249153058737509</v>
      </c>
      <c r="AM1024" s="7">
        <v>0.0023699890470974799</v>
      </c>
      <c r="AN1024" s="7">
        <v>0.0036969696969696999</v>
      </c>
      <c r="AO1024" s="7">
        <v>0.0125730253353204</v>
      </c>
      <c r="AP1024" s="7">
        <v>0.0066198680351906196</v>
      </c>
      <c r="AQ1024" s="9">
        <v>0</v>
      </c>
    </row>
    <row r="1025" spans="1:43" ht="15">
      <c r="A1025" s="2" t="s">
        <v>3568</v>
      </c>
      <c r="B1025" s="5">
        <v>4996206</v>
      </c>
      <c r="C1025" s="2" t="s">
        <v>23</v>
      </c>
      <c r="D1025" s="2" t="s">
        <v>3569</v>
      </c>
      <c r="E1025" s="2" t="s">
        <v>3570</v>
      </c>
      <c r="F1025" s="2" t="s">
        <v>26</v>
      </c>
      <c r="G1025" s="2" t="s">
        <v>26</v>
      </c>
      <c r="H1025" s="2" t="s">
        <v>27</v>
      </c>
      <c r="I1025" s="2" t="s">
        <v>28</v>
      </c>
      <c r="J1025" s="6"/>
      <c r="K1025" s="2" t="s">
        <v>1052</v>
      </c>
      <c r="L1025" s="2" t="s">
        <v>30</v>
      </c>
      <c r="M1025" s="2" t="s">
        <v>424</v>
      </c>
      <c r="N1025" s="2" t="s">
        <v>1052</v>
      </c>
      <c r="O1025" s="2"/>
      <c r="P1025" s="7">
        <v>71.540831999999995</v>
      </c>
      <c r="Q1025" s="8">
        <v>71.539509578560001</v>
      </c>
      <c r="R1025" s="9">
        <v>0</v>
      </c>
      <c r="S1025" s="2" t="s">
        <v>3571</v>
      </c>
      <c r="T1025" s="9">
        <v>0</v>
      </c>
      <c r="U1025" s="9">
        <v>0</v>
      </c>
      <c r="V1025" s="9">
        <v>0</v>
      </c>
      <c r="W1025" s="9">
        <v>0</v>
      </c>
      <c r="X1025" s="9">
        <v>0</v>
      </c>
      <c r="Y1025" s="9">
        <v>0</v>
      </c>
      <c r="Z1025" s="9">
        <v>0</v>
      </c>
      <c r="AA1025" s="9">
        <v>0</v>
      </c>
      <c r="AB1025" s="9">
        <v>0</v>
      </c>
      <c r="AC1025" s="9">
        <v>0</v>
      </c>
      <c r="AD1025" s="9">
        <v>0</v>
      </c>
      <c r="AE1025" s="7">
        <v>0</v>
      </c>
      <c r="AF1025" s="7">
        <v>0</v>
      </c>
      <c r="AG1025" s="7">
        <v>0</v>
      </c>
      <c r="AH1025" s="7">
        <v>0.00260416666666667</v>
      </c>
      <c r="AI1025" s="7">
        <v>0.00133868808567604</v>
      </c>
      <c r="AJ1025" s="7">
        <v>0.00133333333333333</v>
      </c>
      <c r="AK1025" s="7">
        <v>0.0067069081153588199</v>
      </c>
      <c r="AL1025" s="7">
        <v>0.0080428954423592495</v>
      </c>
      <c r="AM1025" s="7">
        <v>0.012985274431057601</v>
      </c>
      <c r="AN1025" s="7">
        <v>0</v>
      </c>
      <c r="AO1025" s="7">
        <v>0</v>
      </c>
      <c r="AP1025" s="7">
        <v>0.0013440860215053799</v>
      </c>
      <c r="AQ1025" s="9">
        <v>0</v>
      </c>
    </row>
    <row r="1026" spans="1:43" ht="15">
      <c r="A1026" s="2" t="s">
        <v>3572</v>
      </c>
      <c r="B1026" s="5">
        <v>4863432</v>
      </c>
      <c r="C1026" s="2" t="s">
        <v>23</v>
      </c>
      <c r="D1026" s="2" t="s">
        <v>3573</v>
      </c>
      <c r="E1026" s="2" t="s">
        <v>3574</v>
      </c>
      <c r="F1026" s="2" t="s">
        <v>26</v>
      </c>
      <c r="G1026" s="2" t="s">
        <v>26</v>
      </c>
      <c r="H1026" s="2" t="s">
        <v>27</v>
      </c>
      <c r="I1026" s="2" t="s">
        <v>28</v>
      </c>
      <c r="J1026" s="6"/>
      <c r="K1026" s="2" t="s">
        <v>98</v>
      </c>
      <c r="L1026" s="2" t="s">
        <v>99</v>
      </c>
      <c r="M1026" s="2" t="s">
        <v>100</v>
      </c>
      <c r="N1026" s="2" t="s">
        <v>98</v>
      </c>
      <c r="O1026" s="2"/>
      <c r="P1026" s="7">
        <v>21.4622496</v>
      </c>
      <c r="Q1026" s="8">
        <v>21.383582867552001</v>
      </c>
      <c r="R1026" s="9">
        <v>0</v>
      </c>
      <c r="S1026" s="2" t="s">
        <v>3575</v>
      </c>
      <c r="T1026" s="9">
        <v>0</v>
      </c>
      <c r="U1026" s="9">
        <v>0</v>
      </c>
      <c r="V1026" s="9">
        <v>0</v>
      </c>
      <c r="W1026" s="9">
        <v>0</v>
      </c>
      <c r="X1026" s="9">
        <v>0</v>
      </c>
      <c r="Y1026" s="9">
        <v>0</v>
      </c>
      <c r="Z1026" s="9">
        <v>0</v>
      </c>
      <c r="AA1026" s="9">
        <v>0</v>
      </c>
      <c r="AB1026" s="9">
        <v>0</v>
      </c>
      <c r="AC1026" s="9">
        <v>0</v>
      </c>
      <c r="AD1026" s="9">
        <v>0</v>
      </c>
      <c r="AE1026" s="6" t="s">
        <v>57</v>
      </c>
      <c r="AF1026" s="6" t="s">
        <v>57</v>
      </c>
      <c r="AG1026" s="6" t="s">
        <v>57</v>
      </c>
      <c r="AH1026" s="6" t="s">
        <v>57</v>
      </c>
      <c r="AI1026" s="6" t="s">
        <v>57</v>
      </c>
      <c r="AJ1026" s="6" t="s">
        <v>57</v>
      </c>
      <c r="AK1026" s="6" t="s">
        <v>57</v>
      </c>
      <c r="AL1026" s="6" t="s">
        <v>57</v>
      </c>
      <c r="AM1026" s="6" t="s">
        <v>57</v>
      </c>
      <c r="AN1026" s="6" t="s">
        <v>57</v>
      </c>
      <c r="AO1026" s="6" t="s">
        <v>57</v>
      </c>
      <c r="AP1026" s="6" t="s">
        <v>57</v>
      </c>
      <c r="AQ1026" s="9">
        <v>0</v>
      </c>
    </row>
    <row r="1027" spans="1:43" ht="15">
      <c r="A1027" s="2" t="s">
        <v>3576</v>
      </c>
      <c r="B1027" s="5">
        <v>4911129</v>
      </c>
      <c r="C1027" s="2" t="s">
        <v>23</v>
      </c>
      <c r="D1027" s="2" t="s">
        <v>3577</v>
      </c>
      <c r="E1027" s="2" t="s">
        <v>3578</v>
      </c>
      <c r="F1027" s="2" t="s">
        <v>26</v>
      </c>
      <c r="G1027" s="2" t="s">
        <v>26</v>
      </c>
      <c r="H1027" s="2" t="s">
        <v>27</v>
      </c>
      <c r="I1027" s="2" t="s">
        <v>40</v>
      </c>
      <c r="J1027" s="6"/>
      <c r="K1027" s="2" t="s">
        <v>3579</v>
      </c>
      <c r="L1027" s="2" t="s">
        <v>30</v>
      </c>
      <c r="M1027" s="2" t="s">
        <v>189</v>
      </c>
      <c r="N1027" s="2" t="s">
        <v>1013</v>
      </c>
      <c r="O1027" s="2" t="s">
        <v>3579</v>
      </c>
      <c r="P1027" s="7">
        <v>168.213988198675</v>
      </c>
      <c r="Q1027" s="8">
        <v>279.25794241107201</v>
      </c>
      <c r="R1027" s="9">
        <v>0</v>
      </c>
      <c r="S1027" s="2" t="s">
        <v>3580</v>
      </c>
      <c r="T1027" s="9">
        <v>0</v>
      </c>
      <c r="U1027" s="9">
        <v>0</v>
      </c>
      <c r="V1027" s="9">
        <v>1</v>
      </c>
      <c r="W1027" s="9">
        <v>163</v>
      </c>
      <c r="X1027" s="9">
        <v>162</v>
      </c>
      <c r="Y1027" s="9">
        <v>709</v>
      </c>
      <c r="Z1027" s="9">
        <v>527</v>
      </c>
      <c r="AA1027" s="9">
        <v>449</v>
      </c>
      <c r="AB1027" s="9">
        <v>0</v>
      </c>
      <c r="AC1027" s="9">
        <v>1</v>
      </c>
      <c r="AD1027" s="9">
        <v>19</v>
      </c>
      <c r="AE1027" s="7">
        <v>0</v>
      </c>
      <c r="AF1027" s="7">
        <v>0</v>
      </c>
      <c r="AG1027" s="7">
        <v>0</v>
      </c>
      <c r="AH1027" s="7">
        <v>2.94505791584283E-07</v>
      </c>
      <c r="AI1027" s="7">
        <v>7.8842515151528099E-05</v>
      </c>
      <c r="AJ1027" s="7">
        <v>7.8527145090921999E-05</v>
      </c>
      <c r="AK1027" s="7">
        <v>0.000342744147631374</v>
      </c>
      <c r="AL1027" s="7">
        <v>0.00025447438277778601</v>
      </c>
      <c r="AM1027" s="7">
        <v>0.00021682516561895301</v>
      </c>
      <c r="AN1027" s="7">
        <v>0</v>
      </c>
      <c r="AO1027" s="7">
        <v>3.0898968297367398E-07</v>
      </c>
      <c r="AP1027" s="7">
        <v>9.10848681465632E-06</v>
      </c>
      <c r="AQ1027" s="9">
        <v>0</v>
      </c>
    </row>
    <row r="1028" spans="1:43" ht="15">
      <c r="A1028" s="2" t="s">
        <v>3581</v>
      </c>
      <c r="B1028" s="5">
        <v>4912797</v>
      </c>
      <c r="C1028" s="2" t="s">
        <v>23</v>
      </c>
      <c r="D1028" s="2" t="s">
        <v>3582</v>
      </c>
      <c r="E1028" s="2" t="s">
        <v>3583</v>
      </c>
      <c r="F1028" s="2" t="s">
        <v>26</v>
      </c>
      <c r="G1028" s="2" t="s">
        <v>26</v>
      </c>
      <c r="H1028" s="2" t="s">
        <v>27</v>
      </c>
      <c r="I1028" s="2" t="s">
        <v>40</v>
      </c>
      <c r="J1028" s="6"/>
      <c r="K1028" s="2" t="s">
        <v>211</v>
      </c>
      <c r="L1028" s="2" t="s">
        <v>30</v>
      </c>
      <c r="M1028" s="2" t="s">
        <v>189</v>
      </c>
      <c r="N1028" s="2" t="s">
        <v>211</v>
      </c>
      <c r="O1028" s="2"/>
      <c r="P1028" s="7">
        <v>64.282102234887006</v>
      </c>
      <c r="Q1028" s="8">
        <v>67.068801584255993</v>
      </c>
      <c r="R1028" s="9">
        <v>0</v>
      </c>
      <c r="S1028" s="2" t="s">
        <v>3584</v>
      </c>
      <c r="T1028" s="9">
        <v>5</v>
      </c>
      <c r="U1028" s="9">
        <v>854</v>
      </c>
      <c r="V1028" s="9">
        <v>325</v>
      </c>
      <c r="W1028" s="9">
        <v>174833</v>
      </c>
      <c r="X1028" s="9">
        <v>174133</v>
      </c>
      <c r="Y1028" s="9">
        <v>93727</v>
      </c>
      <c r="Z1028" s="9">
        <v>73170</v>
      </c>
      <c r="AA1028" s="9">
        <v>46337</v>
      </c>
      <c r="AB1028" s="9">
        <v>976</v>
      </c>
      <c r="AC1028" s="9">
        <v>341</v>
      </c>
      <c r="AD1028" s="9">
        <v>302189</v>
      </c>
      <c r="AE1028" s="7">
        <v>0</v>
      </c>
      <c r="AF1028" s="7">
        <v>2.4960882704218302E-06</v>
      </c>
      <c r="AG1028" s="7">
        <v>0.00045673958048236601</v>
      </c>
      <c r="AH1028" s="7">
        <v>0.00017371771469527301</v>
      </c>
      <c r="AI1028" s="7">
        <v>0.093513762437093098</v>
      </c>
      <c r="AJ1028" s="7">
        <v>0.0931397073873447</v>
      </c>
      <c r="AK1028" s="7">
        <v>0.050132133489352297</v>
      </c>
      <c r="AL1028" s="7">
        <v>0.039137027426396201</v>
      </c>
      <c r="AM1028" s="7">
        <v>0.024784474995256</v>
      </c>
      <c r="AN1028" s="7">
        <v>0.00052198809197984695</v>
      </c>
      <c r="AO1028" s="7">
        <v>0.00018226120886061399</v>
      </c>
      <c r="AP1028" s="7">
        <v>0.161633471280377</v>
      </c>
      <c r="AQ1028" s="9">
        <v>0</v>
      </c>
    </row>
    <row r="1029" spans="1:43" ht="15">
      <c r="A1029" s="2" t="s">
        <v>3585</v>
      </c>
      <c r="B1029" s="5">
        <v>4772146</v>
      </c>
      <c r="C1029" s="2" t="s">
        <v>23</v>
      </c>
      <c r="D1029" s="2" t="s">
        <v>3586</v>
      </c>
      <c r="E1029" s="2" t="s">
        <v>3587</v>
      </c>
      <c r="F1029" s="2" t="s">
        <v>26</v>
      </c>
      <c r="G1029" s="2" t="s">
        <v>26</v>
      </c>
      <c r="H1029" s="2" t="s">
        <v>27</v>
      </c>
      <c r="I1029" s="2" t="s">
        <v>40</v>
      </c>
      <c r="J1029" s="6"/>
      <c r="K1029" s="2" t="s">
        <v>55</v>
      </c>
      <c r="L1029" s="2" t="s">
        <v>56</v>
      </c>
      <c r="M1029" s="2" t="s">
        <v>55</v>
      </c>
      <c r="N1029" s="2"/>
      <c r="O1029" s="2"/>
      <c r="P1029" s="7">
        <v>3073.4043338001902</v>
      </c>
      <c r="Q1029" s="8">
        <v>3219.5785369396499</v>
      </c>
      <c r="R1029" s="9">
        <v>72895179</v>
      </c>
      <c r="S1029" s="2" t="s">
        <v>3588</v>
      </c>
      <c r="T1029" s="9">
        <v>43069175</v>
      </c>
      <c r="U1029" s="9">
        <v>36867209</v>
      </c>
      <c r="V1029" s="9">
        <v>76761727</v>
      </c>
      <c r="W1029" s="9">
        <v>76830459</v>
      </c>
      <c r="X1029" s="9">
        <v>77408482</v>
      </c>
      <c r="Y1029" s="9">
        <v>68566326</v>
      </c>
      <c r="Z1029" s="9">
        <v>57467373</v>
      </c>
      <c r="AA1029" s="9">
        <v>89988994</v>
      </c>
      <c r="AB1029" s="9">
        <v>36020795</v>
      </c>
      <c r="AC1029" s="9">
        <v>74851170</v>
      </c>
      <c r="AD1029" s="9">
        <v>88702861</v>
      </c>
      <c r="AE1029" s="7">
        <v>0.138187139523614</v>
      </c>
      <c r="AF1029" s="7">
        <v>0.081646087198089204</v>
      </c>
      <c r="AG1029" s="7">
        <v>0.069889041159290205</v>
      </c>
      <c r="AH1029" s="7">
        <v>0.14551694182966499</v>
      </c>
      <c r="AI1029" s="7">
        <v>0.14564723644303701</v>
      </c>
      <c r="AJ1029" s="7">
        <v>0.14674299258239201</v>
      </c>
      <c r="AK1029" s="7">
        <v>0.12998094796021001</v>
      </c>
      <c r="AL1029" s="7">
        <v>0.108940700200947</v>
      </c>
      <c r="AM1029" s="7">
        <v>0.17059182524191999</v>
      </c>
      <c r="AN1029" s="7">
        <v>0.068284496267635303</v>
      </c>
      <c r="AO1029" s="7">
        <v>0.141895104235326</v>
      </c>
      <c r="AP1029" s="7">
        <v>0.16815370834427301</v>
      </c>
      <c r="AQ1029" s="9">
        <v>38496856</v>
      </c>
    </row>
    <row r="1030" spans="1:43" ht="15">
      <c r="A1030" s="2" t="s">
        <v>3589</v>
      </c>
      <c r="B1030" s="5">
        <v>5001173</v>
      </c>
      <c r="C1030" s="2" t="s">
        <v>46</v>
      </c>
      <c r="D1030" s="2" t="s">
        <v>3590</v>
      </c>
      <c r="E1030" s="2" t="s">
        <v>3591</v>
      </c>
      <c r="F1030" s="2" t="s">
        <v>49</v>
      </c>
      <c r="G1030" s="2" t="s">
        <v>49</v>
      </c>
      <c r="H1030" s="2" t="s">
        <v>50</v>
      </c>
      <c r="I1030" s="2" t="s">
        <v>28</v>
      </c>
      <c r="J1030" s="6"/>
      <c r="K1030" s="2" t="s">
        <v>982</v>
      </c>
      <c r="L1030" s="2" t="s">
        <v>217</v>
      </c>
      <c r="M1030" s="2" t="s">
        <v>218</v>
      </c>
      <c r="N1030" s="2" t="s">
        <v>982</v>
      </c>
      <c r="O1030" s="2"/>
      <c r="P1030" s="7">
        <v>247.234679256514</v>
      </c>
      <c r="Q1030" s="8">
        <v>291.44363094975398</v>
      </c>
      <c r="R1030" s="9">
        <v>0</v>
      </c>
      <c r="S1030" s="2" t="s">
        <v>3592</v>
      </c>
      <c r="T1030" s="9">
        <v>0</v>
      </c>
      <c r="U1030" s="9">
        <v>250</v>
      </c>
      <c r="V1030" s="9">
        <v>94</v>
      </c>
      <c r="W1030" s="9">
        <v>60</v>
      </c>
      <c r="X1030" s="9">
        <v>59</v>
      </c>
      <c r="Y1030" s="9">
        <v>60</v>
      </c>
      <c r="Z1030" s="9">
        <v>209</v>
      </c>
      <c r="AA1030" s="9">
        <v>21443</v>
      </c>
      <c r="AB1030" s="9">
        <v>286</v>
      </c>
      <c r="AC1030" s="9">
        <v>98</v>
      </c>
      <c r="AD1030" s="9">
        <v>78</v>
      </c>
      <c r="AE1030" s="7">
        <v>0</v>
      </c>
      <c r="AF1030" s="7">
        <v>0</v>
      </c>
      <c r="AG1030" s="7">
        <v>0.0039432248803483597</v>
      </c>
      <c r="AH1030" s="7">
        <v>0.00147870933013064</v>
      </c>
      <c r="AI1030" s="7">
        <v>0.00093896260885789195</v>
      </c>
      <c r="AJ1030" s="7">
        <v>0.00093520675842245998</v>
      </c>
      <c r="AK1030" s="7">
        <v>0.000950040617264532</v>
      </c>
      <c r="AL1030" s="7">
        <v>0.00329312905367461</v>
      </c>
      <c r="AM1030" s="7">
        <v>0.33822018675978599</v>
      </c>
      <c r="AN1030" s="7">
        <v>0.0045065427203981297</v>
      </c>
      <c r="AO1030" s="7">
        <v>0.00155143273980919</v>
      </c>
      <c r="AP1030" s="7">
        <v>0.0012370278052060599</v>
      </c>
      <c r="AQ1030" s="9">
        <v>0</v>
      </c>
    </row>
    <row r="1031" spans="1:43" ht="15">
      <c r="A1031" s="2" t="s">
        <v>3593</v>
      </c>
      <c r="B1031" s="5">
        <v>4988642</v>
      </c>
      <c r="C1031" s="2" t="s">
        <v>23</v>
      </c>
      <c r="D1031" s="2" t="s">
        <v>3594</v>
      </c>
      <c r="E1031" s="2" t="s">
        <v>3595</v>
      </c>
      <c r="F1031" s="2" t="s">
        <v>26</v>
      </c>
      <c r="G1031" s="2" t="s">
        <v>26</v>
      </c>
      <c r="H1031" s="2" t="s">
        <v>27</v>
      </c>
      <c r="I1031" s="2" t="s">
        <v>28</v>
      </c>
      <c r="J1031" s="6"/>
      <c r="K1031" s="2" t="s">
        <v>1642</v>
      </c>
      <c r="L1031" s="2" t="s">
        <v>30</v>
      </c>
      <c r="M1031" s="2" t="s">
        <v>424</v>
      </c>
      <c r="N1031" s="2" t="s">
        <v>1642</v>
      </c>
      <c r="O1031" s="2"/>
      <c r="P1031" s="7">
        <v>30.793341996799999</v>
      </c>
      <c r="Q1031" s="8">
        <v>32.026011127247997</v>
      </c>
      <c r="R1031" s="9">
        <v>0</v>
      </c>
      <c r="S1031" s="2" t="s">
        <v>3596</v>
      </c>
      <c r="T1031" s="9">
        <v>0</v>
      </c>
      <c r="U1031" s="9">
        <v>0</v>
      </c>
      <c r="V1031" s="9">
        <v>0</v>
      </c>
      <c r="W1031" s="9">
        <v>0</v>
      </c>
      <c r="X1031" s="9">
        <v>0</v>
      </c>
      <c r="Y1031" s="9">
        <v>0</v>
      </c>
      <c r="Z1031" s="9">
        <v>0</v>
      </c>
      <c r="AA1031" s="9">
        <v>1</v>
      </c>
      <c r="AB1031" s="9">
        <v>0</v>
      </c>
      <c r="AC1031" s="9">
        <v>0</v>
      </c>
      <c r="AD1031" s="9">
        <v>0</v>
      </c>
      <c r="AE1031" s="7">
        <v>0</v>
      </c>
      <c r="AF1031" s="7">
        <v>0</v>
      </c>
      <c r="AG1031" s="7">
        <v>0</v>
      </c>
      <c r="AH1031" s="7">
        <v>0</v>
      </c>
      <c r="AI1031" s="7">
        <v>0.0011387540244005201</v>
      </c>
      <c r="AJ1031" s="7">
        <v>0.00113419900830292</v>
      </c>
      <c r="AK1031" s="7">
        <v>0.00057052263999140802</v>
      </c>
      <c r="AL1031" s="7">
        <v>0.000380093501441997</v>
      </c>
      <c r="AM1031" s="7">
        <v>0.0039768794390602803</v>
      </c>
      <c r="AN1031" s="7">
        <v>0</v>
      </c>
      <c r="AO1031" s="7">
        <v>0</v>
      </c>
      <c r="AP1031" s="7">
        <v>0.0022866915489978198</v>
      </c>
      <c r="AQ1031" s="9">
        <v>0</v>
      </c>
    </row>
    <row r="1032" spans="1:43" ht="15">
      <c r="A1032" s="2" t="s">
        <v>3597</v>
      </c>
      <c r="B1032" s="5">
        <v>4861780</v>
      </c>
      <c r="C1032" s="2" t="s">
        <v>23</v>
      </c>
      <c r="D1032" s="2" t="s">
        <v>3598</v>
      </c>
      <c r="E1032" s="2" t="s">
        <v>3599</v>
      </c>
      <c r="F1032" s="2" t="s">
        <v>26</v>
      </c>
      <c r="G1032" s="2" t="s">
        <v>26</v>
      </c>
      <c r="H1032" s="2" t="s">
        <v>27</v>
      </c>
      <c r="I1032" s="2" t="s">
        <v>28</v>
      </c>
      <c r="J1032" s="6"/>
      <c r="K1032" s="2" t="s">
        <v>2242</v>
      </c>
      <c r="L1032" s="2" t="s">
        <v>99</v>
      </c>
      <c r="M1032" s="2" t="s">
        <v>100</v>
      </c>
      <c r="N1032" s="2" t="s">
        <v>2242</v>
      </c>
      <c r="O1032" s="2"/>
      <c r="P1032" s="7">
        <v>0.094520614399999994</v>
      </c>
      <c r="Q1032" s="8">
        <v>0.074163995839999997</v>
      </c>
      <c r="R1032" s="9">
        <v>0</v>
      </c>
      <c r="S1032" s="2" t="s">
        <v>3600</v>
      </c>
      <c r="T1032" s="9">
        <v>0</v>
      </c>
      <c r="U1032" s="9">
        <v>0</v>
      </c>
      <c r="V1032" s="9">
        <v>0</v>
      </c>
      <c r="W1032" s="9">
        <v>0</v>
      </c>
      <c r="X1032" s="9">
        <v>0</v>
      </c>
      <c r="Y1032" s="9">
        <v>0</v>
      </c>
      <c r="Z1032" s="9">
        <v>0</v>
      </c>
      <c r="AA1032" s="9">
        <v>0</v>
      </c>
      <c r="AB1032" s="9">
        <v>0</v>
      </c>
      <c r="AC1032" s="9">
        <v>0</v>
      </c>
      <c r="AD1032" s="9">
        <v>0</v>
      </c>
      <c r="AE1032" s="7">
        <v>0</v>
      </c>
      <c r="AF1032" s="7">
        <v>0</v>
      </c>
      <c r="AG1032" s="7">
        <v>0</v>
      </c>
      <c r="AH1032" s="7">
        <v>0</v>
      </c>
      <c r="AI1032" s="7">
        <v>0</v>
      </c>
      <c r="AJ1032" s="7">
        <v>0</v>
      </c>
      <c r="AK1032" s="7">
        <v>0</v>
      </c>
      <c r="AL1032" s="7">
        <v>0</v>
      </c>
      <c r="AM1032" s="7">
        <v>0</v>
      </c>
      <c r="AN1032" s="7">
        <v>0</v>
      </c>
      <c r="AO1032" s="7">
        <v>0</v>
      </c>
      <c r="AP1032" s="7">
        <v>0</v>
      </c>
      <c r="AQ1032" s="9">
        <v>0</v>
      </c>
    </row>
    <row r="1033" spans="1:43" ht="15">
      <c r="A1033" s="2" t="s">
        <v>3601</v>
      </c>
      <c r="B1033" s="5">
        <v>4995292</v>
      </c>
      <c r="C1033" s="2" t="s">
        <v>23</v>
      </c>
      <c r="D1033" s="2" t="s">
        <v>3602</v>
      </c>
      <c r="E1033" s="2" t="s">
        <v>3603</v>
      </c>
      <c r="F1033" s="2" t="s">
        <v>26</v>
      </c>
      <c r="G1033" s="2" t="s">
        <v>26</v>
      </c>
      <c r="H1033" s="2" t="s">
        <v>27</v>
      </c>
      <c r="I1033" s="2" t="s">
        <v>28</v>
      </c>
      <c r="J1033" s="6"/>
      <c r="K1033" s="2" t="s">
        <v>429</v>
      </c>
      <c r="L1033" s="2" t="s">
        <v>182</v>
      </c>
      <c r="M1033" s="2" t="s">
        <v>430</v>
      </c>
      <c r="N1033" s="2" t="s">
        <v>429</v>
      </c>
      <c r="O1033" s="2"/>
      <c r="P1033" s="7">
        <v>1573.2441510890801</v>
      </c>
      <c r="Q1033" s="8">
        <v>1550.1261396805801</v>
      </c>
      <c r="R1033" s="9">
        <v>10112</v>
      </c>
      <c r="S1033" s="2" t="s">
        <v>3604</v>
      </c>
      <c r="T1033" s="9">
        <v>189525</v>
      </c>
      <c r="U1033" s="9">
        <v>362613</v>
      </c>
      <c r="V1033" s="9">
        <v>203899</v>
      </c>
      <c r="W1033" s="9">
        <v>2070703</v>
      </c>
      <c r="X1033" s="9">
        <v>2062666</v>
      </c>
      <c r="Y1033" s="9">
        <v>1651871</v>
      </c>
      <c r="Z1033" s="9">
        <v>1912435</v>
      </c>
      <c r="AA1033" s="9">
        <v>3162924</v>
      </c>
      <c r="AB1033" s="9">
        <v>383857</v>
      </c>
      <c r="AC1033" s="9">
        <v>201958</v>
      </c>
      <c r="AD1033" s="9">
        <v>233085</v>
      </c>
      <c r="AE1033" s="7">
        <v>0.00051929153349419398</v>
      </c>
      <c r="AF1033" s="7">
        <v>0.00973288182186164</v>
      </c>
      <c r="AG1033" s="7">
        <v>0.018621611057362202</v>
      </c>
      <c r="AH1033" s="7">
        <v>0.0104710165058188</v>
      </c>
      <c r="AI1033" s="7">
        <v>0.106338880894128</v>
      </c>
      <c r="AJ1033" s="7">
        <v>0.105926134212683</v>
      </c>
      <c r="AK1033" s="7">
        <v>0.084830155639086996</v>
      </c>
      <c r="AL1033" s="7">
        <v>0.098211174696176698</v>
      </c>
      <c r="AM1033" s="7">
        <v>0.16242874055207601</v>
      </c>
      <c r="AN1033" s="7">
        <v>0.0197125855858695</v>
      </c>
      <c r="AO1033" s="7">
        <v>0.0103713480032085</v>
      </c>
      <c r="AP1033" s="7">
        <v>0.0119698614305505</v>
      </c>
      <c r="AQ1033" s="9">
        <v>15806</v>
      </c>
    </row>
    <row r="1034" spans="1:43" ht="15">
      <c r="A1034" s="2" t="s">
        <v>3605</v>
      </c>
      <c r="B1034" s="5">
        <v>4366124</v>
      </c>
      <c r="C1034" s="2" t="s">
        <v>46</v>
      </c>
      <c r="D1034" s="2" t="s">
        <v>3606</v>
      </c>
      <c r="E1034" s="2" t="s">
        <v>3607</v>
      </c>
      <c r="F1034" s="2" t="s">
        <v>49</v>
      </c>
      <c r="G1034" s="2" t="s">
        <v>49</v>
      </c>
      <c r="H1034" s="2" t="s">
        <v>50</v>
      </c>
      <c r="I1034" s="2" t="s">
        <v>40</v>
      </c>
      <c r="J1034" s="6"/>
      <c r="K1034" s="2" t="s">
        <v>3202</v>
      </c>
      <c r="L1034" s="2" t="s">
        <v>42</v>
      </c>
      <c r="M1034" s="2" t="s">
        <v>43</v>
      </c>
      <c r="N1034" s="2" t="s">
        <v>3202</v>
      </c>
      <c r="O1034" s="2"/>
      <c r="P1034" s="7">
        <v>22148.043879239998</v>
      </c>
      <c r="Q1034" s="8">
        <v>21253.904879000002</v>
      </c>
      <c r="R1034" s="9">
        <v>1290</v>
      </c>
      <c r="S1034" s="2" t="s">
        <v>3608</v>
      </c>
      <c r="T1034" s="9">
        <v>5237</v>
      </c>
      <c r="U1034" s="9">
        <v>5371</v>
      </c>
      <c r="V1034" s="9">
        <v>35452</v>
      </c>
      <c r="W1034" s="9">
        <v>13007</v>
      </c>
      <c r="X1034" s="9">
        <v>12990</v>
      </c>
      <c r="Y1034" s="9">
        <v>21059</v>
      </c>
      <c r="Z1034" s="9">
        <v>18577</v>
      </c>
      <c r="AA1034" s="9">
        <v>20624</v>
      </c>
      <c r="AB1034" s="9">
        <v>5985</v>
      </c>
      <c r="AC1034" s="9">
        <v>37144</v>
      </c>
      <c r="AD1034" s="9">
        <v>21139</v>
      </c>
      <c r="AE1034" s="7">
        <v>0.0018425622697204201</v>
      </c>
      <c r="AF1034" s="7">
        <v>0.0074795173065046504</v>
      </c>
      <c r="AG1034" s="7">
        <v>0.0076721055334043704</v>
      </c>
      <c r="AH1034" s="7">
        <v>0.050638056889021503</v>
      </c>
      <c r="AI1034" s="7">
        <v>0.018578535690024899</v>
      </c>
      <c r="AJ1034" s="7">
        <v>0.018554779170597401</v>
      </c>
      <c r="AK1034" s="7">
        <v>0.030078933834298799</v>
      </c>
      <c r="AL1034" s="7">
        <v>0.0265349801600703</v>
      </c>
      <c r="AM1034" s="7">
        <v>0.029457794871091</v>
      </c>
      <c r="AN1034" s="7">
        <v>0.0085487679584478008</v>
      </c>
      <c r="AO1034" s="7">
        <v>0.053053664161496102</v>
      </c>
      <c r="AP1034" s="7">
        <v>0.0301933362337675</v>
      </c>
      <c r="AQ1034" s="9">
        <v>1830</v>
      </c>
    </row>
    <row r="1035" spans="1:43" ht="15">
      <c r="A1035" s="2" t="s">
        <v>3609</v>
      </c>
      <c r="B1035" s="5">
        <v>4354360</v>
      </c>
      <c r="C1035" s="2" t="s">
        <v>46</v>
      </c>
      <c r="D1035" s="2" t="s">
        <v>3610</v>
      </c>
      <c r="E1035" s="2" t="s">
        <v>3611</v>
      </c>
      <c r="F1035" s="2" t="s">
        <v>49</v>
      </c>
      <c r="G1035" s="2" t="s">
        <v>49</v>
      </c>
      <c r="H1035" s="2" t="s">
        <v>50</v>
      </c>
      <c r="I1035" s="2" t="s">
        <v>40</v>
      </c>
      <c r="J1035" s="6"/>
      <c r="K1035" s="2" t="s">
        <v>1139</v>
      </c>
      <c r="L1035" s="2" t="s">
        <v>42</v>
      </c>
      <c r="M1035" s="2" t="s">
        <v>43</v>
      </c>
      <c r="N1035" s="2" t="s">
        <v>1139</v>
      </c>
      <c r="O1035" s="2"/>
      <c r="P1035" s="7">
        <v>418.73596989223898</v>
      </c>
      <c r="Q1035" s="8">
        <v>354.518726233824</v>
      </c>
      <c r="R1035" s="9">
        <v>0</v>
      </c>
      <c r="S1035" s="2" t="s">
        <v>3612</v>
      </c>
      <c r="T1035" s="9">
        <v>1248</v>
      </c>
      <c r="U1035" s="9">
        <v>714</v>
      </c>
      <c r="V1035" s="9">
        <v>1389</v>
      </c>
      <c r="W1035" s="9">
        <v>2148</v>
      </c>
      <c r="X1035" s="9">
        <v>2161</v>
      </c>
      <c r="Y1035" s="9">
        <v>2039</v>
      </c>
      <c r="Z1035" s="9">
        <v>1707</v>
      </c>
      <c r="AA1035" s="9">
        <v>1565</v>
      </c>
      <c r="AB1035" s="9">
        <v>720</v>
      </c>
      <c r="AC1035" s="9">
        <v>1365</v>
      </c>
      <c r="AD1035" s="9">
        <v>1914</v>
      </c>
      <c r="AE1035" s="7">
        <v>0</v>
      </c>
      <c r="AF1035" s="7">
        <v>0.152613316508765</v>
      </c>
      <c r="AG1035" s="7">
        <v>0.087345946377478501</v>
      </c>
      <c r="AH1035" s="7">
        <v>0.16989724349281399</v>
      </c>
      <c r="AI1035" s="7">
        <v>0.26271268130707798</v>
      </c>
      <c r="AJ1035" s="7">
        <v>0.26432838438886902</v>
      </c>
      <c r="AK1035" s="7">
        <v>0.24945718475954301</v>
      </c>
      <c r="AL1035" s="7">
        <v>0.20874142003694199</v>
      </c>
      <c r="AM1035" s="7">
        <v>0.19145441309609901</v>
      </c>
      <c r="AN1035" s="7">
        <v>0.088052192880539004</v>
      </c>
      <c r="AO1035" s="7">
        <v>0.16699949929025501</v>
      </c>
      <c r="AP1035" s="7">
        <v>0.234095843298746</v>
      </c>
      <c r="AQ1035" s="9">
        <v>0</v>
      </c>
    </row>
    <row r="1036" spans="1:43" ht="15">
      <c r="A1036" s="2" t="s">
        <v>3613</v>
      </c>
      <c r="B1036" s="5">
        <v>4354362</v>
      </c>
      <c r="C1036" s="2" t="s">
        <v>46</v>
      </c>
      <c r="D1036" s="2" t="s">
        <v>3614</v>
      </c>
      <c r="E1036" s="2" t="s">
        <v>3615</v>
      </c>
      <c r="F1036" s="2" t="s">
        <v>49</v>
      </c>
      <c r="G1036" s="2" t="s">
        <v>49</v>
      </c>
      <c r="H1036" s="2" t="s">
        <v>50</v>
      </c>
      <c r="I1036" s="2" t="s">
        <v>40</v>
      </c>
      <c r="J1036" s="6"/>
      <c r="K1036" s="2" t="s">
        <v>1139</v>
      </c>
      <c r="L1036" s="2" t="s">
        <v>42</v>
      </c>
      <c r="M1036" s="2" t="s">
        <v>43</v>
      </c>
      <c r="N1036" s="2" t="s">
        <v>1139</v>
      </c>
      <c r="O1036" s="2"/>
      <c r="P1036" s="7">
        <v>971.65246397799899</v>
      </c>
      <c r="Q1036" s="8">
        <v>776.19421314476097</v>
      </c>
      <c r="R1036" s="9">
        <v>902</v>
      </c>
      <c r="S1036" s="2" t="s">
        <v>3616</v>
      </c>
      <c r="T1036" s="9">
        <v>838</v>
      </c>
      <c r="U1036" s="9">
        <v>5323</v>
      </c>
      <c r="V1036" s="9">
        <v>3299</v>
      </c>
      <c r="W1036" s="9">
        <v>3467</v>
      </c>
      <c r="X1036" s="9">
        <v>3453</v>
      </c>
      <c r="Y1036" s="9">
        <v>2472</v>
      </c>
      <c r="Z1036" s="9">
        <v>2885</v>
      </c>
      <c r="AA1036" s="9">
        <v>2807</v>
      </c>
      <c r="AB1036" s="9">
        <v>544</v>
      </c>
      <c r="AC1036" s="9">
        <v>3461</v>
      </c>
      <c r="AD1036" s="9">
        <v>5741</v>
      </c>
      <c r="AE1036" s="7">
        <v>0.0028915552775673199</v>
      </c>
      <c r="AF1036" s="7">
        <v>0.0026869237788037701</v>
      </c>
      <c r="AG1036" s="7">
        <v>0.0170628208528401</v>
      </c>
      <c r="AH1036" s="7">
        <v>0.010576807110168999</v>
      </c>
      <c r="AI1036" s="7">
        <v>0.011113082297347801</v>
      </c>
      <c r="AJ1036" s="7">
        <v>0.011068629968158401</v>
      </c>
      <c r="AK1036" s="7">
        <v>0.0079235005478421206</v>
      </c>
      <c r="AL1036" s="7">
        <v>0.0092488992182452705</v>
      </c>
      <c r="AM1036" s="7">
        <v>0.0089968939989140701</v>
      </c>
      <c r="AN1036" s="7">
        <v>0.0017423826384834399</v>
      </c>
      <c r="AO1036" s="7">
        <v>0.0110955590284494</v>
      </c>
      <c r="AP1036" s="7">
        <v>0.0184046841933065</v>
      </c>
      <c r="AQ1036" s="9">
        <v>0</v>
      </c>
    </row>
    <row r="1037" spans="1:43" ht="15">
      <c r="A1037" s="2" t="s">
        <v>3617</v>
      </c>
      <c r="B1037" s="5">
        <v>114989888</v>
      </c>
      <c r="C1037" s="2" t="s">
        <v>35</v>
      </c>
      <c r="D1037" s="2" t="s">
        <v>3618</v>
      </c>
      <c r="E1037" s="2" t="s">
        <v>3619</v>
      </c>
      <c r="F1037" s="2" t="s">
        <v>38</v>
      </c>
      <c r="G1037" s="2" t="s">
        <v>38</v>
      </c>
      <c r="H1037" s="2" t="s">
        <v>39</v>
      </c>
      <c r="I1037" s="2" t="s">
        <v>28</v>
      </c>
      <c r="J1037" s="6"/>
      <c r="K1037" s="2" t="s">
        <v>55</v>
      </c>
      <c r="L1037" s="2" t="s">
        <v>56</v>
      </c>
      <c r="M1037" s="2" t="s">
        <v>55</v>
      </c>
      <c r="N1037" s="2"/>
      <c r="O1037" s="2"/>
      <c r="P1037" s="7">
        <v>818.841297214625</v>
      </c>
      <c r="Q1037" s="6" t="s">
        <v>57</v>
      </c>
      <c r="R1037" s="9">
        <v>0</v>
      </c>
      <c r="S1037" s="2" t="s">
        <v>3620</v>
      </c>
      <c r="T1037" s="9">
        <v>0</v>
      </c>
      <c r="U1037" s="9">
        <v>0</v>
      </c>
      <c r="V1037" s="9">
        <v>0</v>
      </c>
      <c r="W1037" s="9">
        <v>0</v>
      </c>
      <c r="X1037" s="9">
        <v>0</v>
      </c>
      <c r="Y1037" s="9">
        <v>0</v>
      </c>
      <c r="Z1037" s="9">
        <v>39566</v>
      </c>
      <c r="AA1037" s="9">
        <v>39566</v>
      </c>
      <c r="AB1037" s="9">
        <v>0</v>
      </c>
      <c r="AC1037" s="9">
        <v>0</v>
      </c>
      <c r="AD1037" s="9">
        <v>0</v>
      </c>
      <c r="AE1037" s="7">
        <v>0</v>
      </c>
      <c r="AF1037" s="7">
        <v>0</v>
      </c>
      <c r="AG1037" s="7">
        <v>0</v>
      </c>
      <c r="AH1037" s="7">
        <v>0</v>
      </c>
      <c r="AI1037" s="7">
        <v>0</v>
      </c>
      <c r="AJ1037" s="7">
        <v>0</v>
      </c>
      <c r="AK1037" s="7">
        <v>0</v>
      </c>
      <c r="AL1037" s="7">
        <v>0.043216818001883199</v>
      </c>
      <c r="AM1037" s="7">
        <v>0.043216818001883199</v>
      </c>
      <c r="AN1037" s="7">
        <v>0</v>
      </c>
      <c r="AO1037" s="7">
        <v>0</v>
      </c>
      <c r="AP1037" s="7">
        <v>0</v>
      </c>
      <c r="AQ1037" s="9">
        <v>0</v>
      </c>
    </row>
    <row r="1038" spans="1:43" ht="15">
      <c r="A1038" s="2" t="s">
        <v>3621</v>
      </c>
      <c r="B1038" s="5">
        <v>4353562</v>
      </c>
      <c r="C1038" s="2" t="s">
        <v>23</v>
      </c>
      <c r="D1038" s="2" t="s">
        <v>3622</v>
      </c>
      <c r="E1038" s="2" t="s">
        <v>3623</v>
      </c>
      <c r="F1038" s="2" t="s">
        <v>26</v>
      </c>
      <c r="G1038" s="2" t="s">
        <v>26</v>
      </c>
      <c r="H1038" s="2" t="s">
        <v>27</v>
      </c>
      <c r="I1038" s="2" t="s">
        <v>28</v>
      </c>
      <c r="J1038" s="6"/>
      <c r="K1038" s="2" t="s">
        <v>3202</v>
      </c>
      <c r="L1038" s="2" t="s">
        <v>42</v>
      </c>
      <c r="M1038" s="2" t="s">
        <v>43</v>
      </c>
      <c r="N1038" s="2" t="s">
        <v>3202</v>
      </c>
      <c r="O1038" s="2"/>
      <c r="P1038" s="7">
        <v>2122.0176960936401</v>
      </c>
      <c r="Q1038" s="8">
        <v>2366.4318574692802</v>
      </c>
      <c r="R1038" s="9">
        <v>2560</v>
      </c>
      <c r="S1038" s="2" t="s">
        <v>3624</v>
      </c>
      <c r="T1038" s="9">
        <v>7810</v>
      </c>
      <c r="U1038" s="9">
        <v>5135</v>
      </c>
      <c r="V1038" s="9">
        <v>7089</v>
      </c>
      <c r="W1038" s="9">
        <v>13920</v>
      </c>
      <c r="X1038" s="9">
        <v>14245</v>
      </c>
      <c r="Y1038" s="9">
        <v>10450</v>
      </c>
      <c r="Z1038" s="9">
        <v>7729</v>
      </c>
      <c r="AA1038" s="9">
        <v>6794</v>
      </c>
      <c r="AB1038" s="9">
        <v>5097</v>
      </c>
      <c r="AC1038" s="9">
        <v>7344</v>
      </c>
      <c r="AD1038" s="9">
        <v>17346</v>
      </c>
      <c r="AE1038" s="7">
        <v>0.0102672384908889</v>
      </c>
      <c r="AF1038" s="7">
        <v>0.031322430237276197</v>
      </c>
      <c r="AG1038" s="7">
        <v>0.0205948036923118</v>
      </c>
      <c r="AH1038" s="7">
        <v>0.0284311765466819</v>
      </c>
      <c r="AI1038" s="7">
        <v>0.055826997912029802</v>
      </c>
      <c r="AJ1038" s="7">
        <v>0.057131438965265798</v>
      </c>
      <c r="AK1038" s="7">
        <v>0.041909469525281802</v>
      </c>
      <c r="AL1038" s="7">
        <v>0.030998301348723199</v>
      </c>
      <c r="AM1038" s="7">
        <v>0.027249357905220001</v>
      </c>
      <c r="AN1038" s="7">
        <v>0.020442805209537701</v>
      </c>
      <c r="AO1038" s="7">
        <v>0.029452562464002199</v>
      </c>
      <c r="AP1038" s="7">
        <v>0.069568950182298195</v>
      </c>
      <c r="AQ1038" s="9">
        <v>3917</v>
      </c>
    </row>
    <row r="1039" spans="1:43" ht="15">
      <c r="A1039" s="2" t="s">
        <v>3625</v>
      </c>
      <c r="B1039" s="5">
        <v>28806586</v>
      </c>
      <c r="C1039" s="2" t="s">
        <v>23</v>
      </c>
      <c r="D1039" s="2" t="s">
        <v>3626</v>
      </c>
      <c r="E1039" s="2" t="s">
        <v>3627</v>
      </c>
      <c r="F1039" s="2" t="s">
        <v>26</v>
      </c>
      <c r="G1039" s="2" t="s">
        <v>26</v>
      </c>
      <c r="H1039" s="2" t="s">
        <v>27</v>
      </c>
      <c r="I1039" s="2" t="s">
        <v>40</v>
      </c>
      <c r="J1039" s="6"/>
      <c r="K1039" s="2" t="s">
        <v>982</v>
      </c>
      <c r="L1039" s="2" t="s">
        <v>217</v>
      </c>
      <c r="M1039" s="2" t="s">
        <v>218</v>
      </c>
      <c r="N1039" s="2" t="s">
        <v>982</v>
      </c>
      <c r="O1039" s="2"/>
      <c r="P1039" s="7">
        <v>945.904351202513</v>
      </c>
      <c r="Q1039" s="8">
        <v>2191.78098901457</v>
      </c>
      <c r="R1039" s="9">
        <v>0</v>
      </c>
      <c r="S1039" s="2" t="s">
        <v>3628</v>
      </c>
      <c r="T1039" s="9">
        <v>0</v>
      </c>
      <c r="U1039" s="9">
        <v>0</v>
      </c>
      <c r="V1039" s="9">
        <v>0</v>
      </c>
      <c r="W1039" s="9">
        <v>213</v>
      </c>
      <c r="X1039" s="9">
        <v>212</v>
      </c>
      <c r="Y1039" s="9">
        <v>107</v>
      </c>
      <c r="Z1039" s="9">
        <v>71</v>
      </c>
      <c r="AA1039" s="9">
        <v>418</v>
      </c>
      <c r="AB1039" s="9">
        <v>0</v>
      </c>
      <c r="AC1039" s="9">
        <v>0</v>
      </c>
      <c r="AD1039" s="9">
        <v>192</v>
      </c>
      <c r="AE1039" s="7">
        <v>0</v>
      </c>
      <c r="AF1039" s="7">
        <v>0</v>
      </c>
      <c r="AG1039" s="7">
        <v>0</v>
      </c>
      <c r="AH1039" s="7">
        <v>0</v>
      </c>
      <c r="AI1039" s="7">
        <v>6.0501941179236003E-05</v>
      </c>
      <c r="AJ1039" s="7">
        <v>6.0259933414518997E-05</v>
      </c>
      <c r="AK1039" s="7">
        <v>3.0311837733661498E-05</v>
      </c>
      <c r="AL1039" s="7">
        <v>2.0277419039145E-05</v>
      </c>
      <c r="AM1039" s="7">
        <v>0.000118739058884766</v>
      </c>
      <c r="AN1039" s="7">
        <v>0</v>
      </c>
      <c r="AO1039" s="7">
        <v>0</v>
      </c>
      <c r="AP1039" s="7">
        <v>5.4566428023199897E-05</v>
      </c>
      <c r="AQ1039" s="9">
        <v>0</v>
      </c>
    </row>
    <row r="1040" spans="1:43" ht="15">
      <c r="A1040" s="2" t="s">
        <v>3629</v>
      </c>
      <c r="B1040" s="5">
        <v>4984804</v>
      </c>
      <c r="C1040" s="2" t="s">
        <v>23</v>
      </c>
      <c r="D1040" s="2" t="s">
        <v>3630</v>
      </c>
      <c r="E1040" s="2" t="s">
        <v>3631</v>
      </c>
      <c r="F1040" s="2" t="s">
        <v>26</v>
      </c>
      <c r="G1040" s="2" t="s">
        <v>26</v>
      </c>
      <c r="H1040" s="2" t="s">
        <v>27</v>
      </c>
      <c r="I1040" s="2" t="s">
        <v>28</v>
      </c>
      <c r="J1040" s="10">
        <v>39351</v>
      </c>
      <c r="K1040" s="2" t="s">
        <v>2476</v>
      </c>
      <c r="L1040" s="2" t="s">
        <v>30</v>
      </c>
      <c r="M1040" s="2" t="s">
        <v>189</v>
      </c>
      <c r="N1040" s="2" t="s">
        <v>1160</v>
      </c>
      <c r="O1040" s="2" t="s">
        <v>2476</v>
      </c>
      <c r="P1040" s="7">
        <v>181.63679111930099</v>
      </c>
      <c r="Q1040" s="8">
        <v>717.19905314603204</v>
      </c>
      <c r="R1040" s="9">
        <v>1959146</v>
      </c>
      <c r="S1040" s="2" t="s">
        <v>3632</v>
      </c>
      <c r="T1040" s="9">
        <v>2978930</v>
      </c>
      <c r="U1040" s="9">
        <v>1524179</v>
      </c>
      <c r="V1040" s="9">
        <v>1674289</v>
      </c>
      <c r="W1040" s="9">
        <v>1285721</v>
      </c>
      <c r="X1040" s="9">
        <v>1280888</v>
      </c>
      <c r="Y1040" s="9">
        <v>846669</v>
      </c>
      <c r="Z1040" s="9">
        <v>682280</v>
      </c>
      <c r="AA1040" s="9">
        <v>576302</v>
      </c>
      <c r="AB1040" s="9">
        <v>1694990</v>
      </c>
      <c r="AC1040" s="9">
        <v>1679824</v>
      </c>
      <c r="AD1040" s="9">
        <v>1560333</v>
      </c>
      <c r="AE1040" s="7">
        <v>0.80034678880853105</v>
      </c>
      <c r="AF1040" s="7">
        <v>1.2169469722027499</v>
      </c>
      <c r="AG1040" s="7">
        <v>0.62265495695884598</v>
      </c>
      <c r="AH1040" s="7">
        <v>0.68397741903908604</v>
      </c>
      <c r="AI1040" s="7">
        <v>0.52524044427463101</v>
      </c>
      <c r="AJ1040" s="7">
        <v>0.52326589927019296</v>
      </c>
      <c r="AK1040" s="7">
        <v>0.34587965021779299</v>
      </c>
      <c r="AL1040" s="7">
        <v>0.27872381036480198</v>
      </c>
      <c r="AM1040" s="7">
        <v>0.23542989909009801</v>
      </c>
      <c r="AN1040" s="7">
        <v>0.69243435360168704</v>
      </c>
      <c r="AO1040" s="7">
        <v>0.68623879662457299</v>
      </c>
      <c r="AP1040" s="7">
        <v>0.637424553452558</v>
      </c>
      <c r="AQ1040" s="9">
        <v>2603333</v>
      </c>
    </row>
    <row r="1041" spans="1:43" ht="15">
      <c r="A1041" s="2" t="s">
        <v>3633</v>
      </c>
      <c r="B1041" s="5">
        <v>4968158</v>
      </c>
      <c r="C1041" s="2" t="s">
        <v>23</v>
      </c>
      <c r="D1041" s="2" t="s">
        <v>3634</v>
      </c>
      <c r="E1041" s="2" t="s">
        <v>3635</v>
      </c>
      <c r="F1041" s="2" t="s">
        <v>26</v>
      </c>
      <c r="G1041" s="2" t="s">
        <v>26</v>
      </c>
      <c r="H1041" s="2" t="s">
        <v>27</v>
      </c>
      <c r="I1041" s="2" t="s">
        <v>28</v>
      </c>
      <c r="J1041" s="10">
        <v>39023</v>
      </c>
      <c r="K1041" s="2" t="s">
        <v>3636</v>
      </c>
      <c r="L1041" s="2" t="s">
        <v>247</v>
      </c>
      <c r="M1041" s="2" t="s">
        <v>3208</v>
      </c>
      <c r="N1041" s="2" t="s">
        <v>3637</v>
      </c>
      <c r="O1041" s="2" t="s">
        <v>3636</v>
      </c>
      <c r="P1041" s="7">
        <v>268.40323314052301</v>
      </c>
      <c r="Q1041" s="8">
        <v>681.28602158139199</v>
      </c>
      <c r="R1041" s="9">
        <v>307393</v>
      </c>
      <c r="S1041" s="2" t="s">
        <v>3638</v>
      </c>
      <c r="T1041" s="9">
        <v>846344</v>
      </c>
      <c r="U1041" s="9">
        <v>1513394</v>
      </c>
      <c r="V1041" s="9">
        <v>990953</v>
      </c>
      <c r="W1041" s="9">
        <v>832131</v>
      </c>
      <c r="X1041" s="9">
        <v>839321</v>
      </c>
      <c r="Y1041" s="9">
        <v>838800</v>
      </c>
      <c r="Z1041" s="9">
        <v>873061</v>
      </c>
      <c r="AA1041" s="9">
        <v>938424</v>
      </c>
      <c r="AB1041" s="9">
        <v>1521482</v>
      </c>
      <c r="AC1041" s="9">
        <v>980059</v>
      </c>
      <c r="AD1041" s="9">
        <v>926433</v>
      </c>
      <c r="AE1041" s="7">
        <v>0.17644823372242999</v>
      </c>
      <c r="AF1041" s="7">
        <v>0.48581407223163398</v>
      </c>
      <c r="AG1041" s="7">
        <v>0.868710842660816</v>
      </c>
      <c r="AH1041" s="7">
        <v>0.56882199100478104</v>
      </c>
      <c r="AI1041" s="7">
        <v>0.47765581184536299</v>
      </c>
      <c r="AJ1041" s="7">
        <v>0.48178273946253902</v>
      </c>
      <c r="AK1041" s="7">
        <v>0.48148365202138499</v>
      </c>
      <c r="AL1041" s="7">
        <v>0.50115008814066597</v>
      </c>
      <c r="AM1041" s="7">
        <v>0.538669621261333</v>
      </c>
      <c r="AN1041" s="7">
        <v>0.87335391098315696</v>
      </c>
      <c r="AO1041" s="7">
        <v>0.56256855590355503</v>
      </c>
      <c r="AP1041" s="7">
        <v>0.53178651987991199</v>
      </c>
      <c r="AQ1041" s="9">
        <v>605536</v>
      </c>
    </row>
    <row r="1042" spans="1:43" ht="15">
      <c r="A1042" s="2" t="s">
        <v>3639</v>
      </c>
      <c r="B1042" s="5">
        <v>6333650</v>
      </c>
      <c r="C1042" s="2" t="s">
        <v>23</v>
      </c>
      <c r="D1042" s="2" t="s">
        <v>3640</v>
      </c>
      <c r="E1042" s="2" t="s">
        <v>3641</v>
      </c>
      <c r="F1042" s="2" t="s">
        <v>26</v>
      </c>
      <c r="G1042" s="2" t="s">
        <v>26</v>
      </c>
      <c r="H1042" s="2" t="s">
        <v>27</v>
      </c>
      <c r="I1042" s="2" t="s">
        <v>40</v>
      </c>
      <c r="J1042" s="6"/>
      <c r="K1042" s="2" t="s">
        <v>987</v>
      </c>
      <c r="L1042" s="2" t="s">
        <v>42</v>
      </c>
      <c r="M1042" s="2" t="s">
        <v>987</v>
      </c>
      <c r="N1042" s="2"/>
      <c r="O1042" s="2"/>
      <c r="P1042" s="7">
        <v>2.8881088076000001</v>
      </c>
      <c r="Q1042" s="8">
        <v>2.3871192006239998</v>
      </c>
      <c r="R1042" s="9">
        <v>0</v>
      </c>
      <c r="S1042" s="2" t="s">
        <v>3642</v>
      </c>
      <c r="T1042" s="9">
        <v>0</v>
      </c>
      <c r="U1042" s="9">
        <v>0</v>
      </c>
      <c r="V1042" s="9">
        <v>0</v>
      </c>
      <c r="W1042" s="9">
        <v>0</v>
      </c>
      <c r="X1042" s="9">
        <v>0</v>
      </c>
      <c r="Y1042" s="9">
        <v>0</v>
      </c>
      <c r="Z1042" s="9">
        <v>40</v>
      </c>
      <c r="AA1042" s="9">
        <v>98</v>
      </c>
      <c r="AB1042" s="9">
        <v>0</v>
      </c>
      <c r="AC1042" s="9">
        <v>0</v>
      </c>
      <c r="AD1042" s="9">
        <v>0</v>
      </c>
      <c r="AE1042" s="7">
        <v>0</v>
      </c>
      <c r="AF1042" s="7">
        <v>0</v>
      </c>
      <c r="AG1042" s="7">
        <v>0</v>
      </c>
      <c r="AH1042" s="7">
        <v>0</v>
      </c>
      <c r="AI1042" s="7">
        <v>0</v>
      </c>
      <c r="AJ1042" s="7">
        <v>0</v>
      </c>
      <c r="AK1042" s="7">
        <v>0</v>
      </c>
      <c r="AL1042" s="7">
        <v>0.00200507614213198</v>
      </c>
      <c r="AM1042" s="7">
        <v>0.00498799257945488</v>
      </c>
      <c r="AN1042" s="7">
        <v>0</v>
      </c>
      <c r="AO1042" s="7">
        <v>0</v>
      </c>
      <c r="AP1042" s="7">
        <v>0</v>
      </c>
      <c r="AQ1042" s="9">
        <v>0</v>
      </c>
    </row>
    <row r="1043" spans="1:43" ht="15">
      <c r="A1043" s="2" t="s">
        <v>3643</v>
      </c>
      <c r="B1043" s="5">
        <v>4980779</v>
      </c>
      <c r="C1043" s="2" t="s">
        <v>23</v>
      </c>
      <c r="D1043" s="2" t="s">
        <v>3644</v>
      </c>
      <c r="E1043" s="2" t="s">
        <v>3645</v>
      </c>
      <c r="F1043" s="2" t="s">
        <v>26</v>
      </c>
      <c r="G1043" s="2" t="s">
        <v>26</v>
      </c>
      <c r="H1043" s="2" t="s">
        <v>27</v>
      </c>
      <c r="I1043" s="2" t="s">
        <v>40</v>
      </c>
      <c r="J1043" s="6"/>
      <c r="K1043" s="2" t="s">
        <v>3646</v>
      </c>
      <c r="L1043" s="2" t="s">
        <v>42</v>
      </c>
      <c r="M1043" s="2" t="s">
        <v>1596</v>
      </c>
      <c r="N1043" s="2" t="s">
        <v>3646</v>
      </c>
      <c r="O1043" s="2"/>
      <c r="P1043" s="7">
        <v>109.14162886245499</v>
      </c>
      <c r="Q1043" s="8">
        <v>84.269962163520006</v>
      </c>
      <c r="R1043" s="9">
        <v>2904</v>
      </c>
      <c r="S1043" s="2" t="s">
        <v>3647</v>
      </c>
      <c r="T1043" s="9">
        <v>34142</v>
      </c>
      <c r="U1043" s="9">
        <v>24858</v>
      </c>
      <c r="V1043" s="9">
        <v>50792</v>
      </c>
      <c r="W1043" s="9">
        <v>44537</v>
      </c>
      <c r="X1043" s="9">
        <v>45014</v>
      </c>
      <c r="Y1043" s="9">
        <v>41958</v>
      </c>
      <c r="Z1043" s="9">
        <v>47086</v>
      </c>
      <c r="AA1043" s="9">
        <v>52947</v>
      </c>
      <c r="AB1043" s="9">
        <v>22389</v>
      </c>
      <c r="AC1043" s="9">
        <v>38511</v>
      </c>
      <c r="AD1043" s="9">
        <v>45248</v>
      </c>
      <c r="AE1043" s="7">
        <v>0.0053350273908776896</v>
      </c>
      <c r="AF1043" s="7">
        <v>0.062733197060668405</v>
      </c>
      <c r="AG1043" s="7">
        <v>0.0456754874327059</v>
      </c>
      <c r="AH1043" s="7">
        <v>0.093327177833791894</v>
      </c>
      <c r="AI1043" s="7">
        <v>0.081833506685588905</v>
      </c>
      <c r="AJ1043" s="7">
        <v>0.082711626094262594</v>
      </c>
      <c r="AK1043" s="7">
        <v>0.077096422358157501</v>
      </c>
      <c r="AL1043" s="7">
        <v>0.086518729380424</v>
      </c>
      <c r="AM1043" s="7">
        <v>0.097287259562458706</v>
      </c>
      <c r="AN1043" s="7">
        <v>0.041138951076305899</v>
      </c>
      <c r="AO1043" s="7">
        <v>0.070761951888946503</v>
      </c>
      <c r="AP1043" s="7">
        <v>0.083140950448279002</v>
      </c>
      <c r="AQ1043" s="9">
        <v>2448</v>
      </c>
    </row>
    <row r="1044" spans="1:43" ht="15">
      <c r="A1044" s="2" t="s">
        <v>3648</v>
      </c>
      <c r="B1044" s="5">
        <v>4397749</v>
      </c>
      <c r="C1044" s="2" t="s">
        <v>46</v>
      </c>
      <c r="D1044" s="2" t="s">
        <v>3649</v>
      </c>
      <c r="E1044" s="2" t="s">
        <v>3650</v>
      </c>
      <c r="F1044" s="2" t="s">
        <v>49</v>
      </c>
      <c r="G1044" s="2" t="s">
        <v>49</v>
      </c>
      <c r="H1044" s="2" t="s">
        <v>50</v>
      </c>
      <c r="I1044" s="2" t="s">
        <v>40</v>
      </c>
      <c r="J1044" s="6"/>
      <c r="K1044" s="2" t="s">
        <v>3202</v>
      </c>
      <c r="L1044" s="2" t="s">
        <v>42</v>
      </c>
      <c r="M1044" s="2" t="s">
        <v>43</v>
      </c>
      <c r="N1044" s="2" t="s">
        <v>3202</v>
      </c>
      <c r="O1044" s="2"/>
      <c r="P1044" s="6" t="s">
        <v>57</v>
      </c>
      <c r="Q1044" s="6" t="s">
        <v>57</v>
      </c>
      <c r="R1044" s="9">
        <v>0</v>
      </c>
      <c r="S1044" s="2" t="s">
        <v>3651</v>
      </c>
      <c r="T1044" s="9">
        <v>0</v>
      </c>
      <c r="U1044" s="9">
        <v>0</v>
      </c>
      <c r="V1044" s="9">
        <v>0</v>
      </c>
      <c r="W1044" s="9">
        <v>2</v>
      </c>
      <c r="X1044" s="9">
        <v>2</v>
      </c>
      <c r="Y1044" s="9">
        <v>1</v>
      </c>
      <c r="Z1044" s="9">
        <v>3</v>
      </c>
      <c r="AA1044" s="9">
        <v>11</v>
      </c>
      <c r="AB1044" s="9">
        <v>0</v>
      </c>
      <c r="AC1044" s="9">
        <v>0</v>
      </c>
      <c r="AD1044" s="9">
        <v>2</v>
      </c>
      <c r="AE1044" s="7">
        <v>0</v>
      </c>
      <c r="AF1044" s="7">
        <v>0</v>
      </c>
      <c r="AG1044" s="7">
        <v>0</v>
      </c>
      <c r="AH1044" s="7">
        <v>0</v>
      </c>
      <c r="AI1044" s="7">
        <v>1.5557544542681299E-05</v>
      </c>
      <c r="AJ1044" s="7">
        <v>1.5495314364510599E-05</v>
      </c>
      <c r="AK1044" s="7">
        <v>1.0776038117317599E-05</v>
      </c>
      <c r="AL1044" s="7">
        <v>3.1298075442602799E-05</v>
      </c>
      <c r="AM1044" s="7">
        <v>9.7155126007514496E-05</v>
      </c>
      <c r="AN1044" s="7">
        <v>0</v>
      </c>
      <c r="AO1044" s="7">
        <v>0</v>
      </c>
      <c r="AP1044" s="7">
        <v>1.4207013458244599E-05</v>
      </c>
      <c r="AQ1044" s="9">
        <v>0</v>
      </c>
    </row>
    <row r="1045" spans="1:43" ht="15">
      <c r="A1045" s="2" t="s">
        <v>3652</v>
      </c>
      <c r="B1045" s="5">
        <v>19156925</v>
      </c>
      <c r="C1045" s="2" t="s">
        <v>23</v>
      </c>
      <c r="D1045" s="2" t="s">
        <v>3653</v>
      </c>
      <c r="E1045" s="2" t="s">
        <v>3654</v>
      </c>
      <c r="F1045" s="2" t="s">
        <v>26</v>
      </c>
      <c r="G1045" s="2" t="s">
        <v>26</v>
      </c>
      <c r="H1045" s="2" t="s">
        <v>27</v>
      </c>
      <c r="I1045" s="2" t="s">
        <v>28</v>
      </c>
      <c r="J1045" s="6"/>
      <c r="K1045" s="2" t="s">
        <v>55</v>
      </c>
      <c r="L1045" s="2" t="s">
        <v>56</v>
      </c>
      <c r="M1045" s="2" t="s">
        <v>55</v>
      </c>
      <c r="N1045" s="2"/>
      <c r="O1045" s="2"/>
      <c r="P1045" s="7">
        <v>6.8671104195546899</v>
      </c>
      <c r="Q1045" s="6" t="s">
        <v>57</v>
      </c>
      <c r="R1045" s="9">
        <v>0</v>
      </c>
      <c r="S1045" s="2"/>
      <c r="T1045" s="9">
        <v>0</v>
      </c>
      <c r="U1045" s="9">
        <v>0</v>
      </c>
      <c r="V1045" s="9">
        <v>0</v>
      </c>
      <c r="W1045" s="9">
        <v>0</v>
      </c>
      <c r="X1045" s="9">
        <v>0</v>
      </c>
      <c r="Y1045" s="9">
        <v>0</v>
      </c>
      <c r="Z1045" s="9">
        <v>0</v>
      </c>
      <c r="AA1045" s="9">
        <v>0</v>
      </c>
      <c r="AB1045" s="9">
        <v>0</v>
      </c>
      <c r="AC1045" s="9">
        <v>0</v>
      </c>
      <c r="AD1045" s="9">
        <v>0</v>
      </c>
      <c r="AE1045" s="6" t="s">
        <v>57</v>
      </c>
      <c r="AF1045" s="6" t="s">
        <v>57</v>
      </c>
      <c r="AG1045" s="6" t="s">
        <v>57</v>
      </c>
      <c r="AH1045" s="6" t="s">
        <v>57</v>
      </c>
      <c r="AI1045" s="6" t="s">
        <v>57</v>
      </c>
      <c r="AJ1045" s="6" t="s">
        <v>57</v>
      </c>
      <c r="AK1045" s="6" t="s">
        <v>57</v>
      </c>
      <c r="AL1045" s="6" t="s">
        <v>57</v>
      </c>
      <c r="AM1045" s="6" t="s">
        <v>57</v>
      </c>
      <c r="AN1045" s="6" t="s">
        <v>57</v>
      </c>
      <c r="AO1045" s="6" t="s">
        <v>57</v>
      </c>
      <c r="AP1045" s="6" t="s">
        <v>57</v>
      </c>
      <c r="AQ1045" s="9">
        <v>0</v>
      </c>
    </row>
    <row r="1046" spans="1:43" ht="15">
      <c r="A1046" s="2" t="s">
        <v>3655</v>
      </c>
      <c r="B1046" s="5">
        <v>9041745</v>
      </c>
      <c r="C1046" s="2" t="s">
        <v>23</v>
      </c>
      <c r="D1046" s="2" t="s">
        <v>3656</v>
      </c>
      <c r="E1046" s="2" t="s">
        <v>3657</v>
      </c>
      <c r="F1046" s="2" t="s">
        <v>26</v>
      </c>
      <c r="G1046" s="2" t="s">
        <v>26</v>
      </c>
      <c r="H1046" s="2" t="s">
        <v>27</v>
      </c>
      <c r="I1046" s="2" t="s">
        <v>28</v>
      </c>
      <c r="J1046" s="6"/>
      <c r="K1046" s="2" t="s">
        <v>55</v>
      </c>
      <c r="L1046" s="2" t="s">
        <v>56</v>
      </c>
      <c r="M1046" s="2" t="s">
        <v>55</v>
      </c>
      <c r="N1046" s="2"/>
      <c r="O1046" s="2"/>
      <c r="P1046" s="7">
        <v>4.0388185618233301</v>
      </c>
      <c r="Q1046" s="6" t="s">
        <v>57</v>
      </c>
      <c r="R1046" s="9">
        <v>0</v>
      </c>
      <c r="S1046" s="2"/>
      <c r="T1046" s="9">
        <v>0</v>
      </c>
      <c r="U1046" s="9">
        <v>0</v>
      </c>
      <c r="V1046" s="9">
        <v>0</v>
      </c>
      <c r="W1046" s="9">
        <v>0</v>
      </c>
      <c r="X1046" s="9">
        <v>0</v>
      </c>
      <c r="Y1046" s="9">
        <v>0</v>
      </c>
      <c r="Z1046" s="9">
        <v>0</v>
      </c>
      <c r="AA1046" s="9">
        <v>0</v>
      </c>
      <c r="AB1046" s="9">
        <v>0</v>
      </c>
      <c r="AC1046" s="9">
        <v>0</v>
      </c>
      <c r="AD1046" s="9">
        <v>0</v>
      </c>
      <c r="AE1046" s="6" t="s">
        <v>57</v>
      </c>
      <c r="AF1046" s="6" t="s">
        <v>57</v>
      </c>
      <c r="AG1046" s="6" t="s">
        <v>57</v>
      </c>
      <c r="AH1046" s="6" t="s">
        <v>57</v>
      </c>
      <c r="AI1046" s="6" t="s">
        <v>57</v>
      </c>
      <c r="AJ1046" s="6" t="s">
        <v>57</v>
      </c>
      <c r="AK1046" s="6" t="s">
        <v>57</v>
      </c>
      <c r="AL1046" s="6" t="s">
        <v>57</v>
      </c>
      <c r="AM1046" s="6" t="s">
        <v>57</v>
      </c>
      <c r="AN1046" s="6" t="s">
        <v>57</v>
      </c>
      <c r="AO1046" s="6" t="s">
        <v>57</v>
      </c>
      <c r="AP1046" s="6" t="s">
        <v>57</v>
      </c>
      <c r="AQ1046" s="9">
        <v>0</v>
      </c>
    </row>
    <row r="1047" spans="1:43" ht="15">
      <c r="A1047" s="2" t="s">
        <v>3658</v>
      </c>
      <c r="B1047" s="5">
        <v>26234847</v>
      </c>
      <c r="C1047" s="2" t="s">
        <v>23</v>
      </c>
      <c r="D1047" s="2" t="s">
        <v>3659</v>
      </c>
      <c r="E1047" s="2" t="s">
        <v>3660</v>
      </c>
      <c r="F1047" s="2" t="s">
        <v>26</v>
      </c>
      <c r="G1047" s="2" t="s">
        <v>26</v>
      </c>
      <c r="H1047" s="2" t="s">
        <v>27</v>
      </c>
      <c r="I1047" s="2" t="s">
        <v>28</v>
      </c>
      <c r="J1047" s="6"/>
      <c r="K1047" s="2" t="s">
        <v>55</v>
      </c>
      <c r="L1047" s="2" t="s">
        <v>56</v>
      </c>
      <c r="M1047" s="2" t="s">
        <v>55</v>
      </c>
      <c r="N1047" s="2"/>
      <c r="O1047" s="2"/>
      <c r="P1047" s="6" t="s">
        <v>57</v>
      </c>
      <c r="Q1047" s="6" t="s">
        <v>57</v>
      </c>
      <c r="R1047" s="9">
        <v>0</v>
      </c>
      <c r="S1047" s="2"/>
      <c r="T1047" s="9">
        <v>0</v>
      </c>
      <c r="U1047" s="9">
        <v>0</v>
      </c>
      <c r="V1047" s="9">
        <v>0</v>
      </c>
      <c r="W1047" s="9">
        <v>0</v>
      </c>
      <c r="X1047" s="9">
        <v>0</v>
      </c>
      <c r="Y1047" s="9">
        <v>0</v>
      </c>
      <c r="Z1047" s="9">
        <v>88</v>
      </c>
      <c r="AA1047" s="9">
        <v>88</v>
      </c>
      <c r="AB1047" s="9">
        <v>0</v>
      </c>
      <c r="AC1047" s="9">
        <v>0</v>
      </c>
      <c r="AD1047" s="9">
        <v>0</v>
      </c>
      <c r="AE1047" s="6" t="s">
        <v>57</v>
      </c>
      <c r="AF1047" s="6" t="s">
        <v>57</v>
      </c>
      <c r="AG1047" s="6" t="s">
        <v>57</v>
      </c>
      <c r="AH1047" s="6" t="s">
        <v>57</v>
      </c>
      <c r="AI1047" s="6" t="s">
        <v>57</v>
      </c>
      <c r="AJ1047" s="6" t="s">
        <v>57</v>
      </c>
      <c r="AK1047" s="6" t="s">
        <v>57</v>
      </c>
      <c r="AL1047" s="6" t="s">
        <v>57</v>
      </c>
      <c r="AM1047" s="6" t="s">
        <v>57</v>
      </c>
      <c r="AN1047" s="6" t="s">
        <v>57</v>
      </c>
      <c r="AO1047" s="6" t="s">
        <v>57</v>
      </c>
      <c r="AP1047" s="6" t="s">
        <v>57</v>
      </c>
      <c r="AQ1047" s="9">
        <v>0</v>
      </c>
    </row>
    <row r="1048" spans="1:43" ht="15">
      <c r="A1048" s="2" t="s">
        <v>3661</v>
      </c>
      <c r="B1048" s="5">
        <v>4206551</v>
      </c>
      <c r="C1048" s="2" t="s">
        <v>23</v>
      </c>
      <c r="D1048" s="2" t="s">
        <v>3662</v>
      </c>
      <c r="E1048" s="2" t="s">
        <v>3663</v>
      </c>
      <c r="F1048" s="2" t="s">
        <v>26</v>
      </c>
      <c r="G1048" s="2" t="s">
        <v>26</v>
      </c>
      <c r="H1048" s="2" t="s">
        <v>27</v>
      </c>
      <c r="I1048" s="2" t="s">
        <v>40</v>
      </c>
      <c r="J1048" s="6"/>
      <c r="K1048" s="2" t="s">
        <v>1528</v>
      </c>
      <c r="L1048" s="2" t="s">
        <v>247</v>
      </c>
      <c r="M1048" s="2" t="s">
        <v>248</v>
      </c>
      <c r="N1048" s="2" t="s">
        <v>1528</v>
      </c>
      <c r="O1048" s="2"/>
      <c r="P1048" s="7">
        <v>554.61860675620096</v>
      </c>
      <c r="Q1048" s="8">
        <v>639.81161710771198</v>
      </c>
      <c r="R1048" s="9">
        <v>0</v>
      </c>
      <c r="S1048" s="2" t="s">
        <v>3664</v>
      </c>
      <c r="T1048" s="9">
        <v>0</v>
      </c>
      <c r="U1048" s="9">
        <v>70</v>
      </c>
      <c r="V1048" s="9">
        <v>344</v>
      </c>
      <c r="W1048" s="9">
        <v>2036</v>
      </c>
      <c r="X1048" s="9">
        <v>2028</v>
      </c>
      <c r="Y1048" s="9">
        <v>1474</v>
      </c>
      <c r="Z1048" s="9">
        <v>1396</v>
      </c>
      <c r="AA1048" s="9">
        <v>1083</v>
      </c>
      <c r="AB1048" s="9">
        <v>62</v>
      </c>
      <c r="AC1048" s="9">
        <v>352</v>
      </c>
      <c r="AD1048" s="9">
        <v>2489</v>
      </c>
      <c r="AE1048" s="7">
        <v>0</v>
      </c>
      <c r="AF1048" s="7">
        <v>0</v>
      </c>
      <c r="AG1048" s="7">
        <v>2.6894306522770799E-05</v>
      </c>
      <c r="AH1048" s="7">
        <v>0.00013186390215203899</v>
      </c>
      <c r="AI1048" s="7">
        <v>0.00077991277450410105</v>
      </c>
      <c r="AJ1048" s="7">
        <v>0.00077679312340608495</v>
      </c>
      <c r="AK1048" s="7">
        <v>0.00056471848769521003</v>
      </c>
      <c r="AL1048" s="7">
        <v>0.00053475469100571198</v>
      </c>
      <c r="AM1048" s="7">
        <v>0.00041501279276906001</v>
      </c>
      <c r="AN1048" s="7">
        <v>2.3713504691548601E-05</v>
      </c>
      <c r="AO1048" s="7">
        <v>0.00013498934973316701</v>
      </c>
      <c r="AP1048" s="7">
        <v>0.00095359534197472697</v>
      </c>
      <c r="AQ1048" s="9">
        <v>0</v>
      </c>
    </row>
    <row r="1049" spans="1:43" ht="15">
      <c r="A1049" s="2" t="s">
        <v>3665</v>
      </c>
      <c r="B1049" s="5">
        <v>4434697</v>
      </c>
      <c r="C1049" s="2" t="s">
        <v>35</v>
      </c>
      <c r="D1049" s="2" t="s">
        <v>3666</v>
      </c>
      <c r="E1049" s="2" t="s">
        <v>3667</v>
      </c>
      <c r="F1049" s="2" t="s">
        <v>38</v>
      </c>
      <c r="G1049" s="2" t="s">
        <v>38</v>
      </c>
      <c r="H1049" s="2" t="s">
        <v>39</v>
      </c>
      <c r="I1049" s="2" t="s">
        <v>40</v>
      </c>
      <c r="J1049" s="6"/>
      <c r="K1049" s="2" t="s">
        <v>1445</v>
      </c>
      <c r="L1049" s="2" t="s">
        <v>56</v>
      </c>
      <c r="M1049" s="2" t="s">
        <v>1445</v>
      </c>
      <c r="N1049" s="2"/>
      <c r="O1049" s="2"/>
      <c r="P1049" s="7">
        <v>83.229610336739995</v>
      </c>
      <c r="Q1049" s="6" t="s">
        <v>57</v>
      </c>
      <c r="R1049" s="9">
        <v>14203</v>
      </c>
      <c r="S1049" s="2" t="s">
        <v>3668</v>
      </c>
      <c r="T1049" s="9">
        <v>40446</v>
      </c>
      <c r="U1049" s="9">
        <v>35808</v>
      </c>
      <c r="V1049" s="9">
        <v>29082</v>
      </c>
      <c r="W1049" s="9">
        <v>29082</v>
      </c>
      <c r="X1049" s="9">
        <v>29082</v>
      </c>
      <c r="Y1049" s="9">
        <v>29082</v>
      </c>
      <c r="Z1049" s="9">
        <v>29082</v>
      </c>
      <c r="AA1049" s="9">
        <v>29082</v>
      </c>
      <c r="AB1049" s="9">
        <v>33837</v>
      </c>
      <c r="AC1049" s="9">
        <v>29082</v>
      </c>
      <c r="AD1049" s="9">
        <v>29082</v>
      </c>
      <c r="AE1049" s="7">
        <v>0.097601761338462406</v>
      </c>
      <c r="AF1049" s="7">
        <v>0.27795341475204299</v>
      </c>
      <c r="AG1049" s="7">
        <v>0.24607557672649799</v>
      </c>
      <c r="AH1049" s="7">
        <v>0.199853552676268</v>
      </c>
      <c r="AI1049" s="7">
        <v>0.199853552676268</v>
      </c>
      <c r="AJ1049" s="7">
        <v>0.199853552676268</v>
      </c>
      <c r="AK1049" s="7">
        <v>0.199853552676268</v>
      </c>
      <c r="AL1049" s="7">
        <v>0.199853552676268</v>
      </c>
      <c r="AM1049" s="7">
        <v>0.199853552676268</v>
      </c>
      <c r="AN1049" s="7">
        <v>0.23253306096881199</v>
      </c>
      <c r="AO1049" s="7">
        <v>0.199853552676268</v>
      </c>
      <c r="AP1049" s="7">
        <v>0.199853552676268</v>
      </c>
      <c r="AQ1049" s="9">
        <v>12794</v>
      </c>
    </row>
    <row r="1050" spans="1:43" ht="15">
      <c r="A1050" s="2" t="s">
        <v>3669</v>
      </c>
      <c r="B1050" s="5">
        <v>7722205</v>
      </c>
      <c r="C1050" s="2" t="s">
        <v>23</v>
      </c>
      <c r="D1050" s="2" t="s">
        <v>3670</v>
      </c>
      <c r="E1050" s="2" t="s">
        <v>3671</v>
      </c>
      <c r="F1050" s="2" t="s">
        <v>26</v>
      </c>
      <c r="G1050" s="2" t="s">
        <v>26</v>
      </c>
      <c r="H1050" s="2" t="s">
        <v>27</v>
      </c>
      <c r="I1050" s="2" t="s">
        <v>28</v>
      </c>
      <c r="J1050" s="6"/>
      <c r="K1050" s="2" t="s">
        <v>55</v>
      </c>
      <c r="L1050" s="2" t="s">
        <v>56</v>
      </c>
      <c r="M1050" s="2" t="s">
        <v>55</v>
      </c>
      <c r="N1050" s="2"/>
      <c r="O1050" s="2"/>
      <c r="P1050" s="7">
        <v>8.6821917001745792</v>
      </c>
      <c r="Q1050" s="6" t="s">
        <v>57</v>
      </c>
      <c r="R1050" s="9">
        <v>341</v>
      </c>
      <c r="S1050" s="2"/>
      <c r="T1050" s="9">
        <v>254</v>
      </c>
      <c r="U1050" s="9">
        <v>64</v>
      </c>
      <c r="V1050" s="9">
        <v>40</v>
      </c>
      <c r="W1050" s="9">
        <v>47</v>
      </c>
      <c r="X1050" s="9">
        <v>47</v>
      </c>
      <c r="Y1050" s="9">
        <v>28</v>
      </c>
      <c r="Z1050" s="9">
        <v>25</v>
      </c>
      <c r="AA1050" s="9">
        <v>49</v>
      </c>
      <c r="AB1050" s="9">
        <v>72</v>
      </c>
      <c r="AC1050" s="9">
        <v>42</v>
      </c>
      <c r="AD1050" s="9">
        <v>36</v>
      </c>
      <c r="AE1050" s="6" t="s">
        <v>57</v>
      </c>
      <c r="AF1050" s="6" t="s">
        <v>57</v>
      </c>
      <c r="AG1050" s="6" t="s">
        <v>57</v>
      </c>
      <c r="AH1050" s="6" t="s">
        <v>57</v>
      </c>
      <c r="AI1050" s="6" t="s">
        <v>57</v>
      </c>
      <c r="AJ1050" s="6" t="s">
        <v>57</v>
      </c>
      <c r="AK1050" s="6" t="s">
        <v>57</v>
      </c>
      <c r="AL1050" s="6" t="s">
        <v>57</v>
      </c>
      <c r="AM1050" s="6" t="s">
        <v>57</v>
      </c>
      <c r="AN1050" s="6" t="s">
        <v>57</v>
      </c>
      <c r="AO1050" s="6" t="s">
        <v>57</v>
      </c>
      <c r="AP1050" s="6" t="s">
        <v>57</v>
      </c>
      <c r="AQ1050" s="9">
        <v>277</v>
      </c>
    </row>
    <row r="1051" spans="1:43" ht="15">
      <c r="A1051" s="2" t="s">
        <v>3672</v>
      </c>
      <c r="B1051" s="5">
        <v>112799451</v>
      </c>
      <c r="C1051" s="2" t="s">
        <v>23</v>
      </c>
      <c r="D1051" s="2" t="s">
        <v>3673</v>
      </c>
      <c r="E1051" s="2" t="s">
        <v>3674</v>
      </c>
      <c r="F1051" s="2" t="s">
        <v>26</v>
      </c>
      <c r="G1051" s="2" t="s">
        <v>26</v>
      </c>
      <c r="H1051" s="2" t="s">
        <v>27</v>
      </c>
      <c r="I1051" s="2" t="s">
        <v>28</v>
      </c>
      <c r="J1051" s="6"/>
      <c r="K1051" s="2" t="s">
        <v>55</v>
      </c>
      <c r="L1051" s="2" t="s">
        <v>56</v>
      </c>
      <c r="M1051" s="2" t="s">
        <v>55</v>
      </c>
      <c r="N1051" s="2"/>
      <c r="O1051" s="2"/>
      <c r="P1051" s="6" t="s">
        <v>57</v>
      </c>
      <c r="Q1051" s="6" t="s">
        <v>57</v>
      </c>
      <c r="R1051" s="9">
        <v>0</v>
      </c>
      <c r="S1051" s="2"/>
      <c r="T1051" s="9">
        <v>0</v>
      </c>
      <c r="U1051" s="9">
        <v>0</v>
      </c>
      <c r="V1051" s="9">
        <v>0</v>
      </c>
      <c r="W1051" s="9">
        <v>28</v>
      </c>
      <c r="X1051" s="9">
        <v>28</v>
      </c>
      <c r="Y1051" s="9">
        <v>34</v>
      </c>
      <c r="Z1051" s="9">
        <v>30</v>
      </c>
      <c r="AA1051" s="9">
        <v>30</v>
      </c>
      <c r="AB1051" s="9">
        <v>0</v>
      </c>
      <c r="AC1051" s="9">
        <v>0</v>
      </c>
      <c r="AD1051" s="9">
        <v>0</v>
      </c>
      <c r="AE1051" s="6" t="s">
        <v>57</v>
      </c>
      <c r="AF1051" s="6" t="s">
        <v>57</v>
      </c>
      <c r="AG1051" s="6" t="s">
        <v>57</v>
      </c>
      <c r="AH1051" s="6" t="s">
        <v>57</v>
      </c>
      <c r="AI1051" s="6" t="s">
        <v>57</v>
      </c>
      <c r="AJ1051" s="6" t="s">
        <v>57</v>
      </c>
      <c r="AK1051" s="6" t="s">
        <v>57</v>
      </c>
      <c r="AL1051" s="6" t="s">
        <v>57</v>
      </c>
      <c r="AM1051" s="6" t="s">
        <v>57</v>
      </c>
      <c r="AN1051" s="6" t="s">
        <v>57</v>
      </c>
      <c r="AO1051" s="6" t="s">
        <v>57</v>
      </c>
      <c r="AP1051" s="6" t="s">
        <v>57</v>
      </c>
      <c r="AQ1051" s="9">
        <v>0</v>
      </c>
    </row>
    <row r="1052" spans="1:43" ht="15">
      <c r="A1052" s="2" t="s">
        <v>3675</v>
      </c>
      <c r="B1052" s="5">
        <v>140414252</v>
      </c>
      <c r="C1052" s="2" t="s">
        <v>23</v>
      </c>
      <c r="D1052" s="2" t="s">
        <v>3676</v>
      </c>
      <c r="E1052" s="2" t="s">
        <v>3677</v>
      </c>
      <c r="F1052" s="2" t="s">
        <v>26</v>
      </c>
      <c r="G1052" s="2" t="s">
        <v>26</v>
      </c>
      <c r="H1052" s="2" t="s">
        <v>27</v>
      </c>
      <c r="I1052" s="2" t="s">
        <v>28</v>
      </c>
      <c r="J1052" s="6"/>
      <c r="K1052" s="2" t="s">
        <v>55</v>
      </c>
      <c r="L1052" s="2" t="s">
        <v>56</v>
      </c>
      <c r="M1052" s="2" t="s">
        <v>55</v>
      </c>
      <c r="N1052" s="2"/>
      <c r="O1052" s="2"/>
      <c r="P1052" s="6" t="s">
        <v>57</v>
      </c>
      <c r="Q1052" s="6" t="s">
        <v>57</v>
      </c>
      <c r="R1052" s="6" t="s">
        <v>57</v>
      </c>
      <c r="S1052" s="2"/>
      <c r="T1052" s="6" t="s">
        <v>57</v>
      </c>
      <c r="U1052" s="6" t="s">
        <v>57</v>
      </c>
      <c r="V1052" s="6" t="s">
        <v>57</v>
      </c>
      <c r="W1052" s="6" t="s">
        <v>57</v>
      </c>
      <c r="X1052" s="6" t="s">
        <v>57</v>
      </c>
      <c r="Y1052" s="6" t="s">
        <v>57</v>
      </c>
      <c r="Z1052" s="6" t="s">
        <v>57</v>
      </c>
      <c r="AA1052" s="6" t="s">
        <v>57</v>
      </c>
      <c r="AB1052" s="6" t="s">
        <v>57</v>
      </c>
      <c r="AC1052" s="6" t="s">
        <v>57</v>
      </c>
      <c r="AD1052" s="6" t="s">
        <v>57</v>
      </c>
      <c r="AE1052" s="6" t="s">
        <v>57</v>
      </c>
      <c r="AF1052" s="6" t="s">
        <v>57</v>
      </c>
      <c r="AG1052" s="6" t="s">
        <v>57</v>
      </c>
      <c r="AH1052" s="6" t="s">
        <v>57</v>
      </c>
      <c r="AI1052" s="6" t="s">
        <v>57</v>
      </c>
      <c r="AJ1052" s="6" t="s">
        <v>57</v>
      </c>
      <c r="AK1052" s="6" t="s">
        <v>57</v>
      </c>
      <c r="AL1052" s="6" t="s">
        <v>57</v>
      </c>
      <c r="AM1052" s="6" t="s">
        <v>57</v>
      </c>
      <c r="AN1052" s="6" t="s">
        <v>57</v>
      </c>
      <c r="AO1052" s="6" t="s">
        <v>57</v>
      </c>
      <c r="AP1052" s="6" t="s">
        <v>57</v>
      </c>
      <c r="AQ1052" s="6" t="s">
        <v>57</v>
      </c>
    </row>
    <row r="1053" spans="1:43" ht="15">
      <c r="A1053" s="2" t="s">
        <v>3678</v>
      </c>
      <c r="B1053" s="5">
        <v>135532313</v>
      </c>
      <c r="C1053" s="2" t="s">
        <v>23</v>
      </c>
      <c r="D1053" s="2" t="s">
        <v>3679</v>
      </c>
      <c r="E1053" s="2" t="s">
        <v>3680</v>
      </c>
      <c r="F1053" s="2" t="s">
        <v>26</v>
      </c>
      <c r="G1053" s="2" t="s">
        <v>26</v>
      </c>
      <c r="H1053" s="2" t="s">
        <v>27</v>
      </c>
      <c r="I1053" s="2" t="s">
        <v>28</v>
      </c>
      <c r="J1053" s="6"/>
      <c r="K1053" s="2" t="s">
        <v>55</v>
      </c>
      <c r="L1053" s="2" t="s">
        <v>56</v>
      </c>
      <c r="M1053" s="2" t="s">
        <v>55</v>
      </c>
      <c r="N1053" s="2"/>
      <c r="O1053" s="2"/>
      <c r="P1053" s="6" t="s">
        <v>57</v>
      </c>
      <c r="Q1053" s="6" t="s">
        <v>57</v>
      </c>
      <c r="R1053" s="9">
        <v>4642</v>
      </c>
      <c r="S1053" s="2"/>
      <c r="T1053" s="9">
        <v>4642</v>
      </c>
      <c r="U1053" s="9">
        <v>4642</v>
      </c>
      <c r="V1053" s="9">
        <v>4642</v>
      </c>
      <c r="W1053" s="9">
        <v>4642</v>
      </c>
      <c r="X1053" s="9">
        <v>4642</v>
      </c>
      <c r="Y1053" s="9">
        <v>4642</v>
      </c>
      <c r="Z1053" s="9">
        <v>4642</v>
      </c>
      <c r="AA1053" s="9">
        <v>4642</v>
      </c>
      <c r="AB1053" s="9">
        <v>4642</v>
      </c>
      <c r="AC1053" s="9">
        <v>4642</v>
      </c>
      <c r="AD1053" s="9">
        <v>4642</v>
      </c>
      <c r="AE1053" s="6" t="s">
        <v>57</v>
      </c>
      <c r="AF1053" s="6" t="s">
        <v>57</v>
      </c>
      <c r="AG1053" s="6" t="s">
        <v>57</v>
      </c>
      <c r="AH1053" s="6" t="s">
        <v>57</v>
      </c>
      <c r="AI1053" s="6" t="s">
        <v>57</v>
      </c>
      <c r="AJ1053" s="6" t="s">
        <v>57</v>
      </c>
      <c r="AK1053" s="6" t="s">
        <v>57</v>
      </c>
      <c r="AL1053" s="6" t="s">
        <v>57</v>
      </c>
      <c r="AM1053" s="6" t="s">
        <v>57</v>
      </c>
      <c r="AN1053" s="6" t="s">
        <v>57</v>
      </c>
      <c r="AO1053" s="6" t="s">
        <v>57</v>
      </c>
      <c r="AP1053" s="6" t="s">
        <v>57</v>
      </c>
      <c r="AQ1053" s="9">
        <v>0</v>
      </c>
    </row>
    <row r="1054" spans="1:43" ht="15">
      <c r="A1054" s="2" t="s">
        <v>3681</v>
      </c>
      <c r="B1054" s="5">
        <v>15331109</v>
      </c>
      <c r="C1054" s="2" t="s">
        <v>23</v>
      </c>
      <c r="D1054" s="2" t="s">
        <v>3682</v>
      </c>
      <c r="E1054" s="2" t="s">
        <v>3683</v>
      </c>
      <c r="F1054" s="2" t="s">
        <v>26</v>
      </c>
      <c r="G1054" s="2" t="s">
        <v>26</v>
      </c>
      <c r="H1054" s="2" t="s">
        <v>27</v>
      </c>
      <c r="I1054" s="2" t="s">
        <v>28</v>
      </c>
      <c r="J1054" s="6"/>
      <c r="K1054" s="2" t="s">
        <v>55</v>
      </c>
      <c r="L1054" s="2" t="s">
        <v>56</v>
      </c>
      <c r="M1054" s="2" t="s">
        <v>55</v>
      </c>
      <c r="N1054" s="2"/>
      <c r="O1054" s="2"/>
      <c r="P1054" s="7">
        <v>143.321694365566</v>
      </c>
      <c r="Q1054" s="6" t="s">
        <v>57</v>
      </c>
      <c r="R1054" s="9">
        <v>0</v>
      </c>
      <c r="S1054" s="2"/>
      <c r="T1054" s="9">
        <v>0</v>
      </c>
      <c r="U1054" s="9">
        <v>0</v>
      </c>
      <c r="V1054" s="9">
        <v>14033</v>
      </c>
      <c r="W1054" s="9">
        <v>14033</v>
      </c>
      <c r="X1054" s="9">
        <v>14033</v>
      </c>
      <c r="Y1054" s="9">
        <v>14033</v>
      </c>
      <c r="Z1054" s="9">
        <v>14033</v>
      </c>
      <c r="AA1054" s="9">
        <v>14033</v>
      </c>
      <c r="AB1054" s="9">
        <v>0</v>
      </c>
      <c r="AC1054" s="9">
        <v>14033</v>
      </c>
      <c r="AD1054" s="9">
        <v>14033</v>
      </c>
      <c r="AE1054" s="6" t="s">
        <v>57</v>
      </c>
      <c r="AF1054" s="6" t="s">
        <v>57</v>
      </c>
      <c r="AG1054" s="6" t="s">
        <v>57</v>
      </c>
      <c r="AH1054" s="6" t="s">
        <v>57</v>
      </c>
      <c r="AI1054" s="6" t="s">
        <v>57</v>
      </c>
      <c r="AJ1054" s="6" t="s">
        <v>57</v>
      </c>
      <c r="AK1054" s="6" t="s">
        <v>57</v>
      </c>
      <c r="AL1054" s="6" t="s">
        <v>57</v>
      </c>
      <c r="AM1054" s="6" t="s">
        <v>57</v>
      </c>
      <c r="AN1054" s="6" t="s">
        <v>57</v>
      </c>
      <c r="AO1054" s="6" t="s">
        <v>57</v>
      </c>
      <c r="AP1054" s="6" t="s">
        <v>57</v>
      </c>
      <c r="AQ1054" s="9">
        <v>0</v>
      </c>
    </row>
    <row r="1055" spans="1:43" ht="15">
      <c r="A1055" s="2" t="s">
        <v>3684</v>
      </c>
      <c r="B1055" s="5">
        <v>29245659</v>
      </c>
      <c r="C1055" s="2" t="s">
        <v>23</v>
      </c>
      <c r="D1055" s="2" t="s">
        <v>3685</v>
      </c>
      <c r="E1055" s="2" t="s">
        <v>3686</v>
      </c>
      <c r="F1055" s="2" t="s">
        <v>26</v>
      </c>
      <c r="G1055" s="2" t="s">
        <v>26</v>
      </c>
      <c r="H1055" s="2" t="s">
        <v>27</v>
      </c>
      <c r="I1055" s="2" t="s">
        <v>28</v>
      </c>
      <c r="J1055" s="6"/>
      <c r="K1055" s="2" t="s">
        <v>55</v>
      </c>
      <c r="L1055" s="2" t="s">
        <v>56</v>
      </c>
      <c r="M1055" s="2" t="s">
        <v>55</v>
      </c>
      <c r="N1055" s="2"/>
      <c r="O1055" s="2"/>
      <c r="P1055" s="6" t="s">
        <v>57</v>
      </c>
      <c r="Q1055" s="6" t="s">
        <v>57</v>
      </c>
      <c r="R1055" s="9">
        <v>0</v>
      </c>
      <c r="S1055" s="2"/>
      <c r="T1055" s="9">
        <v>0</v>
      </c>
      <c r="U1055" s="9">
        <v>0</v>
      </c>
      <c r="V1055" s="9">
        <v>132</v>
      </c>
      <c r="W1055" s="9">
        <v>33477</v>
      </c>
      <c r="X1055" s="9">
        <v>33343</v>
      </c>
      <c r="Y1055" s="9">
        <v>18850</v>
      </c>
      <c r="Z1055" s="9">
        <v>22985</v>
      </c>
      <c r="AA1055" s="9">
        <v>22985</v>
      </c>
      <c r="AB1055" s="9">
        <v>0</v>
      </c>
      <c r="AC1055" s="9">
        <v>138</v>
      </c>
      <c r="AD1055" s="9">
        <v>68</v>
      </c>
      <c r="AE1055" s="6" t="s">
        <v>57</v>
      </c>
      <c r="AF1055" s="6" t="s">
        <v>57</v>
      </c>
      <c r="AG1055" s="6" t="s">
        <v>57</v>
      </c>
      <c r="AH1055" s="6" t="s">
        <v>57</v>
      </c>
      <c r="AI1055" s="6" t="s">
        <v>57</v>
      </c>
      <c r="AJ1055" s="6" t="s">
        <v>57</v>
      </c>
      <c r="AK1055" s="6" t="s">
        <v>57</v>
      </c>
      <c r="AL1055" s="6" t="s">
        <v>57</v>
      </c>
      <c r="AM1055" s="6" t="s">
        <v>57</v>
      </c>
      <c r="AN1055" s="6" t="s">
        <v>57</v>
      </c>
      <c r="AO1055" s="6" t="s">
        <v>57</v>
      </c>
      <c r="AP1055" s="6" t="s">
        <v>57</v>
      </c>
      <c r="AQ1055" s="9">
        <v>0</v>
      </c>
    </row>
    <row r="1056" spans="1:43" ht="15">
      <c r="A1056" s="2" t="s">
        <v>3687</v>
      </c>
      <c r="B1056" s="5">
        <v>119064186</v>
      </c>
      <c r="C1056" s="2" t="s">
        <v>23</v>
      </c>
      <c r="D1056" s="2" t="s">
        <v>3688</v>
      </c>
      <c r="E1056" s="2" t="s">
        <v>3689</v>
      </c>
      <c r="F1056" s="2" t="s">
        <v>26</v>
      </c>
      <c r="G1056" s="2" t="s">
        <v>26</v>
      </c>
      <c r="H1056" s="2" t="s">
        <v>27</v>
      </c>
      <c r="I1056" s="2" t="s">
        <v>28</v>
      </c>
      <c r="J1056" s="6"/>
      <c r="K1056" s="2" t="s">
        <v>55</v>
      </c>
      <c r="L1056" s="2" t="s">
        <v>56</v>
      </c>
      <c r="M1056" s="2" t="s">
        <v>55</v>
      </c>
      <c r="N1056" s="2"/>
      <c r="O1056" s="2"/>
      <c r="P1056" s="6" t="s">
        <v>57</v>
      </c>
      <c r="Q1056" s="6" t="s">
        <v>57</v>
      </c>
      <c r="R1056" s="9">
        <v>0</v>
      </c>
      <c r="S1056" s="2"/>
      <c r="T1056" s="9">
        <v>0</v>
      </c>
      <c r="U1056" s="9">
        <v>0</v>
      </c>
      <c r="V1056" s="9">
        <v>0</v>
      </c>
      <c r="W1056" s="9">
        <v>0</v>
      </c>
      <c r="X1056" s="9">
        <v>0</v>
      </c>
      <c r="Y1056" s="9">
        <v>0</v>
      </c>
      <c r="Z1056" s="9">
        <v>0</v>
      </c>
      <c r="AA1056" s="9">
        <v>0</v>
      </c>
      <c r="AB1056" s="9">
        <v>0</v>
      </c>
      <c r="AC1056" s="9">
        <v>0</v>
      </c>
      <c r="AD1056" s="9">
        <v>0</v>
      </c>
      <c r="AE1056" s="6" t="s">
        <v>57</v>
      </c>
      <c r="AF1056" s="6" t="s">
        <v>57</v>
      </c>
      <c r="AG1056" s="6" t="s">
        <v>57</v>
      </c>
      <c r="AH1056" s="6" t="s">
        <v>57</v>
      </c>
      <c r="AI1056" s="6" t="s">
        <v>57</v>
      </c>
      <c r="AJ1056" s="6" t="s">
        <v>57</v>
      </c>
      <c r="AK1056" s="6" t="s">
        <v>57</v>
      </c>
      <c r="AL1056" s="6" t="s">
        <v>57</v>
      </c>
      <c r="AM1056" s="6" t="s">
        <v>57</v>
      </c>
      <c r="AN1056" s="6" t="s">
        <v>57</v>
      </c>
      <c r="AO1056" s="6" t="s">
        <v>57</v>
      </c>
      <c r="AP1056" s="6" t="s">
        <v>57</v>
      </c>
      <c r="AQ1056" s="9">
        <v>0</v>
      </c>
    </row>
    <row r="1057" spans="1:43" ht="15">
      <c r="A1057" s="2" t="s">
        <v>3690</v>
      </c>
      <c r="B1057" s="5">
        <v>117739118</v>
      </c>
      <c r="C1057" s="2" t="s">
        <v>23</v>
      </c>
      <c r="D1057" s="2" t="s">
        <v>3691</v>
      </c>
      <c r="E1057" s="2" t="s">
        <v>3692</v>
      </c>
      <c r="F1057" s="2" t="s">
        <v>26</v>
      </c>
      <c r="G1057" s="2"/>
      <c r="H1057" s="2"/>
      <c r="I1057" s="2" t="s">
        <v>28</v>
      </c>
      <c r="J1057" s="6"/>
      <c r="K1057" s="2" t="s">
        <v>55</v>
      </c>
      <c r="L1057" s="2" t="s">
        <v>56</v>
      </c>
      <c r="M1057" s="2" t="s">
        <v>55</v>
      </c>
      <c r="N1057" s="2"/>
      <c r="O1057" s="2"/>
      <c r="P1057" s="6" t="s">
        <v>57</v>
      </c>
      <c r="Q1057" s="6" t="s">
        <v>57</v>
      </c>
      <c r="R1057" s="9">
        <v>0</v>
      </c>
      <c r="S1057" s="2"/>
      <c r="T1057" s="9">
        <v>0</v>
      </c>
      <c r="U1057" s="9">
        <v>0</v>
      </c>
      <c r="V1057" s="9">
        <v>0</v>
      </c>
      <c r="W1057" s="9">
        <v>0</v>
      </c>
      <c r="X1057" s="9">
        <v>0</v>
      </c>
      <c r="Y1057" s="9">
        <v>9</v>
      </c>
      <c r="Z1057" s="9">
        <v>9</v>
      </c>
      <c r="AA1057" s="9">
        <v>9</v>
      </c>
      <c r="AB1057" s="9">
        <v>0</v>
      </c>
      <c r="AC1057" s="9">
        <v>0</v>
      </c>
      <c r="AD1057" s="9">
        <v>0</v>
      </c>
      <c r="AE1057" s="6" t="s">
        <v>57</v>
      </c>
      <c r="AF1057" s="6" t="s">
        <v>57</v>
      </c>
      <c r="AG1057" s="6" t="s">
        <v>57</v>
      </c>
      <c r="AH1057" s="6" t="s">
        <v>57</v>
      </c>
      <c r="AI1057" s="6" t="s">
        <v>57</v>
      </c>
      <c r="AJ1057" s="6" t="s">
        <v>57</v>
      </c>
      <c r="AK1057" s="6" t="s">
        <v>57</v>
      </c>
      <c r="AL1057" s="6" t="s">
        <v>57</v>
      </c>
      <c r="AM1057" s="6" t="s">
        <v>57</v>
      </c>
      <c r="AN1057" s="6" t="s">
        <v>57</v>
      </c>
      <c r="AO1057" s="6" t="s">
        <v>57</v>
      </c>
      <c r="AP1057" s="6" t="s">
        <v>57</v>
      </c>
      <c r="AQ1057" s="9">
        <v>0</v>
      </c>
    </row>
    <row r="1058" spans="1:43" ht="15">
      <c r="A1058" s="2" t="s">
        <v>3693</v>
      </c>
      <c r="B1058" s="5">
        <v>5738693</v>
      </c>
      <c r="C1058" s="2" t="s">
        <v>23</v>
      </c>
      <c r="D1058" s="2" t="s">
        <v>3694</v>
      </c>
      <c r="E1058" s="2" t="s">
        <v>3695</v>
      </c>
      <c r="F1058" s="2" t="s">
        <v>26</v>
      </c>
      <c r="G1058" s="2" t="s">
        <v>26</v>
      </c>
      <c r="H1058" s="2" t="s">
        <v>27</v>
      </c>
      <c r="I1058" s="2" t="s">
        <v>28</v>
      </c>
      <c r="J1058" s="6"/>
      <c r="K1058" s="2" t="s">
        <v>55</v>
      </c>
      <c r="L1058" s="2" t="s">
        <v>56</v>
      </c>
      <c r="M1058" s="2" t="s">
        <v>55</v>
      </c>
      <c r="N1058" s="2"/>
      <c r="O1058" s="2"/>
      <c r="P1058" s="7">
        <v>8.4915337503544706</v>
      </c>
      <c r="Q1058" s="6" t="s">
        <v>57</v>
      </c>
      <c r="R1058" s="9">
        <v>0</v>
      </c>
      <c r="S1058" s="2"/>
      <c r="T1058" s="9">
        <v>0</v>
      </c>
      <c r="U1058" s="9">
        <v>0</v>
      </c>
      <c r="V1058" s="9">
        <v>0</v>
      </c>
      <c r="W1058" s="9">
        <v>0</v>
      </c>
      <c r="X1058" s="9">
        <v>0</v>
      </c>
      <c r="Y1058" s="9">
        <v>0</v>
      </c>
      <c r="Z1058" s="9">
        <v>0</v>
      </c>
      <c r="AA1058" s="9">
        <v>0</v>
      </c>
      <c r="AB1058" s="9">
        <v>0</v>
      </c>
      <c r="AC1058" s="9">
        <v>0</v>
      </c>
      <c r="AD1058" s="9">
        <v>0</v>
      </c>
      <c r="AE1058" s="6" t="s">
        <v>57</v>
      </c>
      <c r="AF1058" s="6" t="s">
        <v>57</v>
      </c>
      <c r="AG1058" s="6" t="s">
        <v>57</v>
      </c>
      <c r="AH1058" s="6" t="s">
        <v>57</v>
      </c>
      <c r="AI1058" s="6" t="s">
        <v>57</v>
      </c>
      <c r="AJ1058" s="6" t="s">
        <v>57</v>
      </c>
      <c r="AK1058" s="6" t="s">
        <v>57</v>
      </c>
      <c r="AL1058" s="6" t="s">
        <v>57</v>
      </c>
      <c r="AM1058" s="6" t="s">
        <v>57</v>
      </c>
      <c r="AN1058" s="6" t="s">
        <v>57</v>
      </c>
      <c r="AO1058" s="6" t="s">
        <v>57</v>
      </c>
      <c r="AP1058" s="6" t="s">
        <v>57</v>
      </c>
      <c r="AQ1058" s="9">
        <v>0</v>
      </c>
    </row>
    <row r="1059" spans="1:43" ht="15">
      <c r="A1059" s="2" t="s">
        <v>3696</v>
      </c>
      <c r="B1059" s="5">
        <v>139818493</v>
      </c>
      <c r="C1059" s="2" t="s">
        <v>23</v>
      </c>
      <c r="D1059" s="2" t="s">
        <v>3697</v>
      </c>
      <c r="E1059" s="2" t="s">
        <v>3698</v>
      </c>
      <c r="F1059" s="2" t="s">
        <v>26</v>
      </c>
      <c r="G1059" s="2"/>
      <c r="H1059" s="2"/>
      <c r="I1059" s="2" t="s">
        <v>28</v>
      </c>
      <c r="J1059" s="6"/>
      <c r="K1059" s="2" t="s">
        <v>55</v>
      </c>
      <c r="L1059" s="2" t="s">
        <v>56</v>
      </c>
      <c r="M1059" s="2" t="s">
        <v>55</v>
      </c>
      <c r="N1059" s="2"/>
      <c r="O1059" s="2"/>
      <c r="P1059" s="6" t="s">
        <v>57</v>
      </c>
      <c r="Q1059" s="6" t="s">
        <v>57</v>
      </c>
      <c r="R1059" s="6" t="s">
        <v>57</v>
      </c>
      <c r="S1059" s="2" t="s">
        <v>3699</v>
      </c>
      <c r="T1059" s="6" t="s">
        <v>57</v>
      </c>
      <c r="U1059" s="6" t="s">
        <v>57</v>
      </c>
      <c r="V1059" s="6" t="s">
        <v>57</v>
      </c>
      <c r="W1059" s="6" t="s">
        <v>57</v>
      </c>
      <c r="X1059" s="6" t="s">
        <v>57</v>
      </c>
      <c r="Y1059" s="6" t="s">
        <v>57</v>
      </c>
      <c r="Z1059" s="6" t="s">
        <v>57</v>
      </c>
      <c r="AA1059" s="6" t="s">
        <v>57</v>
      </c>
      <c r="AB1059" s="6" t="s">
        <v>57</v>
      </c>
      <c r="AC1059" s="6" t="s">
        <v>57</v>
      </c>
      <c r="AD1059" s="6" t="s">
        <v>57</v>
      </c>
      <c r="AE1059" s="6" t="s">
        <v>57</v>
      </c>
      <c r="AF1059" s="6" t="s">
        <v>57</v>
      </c>
      <c r="AG1059" s="6" t="s">
        <v>57</v>
      </c>
      <c r="AH1059" s="6" t="s">
        <v>57</v>
      </c>
      <c r="AI1059" s="6" t="s">
        <v>57</v>
      </c>
      <c r="AJ1059" s="6" t="s">
        <v>57</v>
      </c>
      <c r="AK1059" s="6" t="s">
        <v>57</v>
      </c>
      <c r="AL1059" s="6" t="s">
        <v>57</v>
      </c>
      <c r="AM1059" s="6" t="s">
        <v>57</v>
      </c>
      <c r="AN1059" s="6" t="s">
        <v>57</v>
      </c>
      <c r="AO1059" s="6" t="s">
        <v>57</v>
      </c>
      <c r="AP1059" s="6" t="s">
        <v>57</v>
      </c>
      <c r="AQ1059" s="6" t="s">
        <v>57</v>
      </c>
    </row>
    <row r="1060" spans="1:43" ht="15">
      <c r="A1060" s="2" t="s">
        <v>3700</v>
      </c>
      <c r="B1060" s="5">
        <v>114831519</v>
      </c>
      <c r="C1060" s="2" t="s">
        <v>23</v>
      </c>
      <c r="D1060" s="2" t="s">
        <v>3701</v>
      </c>
      <c r="E1060" s="2" t="s">
        <v>3702</v>
      </c>
      <c r="F1060" s="2" t="s">
        <v>26</v>
      </c>
      <c r="G1060" s="2" t="s">
        <v>26</v>
      </c>
      <c r="H1060" s="2" t="s">
        <v>27</v>
      </c>
      <c r="I1060" s="2" t="s">
        <v>28</v>
      </c>
      <c r="J1060" s="6"/>
      <c r="K1060" s="2" t="s">
        <v>55</v>
      </c>
      <c r="L1060" s="2" t="s">
        <v>56</v>
      </c>
      <c r="M1060" s="2" t="s">
        <v>55</v>
      </c>
      <c r="N1060" s="2"/>
      <c r="O1060" s="2"/>
      <c r="P1060" s="6" t="s">
        <v>57</v>
      </c>
      <c r="Q1060" s="6" t="s">
        <v>57</v>
      </c>
      <c r="R1060" s="9">
        <v>0</v>
      </c>
      <c r="S1060" s="2"/>
      <c r="T1060" s="9">
        <v>0</v>
      </c>
      <c r="U1060" s="9">
        <v>0</v>
      </c>
      <c r="V1060" s="9">
        <v>0</v>
      </c>
      <c r="W1060" s="9">
        <v>1582</v>
      </c>
      <c r="X1060" s="9">
        <v>1576</v>
      </c>
      <c r="Y1060" s="9">
        <v>3256</v>
      </c>
      <c r="Z1060" s="9">
        <v>2831</v>
      </c>
      <c r="AA1060" s="9">
        <v>2831</v>
      </c>
      <c r="AB1060" s="9">
        <v>0</v>
      </c>
      <c r="AC1060" s="9">
        <v>0</v>
      </c>
      <c r="AD1060" s="9">
        <v>0</v>
      </c>
      <c r="AE1060" s="6" t="s">
        <v>57</v>
      </c>
      <c r="AF1060" s="6" t="s">
        <v>57</v>
      </c>
      <c r="AG1060" s="6" t="s">
        <v>57</v>
      </c>
      <c r="AH1060" s="6" t="s">
        <v>57</v>
      </c>
      <c r="AI1060" s="6" t="s">
        <v>57</v>
      </c>
      <c r="AJ1060" s="6" t="s">
        <v>57</v>
      </c>
      <c r="AK1060" s="6" t="s">
        <v>57</v>
      </c>
      <c r="AL1060" s="6" t="s">
        <v>57</v>
      </c>
      <c r="AM1060" s="6" t="s">
        <v>57</v>
      </c>
      <c r="AN1060" s="6" t="s">
        <v>57</v>
      </c>
      <c r="AO1060" s="6" t="s">
        <v>57</v>
      </c>
      <c r="AP1060" s="6" t="s">
        <v>57</v>
      </c>
      <c r="AQ1060" s="9">
        <v>0</v>
      </c>
    </row>
    <row r="1061" spans="1:43" ht="15">
      <c r="A1061" s="2" t="s">
        <v>3703</v>
      </c>
      <c r="B1061" s="5">
        <v>27469558</v>
      </c>
      <c r="C1061" s="2" t="s">
        <v>23</v>
      </c>
      <c r="D1061" s="2" t="s">
        <v>3704</v>
      </c>
      <c r="E1061" s="2" t="s">
        <v>3705</v>
      </c>
      <c r="F1061" s="2" t="s">
        <v>26</v>
      </c>
      <c r="G1061" s="2" t="s">
        <v>26</v>
      </c>
      <c r="H1061" s="2" t="s">
        <v>27</v>
      </c>
      <c r="I1061" s="2" t="s">
        <v>28</v>
      </c>
      <c r="J1061" s="6"/>
      <c r="K1061" s="2" t="s">
        <v>55</v>
      </c>
      <c r="L1061" s="2" t="s">
        <v>56</v>
      </c>
      <c r="M1061" s="2" t="s">
        <v>55</v>
      </c>
      <c r="N1061" s="2"/>
      <c r="O1061" s="2"/>
      <c r="P1061" s="6" t="s">
        <v>57</v>
      </c>
      <c r="Q1061" s="6" t="s">
        <v>57</v>
      </c>
      <c r="R1061" s="9">
        <v>293202</v>
      </c>
      <c r="S1061" s="2"/>
      <c r="T1061" s="9">
        <v>479535</v>
      </c>
      <c r="U1061" s="9">
        <v>300250</v>
      </c>
      <c r="V1061" s="9">
        <v>392682</v>
      </c>
      <c r="W1061" s="9">
        <v>408204</v>
      </c>
      <c r="X1061" s="9">
        <v>408077</v>
      </c>
      <c r="Y1061" s="9">
        <v>507047</v>
      </c>
      <c r="Z1061" s="9">
        <v>908114</v>
      </c>
      <c r="AA1061" s="9">
        <v>891310</v>
      </c>
      <c r="AB1061" s="9">
        <v>335051</v>
      </c>
      <c r="AC1061" s="9">
        <v>383406</v>
      </c>
      <c r="AD1061" s="9">
        <v>340002</v>
      </c>
      <c r="AE1061" s="6" t="s">
        <v>57</v>
      </c>
      <c r="AF1061" s="6" t="s">
        <v>57</v>
      </c>
      <c r="AG1061" s="6" t="s">
        <v>57</v>
      </c>
      <c r="AH1061" s="6" t="s">
        <v>57</v>
      </c>
      <c r="AI1061" s="6" t="s">
        <v>57</v>
      </c>
      <c r="AJ1061" s="6" t="s">
        <v>57</v>
      </c>
      <c r="AK1061" s="6" t="s">
        <v>57</v>
      </c>
      <c r="AL1061" s="6" t="s">
        <v>57</v>
      </c>
      <c r="AM1061" s="6" t="s">
        <v>57</v>
      </c>
      <c r="AN1061" s="6" t="s">
        <v>57</v>
      </c>
      <c r="AO1061" s="6" t="s">
        <v>57</v>
      </c>
      <c r="AP1061" s="6" t="s">
        <v>57</v>
      </c>
      <c r="AQ1061" s="9">
        <v>33558</v>
      </c>
    </row>
    <row r="1062" spans="1:43" ht="15">
      <c r="A1062" s="2" t="s">
        <v>3706</v>
      </c>
      <c r="B1062" s="5">
        <v>5739007</v>
      </c>
      <c r="C1062" s="2" t="s">
        <v>23</v>
      </c>
      <c r="D1062" s="2" t="s">
        <v>3707</v>
      </c>
      <c r="E1062" s="2" t="s">
        <v>3708</v>
      </c>
      <c r="F1062" s="2" t="s">
        <v>26</v>
      </c>
      <c r="G1062" s="2" t="s">
        <v>26</v>
      </c>
      <c r="H1062" s="2" t="s">
        <v>27</v>
      </c>
      <c r="I1062" s="2" t="s">
        <v>28</v>
      </c>
      <c r="J1062" s="6"/>
      <c r="K1062" s="2" t="s">
        <v>55</v>
      </c>
      <c r="L1062" s="2" t="s">
        <v>56</v>
      </c>
      <c r="M1062" s="2" t="s">
        <v>55</v>
      </c>
      <c r="N1062" s="2"/>
      <c r="O1062" s="2"/>
      <c r="P1062" s="7">
        <v>13.713244764560001</v>
      </c>
      <c r="Q1062" s="6" t="s">
        <v>57</v>
      </c>
      <c r="R1062" s="9">
        <v>0</v>
      </c>
      <c r="S1062" s="2"/>
      <c r="T1062" s="9">
        <v>0</v>
      </c>
      <c r="U1062" s="9">
        <v>0</v>
      </c>
      <c r="V1062" s="9">
        <v>0</v>
      </c>
      <c r="W1062" s="9">
        <v>55</v>
      </c>
      <c r="X1062" s="9">
        <v>55</v>
      </c>
      <c r="Y1062" s="9">
        <v>87</v>
      </c>
      <c r="Z1062" s="9">
        <v>106</v>
      </c>
      <c r="AA1062" s="9">
        <v>112</v>
      </c>
      <c r="AB1062" s="9">
        <v>0</v>
      </c>
      <c r="AC1062" s="9">
        <v>0</v>
      </c>
      <c r="AD1062" s="9">
        <v>0</v>
      </c>
      <c r="AE1062" s="6" t="s">
        <v>57</v>
      </c>
      <c r="AF1062" s="6" t="s">
        <v>57</v>
      </c>
      <c r="AG1062" s="6" t="s">
        <v>57</v>
      </c>
      <c r="AH1062" s="6" t="s">
        <v>57</v>
      </c>
      <c r="AI1062" s="6" t="s">
        <v>57</v>
      </c>
      <c r="AJ1062" s="6" t="s">
        <v>57</v>
      </c>
      <c r="AK1062" s="6" t="s">
        <v>57</v>
      </c>
      <c r="AL1062" s="6" t="s">
        <v>57</v>
      </c>
      <c r="AM1062" s="6" t="s">
        <v>57</v>
      </c>
      <c r="AN1062" s="6" t="s">
        <v>57</v>
      </c>
      <c r="AO1062" s="6" t="s">
        <v>57</v>
      </c>
      <c r="AP1062" s="6" t="s">
        <v>57</v>
      </c>
      <c r="AQ1062" s="9">
        <v>0</v>
      </c>
    </row>
    <row r="1063" spans="1:43" ht="15">
      <c r="A1063" s="2" t="s">
        <v>3709</v>
      </c>
      <c r="B1063" s="5">
        <v>7968120</v>
      </c>
      <c r="C1063" s="2" t="s">
        <v>23</v>
      </c>
      <c r="D1063" s="2" t="s">
        <v>3710</v>
      </c>
      <c r="E1063" s="2" t="s">
        <v>3711</v>
      </c>
      <c r="F1063" s="2" t="s">
        <v>26</v>
      </c>
      <c r="G1063" s="2" t="s">
        <v>26</v>
      </c>
      <c r="H1063" s="2" t="s">
        <v>27</v>
      </c>
      <c r="I1063" s="2" t="s">
        <v>28</v>
      </c>
      <c r="J1063" s="6"/>
      <c r="K1063" s="2" t="s">
        <v>55</v>
      </c>
      <c r="L1063" s="2" t="s">
        <v>56</v>
      </c>
      <c r="M1063" s="2" t="s">
        <v>55</v>
      </c>
      <c r="N1063" s="2"/>
      <c r="O1063" s="2"/>
      <c r="P1063" s="7">
        <v>24.88753792</v>
      </c>
      <c r="Q1063" s="6" t="s">
        <v>57</v>
      </c>
      <c r="R1063" s="9">
        <v>0</v>
      </c>
      <c r="S1063" s="2"/>
      <c r="T1063" s="9">
        <v>0</v>
      </c>
      <c r="U1063" s="9">
        <v>0</v>
      </c>
      <c r="V1063" s="9">
        <v>39</v>
      </c>
      <c r="W1063" s="9">
        <v>10</v>
      </c>
      <c r="X1063" s="9">
        <v>10</v>
      </c>
      <c r="Y1063" s="9">
        <v>199</v>
      </c>
      <c r="Z1063" s="9">
        <v>134</v>
      </c>
      <c r="AA1063" s="9">
        <v>80</v>
      </c>
      <c r="AB1063" s="9">
        <v>0</v>
      </c>
      <c r="AC1063" s="9">
        <v>41</v>
      </c>
      <c r="AD1063" s="9">
        <v>20</v>
      </c>
      <c r="AE1063" s="6" t="s">
        <v>57</v>
      </c>
      <c r="AF1063" s="6" t="s">
        <v>57</v>
      </c>
      <c r="AG1063" s="6" t="s">
        <v>57</v>
      </c>
      <c r="AH1063" s="6" t="s">
        <v>57</v>
      </c>
      <c r="AI1063" s="6" t="s">
        <v>57</v>
      </c>
      <c r="AJ1063" s="6" t="s">
        <v>57</v>
      </c>
      <c r="AK1063" s="6" t="s">
        <v>57</v>
      </c>
      <c r="AL1063" s="6" t="s">
        <v>57</v>
      </c>
      <c r="AM1063" s="6" t="s">
        <v>57</v>
      </c>
      <c r="AN1063" s="6" t="s">
        <v>57</v>
      </c>
      <c r="AO1063" s="6" t="s">
        <v>57</v>
      </c>
      <c r="AP1063" s="6" t="s">
        <v>57</v>
      </c>
      <c r="AQ1063" s="9">
        <v>0</v>
      </c>
    </row>
    <row r="1064" spans="1:43" ht="15">
      <c r="A1064" s="2" t="s">
        <v>3712</v>
      </c>
      <c r="B1064" s="5">
        <v>7968119</v>
      </c>
      <c r="C1064" s="2" t="s">
        <v>23</v>
      </c>
      <c r="D1064" s="2" t="s">
        <v>3713</v>
      </c>
      <c r="E1064" s="2" t="s">
        <v>3714</v>
      </c>
      <c r="F1064" s="2" t="s">
        <v>26</v>
      </c>
      <c r="G1064" s="2" t="s">
        <v>26</v>
      </c>
      <c r="H1064" s="2" t="s">
        <v>27</v>
      </c>
      <c r="I1064" s="2" t="s">
        <v>28</v>
      </c>
      <c r="J1064" s="6"/>
      <c r="K1064" s="2" t="s">
        <v>55</v>
      </c>
      <c r="L1064" s="2" t="s">
        <v>56</v>
      </c>
      <c r="M1064" s="2" t="s">
        <v>55</v>
      </c>
      <c r="N1064" s="2"/>
      <c r="O1064" s="2"/>
      <c r="P1064" s="7">
        <v>0.30366857667951203</v>
      </c>
      <c r="Q1064" s="6" t="s">
        <v>57</v>
      </c>
      <c r="R1064" s="9">
        <v>0</v>
      </c>
      <c r="S1064" s="2" t="s">
        <v>3715</v>
      </c>
      <c r="T1064" s="9">
        <v>0</v>
      </c>
      <c r="U1064" s="9">
        <v>385</v>
      </c>
      <c r="V1064" s="9">
        <v>579</v>
      </c>
      <c r="W1064" s="9">
        <v>436</v>
      </c>
      <c r="X1064" s="9">
        <v>434</v>
      </c>
      <c r="Y1064" s="9">
        <v>220</v>
      </c>
      <c r="Z1064" s="9">
        <v>149</v>
      </c>
      <c r="AA1064" s="9">
        <v>119</v>
      </c>
      <c r="AB1064" s="9">
        <v>407</v>
      </c>
      <c r="AC1064" s="9">
        <v>522</v>
      </c>
      <c r="AD1064" s="9">
        <v>683</v>
      </c>
      <c r="AE1064" s="6" t="s">
        <v>57</v>
      </c>
      <c r="AF1064" s="6" t="s">
        <v>57</v>
      </c>
      <c r="AG1064" s="6" t="s">
        <v>57</v>
      </c>
      <c r="AH1064" s="6" t="s">
        <v>57</v>
      </c>
      <c r="AI1064" s="6" t="s">
        <v>57</v>
      </c>
      <c r="AJ1064" s="6" t="s">
        <v>57</v>
      </c>
      <c r="AK1064" s="6" t="s">
        <v>57</v>
      </c>
      <c r="AL1064" s="6" t="s">
        <v>57</v>
      </c>
      <c r="AM1064" s="6" t="s">
        <v>57</v>
      </c>
      <c r="AN1064" s="6" t="s">
        <v>57</v>
      </c>
      <c r="AO1064" s="6" t="s">
        <v>57</v>
      </c>
      <c r="AP1064" s="6" t="s">
        <v>57</v>
      </c>
      <c r="AQ1064" s="9">
        <v>0</v>
      </c>
    </row>
    <row r="1065" spans="1:43" ht="15">
      <c r="A1065" s="2" t="s">
        <v>3716</v>
      </c>
      <c r="B1065" s="5">
        <v>139818198</v>
      </c>
      <c r="C1065" s="2" t="s">
        <v>23</v>
      </c>
      <c r="D1065" s="2" t="s">
        <v>3717</v>
      </c>
      <c r="E1065" s="2" t="s">
        <v>3718</v>
      </c>
      <c r="F1065" s="2" t="s">
        <v>26</v>
      </c>
      <c r="G1065" s="2"/>
      <c r="H1065" s="2"/>
      <c r="I1065" s="2" t="s">
        <v>28</v>
      </c>
      <c r="J1065" s="6"/>
      <c r="K1065" s="2" t="s">
        <v>55</v>
      </c>
      <c r="L1065" s="2" t="s">
        <v>56</v>
      </c>
      <c r="M1065" s="2" t="s">
        <v>55</v>
      </c>
      <c r="N1065" s="2"/>
      <c r="O1065" s="2"/>
      <c r="P1065" s="6" t="s">
        <v>57</v>
      </c>
      <c r="Q1065" s="6" t="s">
        <v>57</v>
      </c>
      <c r="R1065" s="6" t="s">
        <v>57</v>
      </c>
      <c r="S1065" s="2" t="s">
        <v>3719</v>
      </c>
      <c r="T1065" s="6" t="s">
        <v>57</v>
      </c>
      <c r="U1065" s="6" t="s">
        <v>57</v>
      </c>
      <c r="V1065" s="6" t="s">
        <v>57</v>
      </c>
      <c r="W1065" s="6" t="s">
        <v>57</v>
      </c>
      <c r="X1065" s="6" t="s">
        <v>57</v>
      </c>
      <c r="Y1065" s="6" t="s">
        <v>57</v>
      </c>
      <c r="Z1065" s="6" t="s">
        <v>57</v>
      </c>
      <c r="AA1065" s="6" t="s">
        <v>57</v>
      </c>
      <c r="AB1065" s="6" t="s">
        <v>57</v>
      </c>
      <c r="AC1065" s="6" t="s">
        <v>57</v>
      </c>
      <c r="AD1065" s="6" t="s">
        <v>57</v>
      </c>
      <c r="AE1065" s="6" t="s">
        <v>57</v>
      </c>
      <c r="AF1065" s="6" t="s">
        <v>57</v>
      </c>
      <c r="AG1065" s="6" t="s">
        <v>57</v>
      </c>
      <c r="AH1065" s="6" t="s">
        <v>57</v>
      </c>
      <c r="AI1065" s="6" t="s">
        <v>57</v>
      </c>
      <c r="AJ1065" s="6" t="s">
        <v>57</v>
      </c>
      <c r="AK1065" s="6" t="s">
        <v>57</v>
      </c>
      <c r="AL1065" s="6" t="s">
        <v>57</v>
      </c>
      <c r="AM1065" s="6" t="s">
        <v>57</v>
      </c>
      <c r="AN1065" s="6" t="s">
        <v>57</v>
      </c>
      <c r="AO1065" s="6" t="s">
        <v>57</v>
      </c>
      <c r="AP1065" s="6" t="s">
        <v>57</v>
      </c>
      <c r="AQ1065" s="6" t="s">
        <v>57</v>
      </c>
    </row>
    <row r="1066" spans="1:43" ht="15">
      <c r="A1066" s="2" t="s">
        <v>3720</v>
      </c>
      <c r="B1066" s="5">
        <v>110378142</v>
      </c>
      <c r="C1066" s="2" t="s">
        <v>23</v>
      </c>
      <c r="D1066" s="2" t="s">
        <v>3721</v>
      </c>
      <c r="E1066" s="2" t="s">
        <v>3722</v>
      </c>
      <c r="F1066" s="2" t="s">
        <v>26</v>
      </c>
      <c r="G1066" s="2" t="s">
        <v>26</v>
      </c>
      <c r="H1066" s="2" t="s">
        <v>27</v>
      </c>
      <c r="I1066" s="2" t="s">
        <v>28</v>
      </c>
      <c r="J1066" s="6"/>
      <c r="K1066" s="2" t="s">
        <v>55</v>
      </c>
      <c r="L1066" s="2" t="s">
        <v>56</v>
      </c>
      <c r="M1066" s="2" t="s">
        <v>55</v>
      </c>
      <c r="N1066" s="2"/>
      <c r="O1066" s="2"/>
      <c r="P1066" s="6" t="s">
        <v>57</v>
      </c>
      <c r="Q1066" s="6" t="s">
        <v>57</v>
      </c>
      <c r="R1066" s="9">
        <v>0</v>
      </c>
      <c r="S1066" s="2"/>
      <c r="T1066" s="9">
        <v>0</v>
      </c>
      <c r="U1066" s="9">
        <v>0</v>
      </c>
      <c r="V1066" s="9">
        <v>0</v>
      </c>
      <c r="W1066" s="9">
        <v>1814</v>
      </c>
      <c r="X1066" s="9">
        <v>1807</v>
      </c>
      <c r="Y1066" s="9">
        <v>4884</v>
      </c>
      <c r="Z1066" s="9">
        <v>7858</v>
      </c>
      <c r="AA1066" s="9">
        <v>7858</v>
      </c>
      <c r="AB1066" s="9">
        <v>0</v>
      </c>
      <c r="AC1066" s="9">
        <v>0</v>
      </c>
      <c r="AD1066" s="9">
        <v>0</v>
      </c>
      <c r="AE1066" s="6" t="s">
        <v>57</v>
      </c>
      <c r="AF1066" s="6" t="s">
        <v>57</v>
      </c>
      <c r="AG1066" s="6" t="s">
        <v>57</v>
      </c>
      <c r="AH1066" s="6" t="s">
        <v>57</v>
      </c>
      <c r="AI1066" s="6" t="s">
        <v>57</v>
      </c>
      <c r="AJ1066" s="6" t="s">
        <v>57</v>
      </c>
      <c r="AK1066" s="6" t="s">
        <v>57</v>
      </c>
      <c r="AL1066" s="6" t="s">
        <v>57</v>
      </c>
      <c r="AM1066" s="6" t="s">
        <v>57</v>
      </c>
      <c r="AN1066" s="6" t="s">
        <v>57</v>
      </c>
      <c r="AO1066" s="6" t="s">
        <v>57</v>
      </c>
      <c r="AP1066" s="6" t="s">
        <v>57</v>
      </c>
      <c r="AQ1066" s="9">
        <v>0</v>
      </c>
    </row>
    <row r="1067" spans="1:43" ht="15">
      <c r="A1067" s="2" t="s">
        <v>3723</v>
      </c>
      <c r="B1067" s="5">
        <v>10801252</v>
      </c>
      <c r="C1067" s="2" t="s">
        <v>23</v>
      </c>
      <c r="D1067" s="2" t="s">
        <v>3724</v>
      </c>
      <c r="E1067" s="2" t="s">
        <v>3725</v>
      </c>
      <c r="F1067" s="2" t="s">
        <v>26</v>
      </c>
      <c r="G1067" s="2" t="s">
        <v>26</v>
      </c>
      <c r="H1067" s="2" t="s">
        <v>27</v>
      </c>
      <c r="I1067" s="2" t="s">
        <v>28</v>
      </c>
      <c r="J1067" s="6"/>
      <c r="K1067" s="2" t="s">
        <v>55</v>
      </c>
      <c r="L1067" s="2" t="s">
        <v>56</v>
      </c>
      <c r="M1067" s="2" t="s">
        <v>55</v>
      </c>
      <c r="N1067" s="2"/>
      <c r="O1067" s="2"/>
      <c r="P1067" s="6" t="s">
        <v>57</v>
      </c>
      <c r="Q1067" s="6" t="s">
        <v>57</v>
      </c>
      <c r="R1067" s="9">
        <v>11550</v>
      </c>
      <c r="S1067" s="2"/>
      <c r="T1067" s="9">
        <v>38314</v>
      </c>
      <c r="U1067" s="9">
        <v>103719</v>
      </c>
      <c r="V1067" s="9">
        <v>117402</v>
      </c>
      <c r="W1067" s="9">
        <v>189225</v>
      </c>
      <c r="X1067" s="9">
        <v>189966</v>
      </c>
      <c r="Y1067" s="9">
        <v>216072</v>
      </c>
      <c r="Z1067" s="9">
        <v>212146</v>
      </c>
      <c r="AA1067" s="9">
        <v>252989</v>
      </c>
      <c r="AB1067" s="9">
        <v>118139</v>
      </c>
      <c r="AC1067" s="9">
        <v>115832</v>
      </c>
      <c r="AD1067" s="9">
        <v>146002</v>
      </c>
      <c r="AE1067" s="6" t="s">
        <v>57</v>
      </c>
      <c r="AF1067" s="6" t="s">
        <v>57</v>
      </c>
      <c r="AG1067" s="6" t="s">
        <v>57</v>
      </c>
      <c r="AH1067" s="6" t="s">
        <v>57</v>
      </c>
      <c r="AI1067" s="6" t="s">
        <v>57</v>
      </c>
      <c r="AJ1067" s="6" t="s">
        <v>57</v>
      </c>
      <c r="AK1067" s="6" t="s">
        <v>57</v>
      </c>
      <c r="AL1067" s="6" t="s">
        <v>57</v>
      </c>
      <c r="AM1067" s="6" t="s">
        <v>57</v>
      </c>
      <c r="AN1067" s="6" t="s">
        <v>57</v>
      </c>
      <c r="AO1067" s="6" t="s">
        <v>57</v>
      </c>
      <c r="AP1067" s="6" t="s">
        <v>57</v>
      </c>
      <c r="AQ1067" s="9">
        <v>23100</v>
      </c>
    </row>
    <row r="1068" spans="1:43" ht="15">
      <c r="A1068" s="2" t="s">
        <v>3726</v>
      </c>
      <c r="B1068" s="5">
        <v>4993806</v>
      </c>
      <c r="C1068" s="2" t="s">
        <v>46</v>
      </c>
      <c r="D1068" s="2" t="s">
        <v>3727</v>
      </c>
      <c r="E1068" s="2" t="s">
        <v>3728</v>
      </c>
      <c r="F1068" s="2" t="s">
        <v>49</v>
      </c>
      <c r="G1068" s="2" t="s">
        <v>49</v>
      </c>
      <c r="H1068" s="2" t="s">
        <v>50</v>
      </c>
      <c r="I1068" s="2" t="s">
        <v>28</v>
      </c>
      <c r="J1068" s="6"/>
      <c r="K1068" s="2" t="s">
        <v>1091</v>
      </c>
      <c r="L1068" s="2" t="s">
        <v>182</v>
      </c>
      <c r="M1068" s="2" t="s">
        <v>183</v>
      </c>
      <c r="N1068" s="2" t="s">
        <v>1091</v>
      </c>
      <c r="O1068" s="2"/>
      <c r="P1068" s="7">
        <v>31.751041218480001</v>
      </c>
      <c r="Q1068" s="8">
        <v>50.728867216700003</v>
      </c>
      <c r="R1068" s="9">
        <v>5800</v>
      </c>
      <c r="S1068" s="2" t="s">
        <v>3729</v>
      </c>
      <c r="T1068" s="9">
        <v>4133</v>
      </c>
      <c r="U1068" s="9">
        <v>1033</v>
      </c>
      <c r="V1068" s="9">
        <v>361554</v>
      </c>
      <c r="W1068" s="9">
        <v>361554</v>
      </c>
      <c r="X1068" s="9">
        <v>361554</v>
      </c>
      <c r="Y1068" s="9">
        <v>361554</v>
      </c>
      <c r="Z1068" s="9">
        <v>92443</v>
      </c>
      <c r="AA1068" s="9">
        <v>23997</v>
      </c>
      <c r="AB1068" s="9">
        <v>1181</v>
      </c>
      <c r="AC1068" s="9">
        <v>361554</v>
      </c>
      <c r="AD1068" s="9">
        <v>361554</v>
      </c>
      <c r="AE1068" s="7">
        <v>0.016609392898052699</v>
      </c>
      <c r="AF1068" s="7">
        <v>0.0118365788468881</v>
      </c>
      <c r="AG1068" s="7">
        <v>0.0029591447117220302</v>
      </c>
      <c r="AH1068" s="7">
        <v>1.03537800687285</v>
      </c>
      <c r="AI1068" s="7">
        <v>1.03537800687285</v>
      </c>
      <c r="AJ1068" s="7">
        <v>1.03537800687285</v>
      </c>
      <c r="AK1068" s="7">
        <v>1.03537800687285</v>
      </c>
      <c r="AL1068" s="7">
        <v>0.26472733130271803</v>
      </c>
      <c r="AM1068" s="7">
        <v>0.068719779217224705</v>
      </c>
      <c r="AN1068" s="7">
        <v>0.0033818796705394599</v>
      </c>
      <c r="AO1068" s="7">
        <v>1.03537800687285</v>
      </c>
      <c r="AP1068" s="7">
        <v>1.03537800687285</v>
      </c>
      <c r="AQ1068" s="9">
        <v>11600</v>
      </c>
    </row>
    <row r="1069" spans="1:43" ht="15">
      <c r="A1069" s="2" t="s">
        <v>3730</v>
      </c>
      <c r="B1069" s="5">
        <v>4982004</v>
      </c>
      <c r="C1069" s="2" t="s">
        <v>46</v>
      </c>
      <c r="D1069" s="2" t="s">
        <v>3731</v>
      </c>
      <c r="E1069" s="2" t="s">
        <v>3732</v>
      </c>
      <c r="F1069" s="2" t="s">
        <v>49</v>
      </c>
      <c r="G1069" s="2" t="s">
        <v>49</v>
      </c>
      <c r="H1069" s="2" t="s">
        <v>50</v>
      </c>
      <c r="I1069" s="2" t="s">
        <v>28</v>
      </c>
      <c r="J1069" s="6"/>
      <c r="K1069" s="2" t="s">
        <v>987</v>
      </c>
      <c r="L1069" s="2" t="s">
        <v>42</v>
      </c>
      <c r="M1069" s="2" t="s">
        <v>987</v>
      </c>
      <c r="N1069" s="2"/>
      <c r="O1069" s="2"/>
      <c r="P1069" s="7">
        <v>927.31858918399996</v>
      </c>
      <c r="Q1069" s="8">
        <v>2542.9638629719402</v>
      </c>
      <c r="R1069" s="9">
        <v>78171</v>
      </c>
      <c r="S1069" s="2" t="s">
        <v>3733</v>
      </c>
      <c r="T1069" s="9">
        <v>142313</v>
      </c>
      <c r="U1069" s="9">
        <v>314187</v>
      </c>
      <c r="V1069" s="9">
        <v>192434</v>
      </c>
      <c r="W1069" s="9">
        <v>428321</v>
      </c>
      <c r="X1069" s="9">
        <v>426710</v>
      </c>
      <c r="Y1069" s="9">
        <v>641389</v>
      </c>
      <c r="Z1069" s="9">
        <v>682656</v>
      </c>
      <c r="AA1069" s="9">
        <v>589892</v>
      </c>
      <c r="AB1069" s="9">
        <v>354635</v>
      </c>
      <c r="AC1069" s="9">
        <v>200923</v>
      </c>
      <c r="AD1069" s="9">
        <v>335527</v>
      </c>
      <c r="AE1069" s="7">
        <v>0.0244284375</v>
      </c>
      <c r="AF1069" s="7">
        <v>0.0444728125</v>
      </c>
      <c r="AG1069" s="7">
        <v>0.098183476562499997</v>
      </c>
      <c r="AH1069" s="7">
        <v>0.060135737304687499</v>
      </c>
      <c r="AI1069" s="7">
        <v>0.13385022841365499</v>
      </c>
      <c r="AJ1069" s="7">
        <v>0.13334697749999999</v>
      </c>
      <c r="AK1069" s="7">
        <v>0.20043402742986</v>
      </c>
      <c r="AL1069" s="7">
        <v>0.21333011958333301</v>
      </c>
      <c r="AM1069" s="7">
        <v>0.18434139052515999</v>
      </c>
      <c r="AN1069" s="7">
        <v>0.110823303571429</v>
      </c>
      <c r="AO1069" s="7">
        <v>0.062788406762295093</v>
      </c>
      <c r="AP1069" s="7">
        <v>0.10485232358870999</v>
      </c>
      <c r="AQ1069" s="9">
        <v>55683</v>
      </c>
    </row>
    <row r="1070" spans="1:43" ht="15">
      <c r="A1070" s="2" t="s">
        <v>3734</v>
      </c>
      <c r="B1070" s="5">
        <v>4917034</v>
      </c>
      <c r="C1070" s="2" t="s">
        <v>46</v>
      </c>
      <c r="D1070" s="2" t="s">
        <v>3735</v>
      </c>
      <c r="E1070" s="2" t="s">
        <v>3736</v>
      </c>
      <c r="F1070" s="2" t="s">
        <v>49</v>
      </c>
      <c r="G1070" s="2" t="s">
        <v>49</v>
      </c>
      <c r="H1070" s="2" t="s">
        <v>50</v>
      </c>
      <c r="I1070" s="2" t="s">
        <v>40</v>
      </c>
      <c r="J1070" s="6"/>
      <c r="K1070" s="2" t="s">
        <v>1012</v>
      </c>
      <c r="L1070" s="2" t="s">
        <v>30</v>
      </c>
      <c r="M1070" s="2" t="s">
        <v>189</v>
      </c>
      <c r="N1070" s="2" t="s">
        <v>1013</v>
      </c>
      <c r="O1070" s="2" t="s">
        <v>1012</v>
      </c>
      <c r="P1070" s="7">
        <v>9483.4355243965692</v>
      </c>
      <c r="Q1070" s="8">
        <v>9242.9193044834101</v>
      </c>
      <c r="R1070" s="9">
        <v>10068</v>
      </c>
      <c r="S1070" s="2" t="s">
        <v>3737</v>
      </c>
      <c r="T1070" s="9">
        <v>28664</v>
      </c>
      <c r="U1070" s="9">
        <v>11933</v>
      </c>
      <c r="V1070" s="9">
        <v>9218</v>
      </c>
      <c r="W1070" s="9">
        <v>15449</v>
      </c>
      <c r="X1070" s="9">
        <v>15420</v>
      </c>
      <c r="Y1070" s="9">
        <v>10947</v>
      </c>
      <c r="Z1070" s="9">
        <v>9719</v>
      </c>
      <c r="AA1070" s="9">
        <v>9424</v>
      </c>
      <c r="AB1070" s="9">
        <v>13175</v>
      </c>
      <c r="AC1070" s="9">
        <v>9344</v>
      </c>
      <c r="AD1070" s="9">
        <v>9077</v>
      </c>
      <c r="AE1070" s="7">
        <v>0.0088552069543046692</v>
      </c>
      <c r="AF1070" s="7">
        <v>0.0252106897630822</v>
      </c>
      <c r="AG1070" s="7">
        <v>0.0104951089573143</v>
      </c>
      <c r="AH1070" s="7">
        <v>0.0081075431321360608</v>
      </c>
      <c r="AI1070" s="7">
        <v>0.013587745828967299</v>
      </c>
      <c r="AJ1070" s="7">
        <v>0.0135623774419524</v>
      </c>
      <c r="AK1070" s="7">
        <v>0.0096278976723773099</v>
      </c>
      <c r="AL1070" s="7">
        <v>0.0085483085369390793</v>
      </c>
      <c r="AM1070" s="7">
        <v>0.0082885268918832296</v>
      </c>
      <c r="AN1070" s="7">
        <v>0.011588104720803599</v>
      </c>
      <c r="AO1070" s="7">
        <v>0.0082181750036215608</v>
      </c>
      <c r="AP1070" s="7">
        <v>0.0079837248493652892</v>
      </c>
      <c r="AQ1070" s="9">
        <v>15832</v>
      </c>
    </row>
    <row r="1071" spans="1:43" ht="15">
      <c r="A1071" s="2" t="s">
        <v>3738</v>
      </c>
      <c r="B1071" s="5">
        <v>4981449</v>
      </c>
      <c r="C1071" s="2" t="s">
        <v>23</v>
      </c>
      <c r="D1071" s="2" t="s">
        <v>3739</v>
      </c>
      <c r="E1071" s="2" t="s">
        <v>3740</v>
      </c>
      <c r="F1071" s="2" t="s">
        <v>26</v>
      </c>
      <c r="G1071" s="2" t="s">
        <v>26</v>
      </c>
      <c r="H1071" s="2" t="s">
        <v>27</v>
      </c>
      <c r="I1071" s="2" t="s">
        <v>28</v>
      </c>
      <c r="J1071" s="6"/>
      <c r="K1071" s="2" t="s">
        <v>1052</v>
      </c>
      <c r="L1071" s="2" t="s">
        <v>30</v>
      </c>
      <c r="M1071" s="2" t="s">
        <v>424</v>
      </c>
      <c r="N1071" s="2" t="s">
        <v>1052</v>
      </c>
      <c r="O1071" s="2"/>
      <c r="P1071" s="7">
        <v>6.7833716160000002</v>
      </c>
      <c r="Q1071" s="8">
        <v>18.657950877087998</v>
      </c>
      <c r="R1071" s="9">
        <v>0</v>
      </c>
      <c r="S1071" s="2" t="s">
        <v>3741</v>
      </c>
      <c r="T1071" s="9">
        <v>0</v>
      </c>
      <c r="U1071" s="9">
        <v>1</v>
      </c>
      <c r="V1071" s="9">
        <v>0</v>
      </c>
      <c r="W1071" s="9">
        <v>0</v>
      </c>
      <c r="X1071" s="9">
        <v>0</v>
      </c>
      <c r="Y1071" s="9">
        <v>0</v>
      </c>
      <c r="Z1071" s="9">
        <v>0</v>
      </c>
      <c r="AA1071" s="9">
        <v>0</v>
      </c>
      <c r="AB1071" s="9">
        <v>0</v>
      </c>
      <c r="AC1071" s="9">
        <v>0</v>
      </c>
      <c r="AD1071" s="9">
        <v>0</v>
      </c>
      <c r="AE1071" s="7">
        <v>0</v>
      </c>
      <c r="AF1071" s="7">
        <v>0</v>
      </c>
      <c r="AG1071" s="7">
        <v>0.069444444444444406</v>
      </c>
      <c r="AH1071" s="7">
        <v>0.044642857142857102</v>
      </c>
      <c r="AI1071" s="7">
        <v>0.014343086632243301</v>
      </c>
      <c r="AJ1071" s="7">
        <v>0.014285714285714299</v>
      </c>
      <c r="AK1071" s="7">
        <v>0.0086231675768899101</v>
      </c>
      <c r="AL1071" s="7">
        <v>0.0067024128686327096</v>
      </c>
      <c r="AM1071" s="7">
        <v>0.0048766494549627101</v>
      </c>
      <c r="AN1071" s="7">
        <v>0.034013605442176902</v>
      </c>
      <c r="AO1071" s="7">
        <v>0.046838407494145202</v>
      </c>
      <c r="AP1071" s="7">
        <v>0.028801843317972399</v>
      </c>
      <c r="AQ1071" s="9">
        <v>0</v>
      </c>
    </row>
    <row r="1072" spans="1:43" ht="15">
      <c r="A1072" s="2" t="s">
        <v>3742</v>
      </c>
      <c r="B1072" s="5">
        <v>4861778</v>
      </c>
      <c r="C1072" s="2" t="s">
        <v>23</v>
      </c>
      <c r="D1072" s="2" t="s">
        <v>3743</v>
      </c>
      <c r="E1072" s="2" t="s">
        <v>3744</v>
      </c>
      <c r="F1072" s="2" t="s">
        <v>26</v>
      </c>
      <c r="G1072" s="2" t="s">
        <v>26</v>
      </c>
      <c r="H1072" s="2" t="s">
        <v>27</v>
      </c>
      <c r="I1072" s="2" t="s">
        <v>28</v>
      </c>
      <c r="J1072" s="6"/>
      <c r="K1072" s="2" t="s">
        <v>443</v>
      </c>
      <c r="L1072" s="2" t="s">
        <v>99</v>
      </c>
      <c r="M1072" s="2" t="s">
        <v>100</v>
      </c>
      <c r="N1072" s="2" t="s">
        <v>443</v>
      </c>
      <c r="O1072" s="2"/>
      <c r="P1072" s="7">
        <v>3.5168822639999999</v>
      </c>
      <c r="Q1072" s="8">
        <v>3.4560020999200001</v>
      </c>
      <c r="R1072" s="9">
        <v>0</v>
      </c>
      <c r="S1072" s="2" t="s">
        <v>3745</v>
      </c>
      <c r="T1072" s="9">
        <v>0</v>
      </c>
      <c r="U1072" s="9">
        <v>0</v>
      </c>
      <c r="V1072" s="9">
        <v>0</v>
      </c>
      <c r="W1072" s="9">
        <v>0</v>
      </c>
      <c r="X1072" s="9">
        <v>0</v>
      </c>
      <c r="Y1072" s="9">
        <v>0</v>
      </c>
      <c r="Z1072" s="9">
        <v>0</v>
      </c>
      <c r="AA1072" s="9">
        <v>0</v>
      </c>
      <c r="AB1072" s="9">
        <v>0</v>
      </c>
      <c r="AC1072" s="9">
        <v>0</v>
      </c>
      <c r="AD1072" s="9">
        <v>0</v>
      </c>
      <c r="AE1072" s="7">
        <v>0</v>
      </c>
      <c r="AF1072" s="7">
        <v>0</v>
      </c>
      <c r="AG1072" s="7">
        <v>0</v>
      </c>
      <c r="AH1072" s="7">
        <v>0</v>
      </c>
      <c r="AI1072" s="7">
        <v>0.00022311468094600599</v>
      </c>
      <c r="AJ1072" s="7">
        <v>0.00022222222222222199</v>
      </c>
      <c r="AK1072" s="7">
        <v>0.00055890900961323502</v>
      </c>
      <c r="AL1072" s="7">
        <v>0.00052129877867143301</v>
      </c>
      <c r="AM1072" s="7">
        <v>0.00089245872378402495</v>
      </c>
      <c r="AN1072" s="7">
        <v>0</v>
      </c>
      <c r="AO1072" s="7">
        <v>0</v>
      </c>
      <c r="AP1072" s="7">
        <v>0</v>
      </c>
      <c r="AQ1072" s="9">
        <v>0</v>
      </c>
    </row>
    <row r="1073" spans="1:43" ht="15">
      <c r="A1073" s="2" t="s">
        <v>3746</v>
      </c>
      <c r="B1073" s="5">
        <v>4980275</v>
      </c>
      <c r="C1073" s="2" t="s">
        <v>35</v>
      </c>
      <c r="D1073" s="2" t="s">
        <v>3747</v>
      </c>
      <c r="E1073" s="2" t="s">
        <v>3748</v>
      </c>
      <c r="F1073" s="2" t="s">
        <v>38</v>
      </c>
      <c r="G1073" s="2" t="s">
        <v>38</v>
      </c>
      <c r="H1073" s="2" t="s">
        <v>39</v>
      </c>
      <c r="I1073" s="2" t="s">
        <v>40</v>
      </c>
      <c r="J1073" s="6"/>
      <c r="K1073" s="2" t="s">
        <v>55</v>
      </c>
      <c r="L1073" s="2" t="s">
        <v>56</v>
      </c>
      <c r="M1073" s="2" t="s">
        <v>55</v>
      </c>
      <c r="N1073" s="2"/>
      <c r="O1073" s="2"/>
      <c r="P1073" s="7">
        <v>29.2042121701441</v>
      </c>
      <c r="Q1073" s="8">
        <v>17.389669510746</v>
      </c>
      <c r="R1073" s="9">
        <v>0</v>
      </c>
      <c r="S1073" s="2" t="s">
        <v>3749</v>
      </c>
      <c r="T1073" s="9">
        <v>0</v>
      </c>
      <c r="U1073" s="9">
        <v>39</v>
      </c>
      <c r="V1073" s="9">
        <v>14</v>
      </c>
      <c r="W1073" s="9">
        <v>65</v>
      </c>
      <c r="X1073" s="9">
        <v>65</v>
      </c>
      <c r="Y1073" s="9">
        <v>179</v>
      </c>
      <c r="Z1073" s="9">
        <v>125</v>
      </c>
      <c r="AA1073" s="9">
        <v>131</v>
      </c>
      <c r="AB1073" s="9">
        <v>0</v>
      </c>
      <c r="AC1073" s="9">
        <v>15</v>
      </c>
      <c r="AD1073" s="9">
        <v>20</v>
      </c>
      <c r="AE1073" s="7">
        <v>0</v>
      </c>
      <c r="AF1073" s="7">
        <v>0</v>
      </c>
      <c r="AG1073" s="7">
        <v>0.00194646484541658</v>
      </c>
      <c r="AH1073" s="7">
        <v>0.00070200371474040703</v>
      </c>
      <c r="AI1073" s="7">
        <v>0.0032378965061620798</v>
      </c>
      <c r="AJ1073" s="7">
        <v>0.0032246264385138801</v>
      </c>
      <c r="AK1073" s="7">
        <v>0.0088700114050767592</v>
      </c>
      <c r="AL1073" s="7">
        <v>0.0062168089386882702</v>
      </c>
      <c r="AM1073" s="7">
        <v>0.0065109327246909796</v>
      </c>
      <c r="AN1073" s="7">
        <v>0</v>
      </c>
      <c r="AO1073" s="7">
        <v>0.00073831425170973802</v>
      </c>
      <c r="AP1073" s="7">
        <v>0.00098958927014876699</v>
      </c>
      <c r="AQ1073" s="9">
        <v>0</v>
      </c>
    </row>
    <row r="1074" spans="1:43" ht="15">
      <c r="A1074" s="2" t="s">
        <v>3750</v>
      </c>
      <c r="B1074" s="5">
        <v>4988510</v>
      </c>
      <c r="C1074" s="2" t="s">
        <v>23</v>
      </c>
      <c r="D1074" s="2" t="s">
        <v>3751</v>
      </c>
      <c r="E1074" s="2" t="s">
        <v>3752</v>
      </c>
      <c r="F1074" s="2" t="s">
        <v>26</v>
      </c>
      <c r="G1074" s="2" t="s">
        <v>26</v>
      </c>
      <c r="H1074" s="2" t="s">
        <v>27</v>
      </c>
      <c r="I1074" s="2" t="s">
        <v>28</v>
      </c>
      <c r="J1074" s="6"/>
      <c r="K1074" s="2" t="s">
        <v>1642</v>
      </c>
      <c r="L1074" s="2" t="s">
        <v>30</v>
      </c>
      <c r="M1074" s="2" t="s">
        <v>424</v>
      </c>
      <c r="N1074" s="2" t="s">
        <v>1642</v>
      </c>
      <c r="O1074" s="2"/>
      <c r="P1074" s="7">
        <v>29.830359040000001</v>
      </c>
      <c r="Q1074" s="8">
        <v>26.733758568911998</v>
      </c>
      <c r="R1074" s="9">
        <v>0</v>
      </c>
      <c r="S1074" s="2" t="s">
        <v>3753</v>
      </c>
      <c r="T1074" s="9">
        <v>0</v>
      </c>
      <c r="U1074" s="9">
        <v>0</v>
      </c>
      <c r="V1074" s="9">
        <v>0</v>
      </c>
      <c r="W1074" s="9">
        <v>0</v>
      </c>
      <c r="X1074" s="9">
        <v>0</v>
      </c>
      <c r="Y1074" s="9">
        <v>0</v>
      </c>
      <c r="Z1074" s="9">
        <v>0</v>
      </c>
      <c r="AA1074" s="9">
        <v>0</v>
      </c>
      <c r="AB1074" s="9">
        <v>0</v>
      </c>
      <c r="AC1074" s="9">
        <v>0</v>
      </c>
      <c r="AD1074" s="9">
        <v>0</v>
      </c>
      <c r="AE1074" s="7">
        <v>0</v>
      </c>
      <c r="AF1074" s="7">
        <v>0</v>
      </c>
      <c r="AG1074" s="7">
        <v>0.00325520833333333</v>
      </c>
      <c r="AH1074" s="7">
        <v>0.001220703125</v>
      </c>
      <c r="AI1074" s="7">
        <v>0.00031375502008032101</v>
      </c>
      <c r="AJ1074" s="7">
        <v>0.00031250000000000001</v>
      </c>
      <c r="AK1074" s="7">
        <v>0.0034582494969818901</v>
      </c>
      <c r="AL1074" s="7">
        <v>0.0046079088471849897</v>
      </c>
      <c r="AM1074" s="7">
        <v>0.0057103413654618499</v>
      </c>
      <c r="AN1074" s="7">
        <v>0</v>
      </c>
      <c r="AO1074" s="7">
        <v>0.0012807377049180301</v>
      </c>
      <c r="AP1074" s="7">
        <v>0.00063004032258064504</v>
      </c>
      <c r="AQ1074" s="9">
        <v>0</v>
      </c>
    </row>
    <row r="1075" spans="1:43" ht="15">
      <c r="A1075" s="2" t="s">
        <v>3754</v>
      </c>
      <c r="B1075" s="5">
        <v>106301806</v>
      </c>
      <c r="C1075" s="2" t="s">
        <v>23</v>
      </c>
      <c r="D1075" s="2" t="s">
        <v>3755</v>
      </c>
      <c r="E1075" s="2" t="s">
        <v>3756</v>
      </c>
      <c r="F1075" s="2" t="s">
        <v>26</v>
      </c>
      <c r="G1075" s="2" t="s">
        <v>26</v>
      </c>
      <c r="H1075" s="2" t="s">
        <v>27</v>
      </c>
      <c r="I1075" s="2" t="s">
        <v>28</v>
      </c>
      <c r="J1075" s="6"/>
      <c r="K1075" s="2" t="s">
        <v>55</v>
      </c>
      <c r="L1075" s="2" t="s">
        <v>56</v>
      </c>
      <c r="M1075" s="2" t="s">
        <v>55</v>
      </c>
      <c r="N1075" s="2"/>
      <c r="O1075" s="2"/>
      <c r="P1075" s="6" t="s">
        <v>57</v>
      </c>
      <c r="Q1075" s="6" t="s">
        <v>57</v>
      </c>
      <c r="R1075" s="9">
        <v>2331</v>
      </c>
      <c r="S1075" s="2"/>
      <c r="T1075" s="9">
        <v>777</v>
      </c>
      <c r="U1075" s="9">
        <v>5272</v>
      </c>
      <c r="V1075" s="9">
        <v>19467</v>
      </c>
      <c r="W1075" s="9">
        <v>10869</v>
      </c>
      <c r="X1075" s="9">
        <v>10825</v>
      </c>
      <c r="Y1075" s="9">
        <v>8922</v>
      </c>
      <c r="Z1075" s="9">
        <v>10874</v>
      </c>
      <c r="AA1075" s="9">
        <v>11527</v>
      </c>
      <c r="AB1075" s="9">
        <v>6025</v>
      </c>
      <c r="AC1075" s="9">
        <v>12877</v>
      </c>
      <c r="AD1075" s="9">
        <v>16064</v>
      </c>
      <c r="AE1075" s="6" t="s">
        <v>57</v>
      </c>
      <c r="AF1075" s="6" t="s">
        <v>57</v>
      </c>
      <c r="AG1075" s="6" t="s">
        <v>57</v>
      </c>
      <c r="AH1075" s="6" t="s">
        <v>57</v>
      </c>
      <c r="AI1075" s="6" t="s">
        <v>57</v>
      </c>
      <c r="AJ1075" s="6" t="s">
        <v>57</v>
      </c>
      <c r="AK1075" s="6" t="s">
        <v>57</v>
      </c>
      <c r="AL1075" s="6" t="s">
        <v>57</v>
      </c>
      <c r="AM1075" s="6" t="s">
        <v>57</v>
      </c>
      <c r="AN1075" s="6" t="s">
        <v>57</v>
      </c>
      <c r="AO1075" s="6" t="s">
        <v>57</v>
      </c>
      <c r="AP1075" s="6" t="s">
        <v>57</v>
      </c>
      <c r="AQ1075" s="9">
        <v>0</v>
      </c>
    </row>
    <row r="1076" spans="1:43" ht="15">
      <c r="A1076" s="2" t="s">
        <v>3757</v>
      </c>
      <c r="B1076" s="5">
        <v>113452753</v>
      </c>
      <c r="C1076" s="2" t="s">
        <v>23</v>
      </c>
      <c r="D1076" s="2" t="s">
        <v>3758</v>
      </c>
      <c r="E1076" s="2" t="s">
        <v>3759</v>
      </c>
      <c r="F1076" s="2" t="s">
        <v>26</v>
      </c>
      <c r="G1076" s="2"/>
      <c r="H1076" s="2"/>
      <c r="I1076" s="2" t="s">
        <v>28</v>
      </c>
      <c r="J1076" s="6"/>
      <c r="K1076" s="2" t="s">
        <v>55</v>
      </c>
      <c r="L1076" s="2" t="s">
        <v>56</v>
      </c>
      <c r="M1076" s="2" t="s">
        <v>55</v>
      </c>
      <c r="N1076" s="2"/>
      <c r="O1076" s="2"/>
      <c r="P1076" s="6" t="s">
        <v>57</v>
      </c>
      <c r="Q1076" s="6" t="s">
        <v>57</v>
      </c>
      <c r="R1076" s="9">
        <v>0</v>
      </c>
      <c r="S1076" s="2"/>
      <c r="T1076" s="9">
        <v>0</v>
      </c>
      <c r="U1076" s="9">
        <v>0</v>
      </c>
      <c r="V1076" s="9">
        <v>2</v>
      </c>
      <c r="W1076" s="9">
        <v>447</v>
      </c>
      <c r="X1076" s="9">
        <v>446</v>
      </c>
      <c r="Y1076" s="9">
        <v>2206</v>
      </c>
      <c r="Z1076" s="9">
        <v>2278</v>
      </c>
      <c r="AA1076" s="9">
        <v>2278</v>
      </c>
      <c r="AB1076" s="9">
        <v>0</v>
      </c>
      <c r="AC1076" s="9">
        <v>2</v>
      </c>
      <c r="AD1076" s="9">
        <v>897</v>
      </c>
      <c r="AE1076" s="6" t="s">
        <v>57</v>
      </c>
      <c r="AF1076" s="6" t="s">
        <v>57</v>
      </c>
      <c r="AG1076" s="6" t="s">
        <v>57</v>
      </c>
      <c r="AH1076" s="6" t="s">
        <v>57</v>
      </c>
      <c r="AI1076" s="6" t="s">
        <v>57</v>
      </c>
      <c r="AJ1076" s="6" t="s">
        <v>57</v>
      </c>
      <c r="AK1076" s="6" t="s">
        <v>57</v>
      </c>
      <c r="AL1076" s="6" t="s">
        <v>57</v>
      </c>
      <c r="AM1076" s="6" t="s">
        <v>57</v>
      </c>
      <c r="AN1076" s="6" t="s">
        <v>57</v>
      </c>
      <c r="AO1076" s="6" t="s">
        <v>57</v>
      </c>
      <c r="AP1076" s="6" t="s">
        <v>57</v>
      </c>
      <c r="AQ1076" s="9">
        <v>0</v>
      </c>
    </row>
    <row r="1077" spans="1:43" ht="15">
      <c r="A1077" s="2" t="s">
        <v>3760</v>
      </c>
      <c r="B1077" s="5">
        <v>110367245</v>
      </c>
      <c r="C1077" s="2" t="s">
        <v>23</v>
      </c>
      <c r="D1077" s="2" t="s">
        <v>3761</v>
      </c>
      <c r="E1077" s="2" t="s">
        <v>3762</v>
      </c>
      <c r="F1077" s="2" t="s">
        <v>26</v>
      </c>
      <c r="G1077" s="2"/>
      <c r="H1077" s="2"/>
      <c r="I1077" s="2" t="s">
        <v>28</v>
      </c>
      <c r="J1077" s="6"/>
      <c r="K1077" s="2" t="s">
        <v>55</v>
      </c>
      <c r="L1077" s="2" t="s">
        <v>56</v>
      </c>
      <c r="M1077" s="2" t="s">
        <v>55</v>
      </c>
      <c r="N1077" s="2"/>
      <c r="O1077" s="2"/>
      <c r="P1077" s="6" t="s">
        <v>57</v>
      </c>
      <c r="Q1077" s="6" t="s">
        <v>57</v>
      </c>
      <c r="R1077" s="9">
        <v>0</v>
      </c>
      <c r="S1077" s="2"/>
      <c r="T1077" s="9">
        <v>0</v>
      </c>
      <c r="U1077" s="9">
        <v>0</v>
      </c>
      <c r="V1077" s="9">
        <v>0</v>
      </c>
      <c r="W1077" s="9">
        <v>60</v>
      </c>
      <c r="X1077" s="9">
        <v>60</v>
      </c>
      <c r="Y1077" s="9">
        <v>1660</v>
      </c>
      <c r="Z1077" s="9">
        <v>2058</v>
      </c>
      <c r="AA1077" s="9">
        <v>2058</v>
      </c>
      <c r="AB1077" s="9">
        <v>0</v>
      </c>
      <c r="AC1077" s="9">
        <v>0</v>
      </c>
      <c r="AD1077" s="9">
        <v>0</v>
      </c>
      <c r="AE1077" s="6" t="s">
        <v>57</v>
      </c>
      <c r="AF1077" s="6" t="s">
        <v>57</v>
      </c>
      <c r="AG1077" s="6" t="s">
        <v>57</v>
      </c>
      <c r="AH1077" s="6" t="s">
        <v>57</v>
      </c>
      <c r="AI1077" s="6" t="s">
        <v>57</v>
      </c>
      <c r="AJ1077" s="6" t="s">
        <v>57</v>
      </c>
      <c r="AK1077" s="6" t="s">
        <v>57</v>
      </c>
      <c r="AL1077" s="6" t="s">
        <v>57</v>
      </c>
      <c r="AM1077" s="6" t="s">
        <v>57</v>
      </c>
      <c r="AN1077" s="6" t="s">
        <v>57</v>
      </c>
      <c r="AO1077" s="6" t="s">
        <v>57</v>
      </c>
      <c r="AP1077" s="6" t="s">
        <v>57</v>
      </c>
      <c r="AQ1077" s="9">
        <v>0</v>
      </c>
    </row>
    <row r="1078" spans="1:43" ht="15">
      <c r="A1078" s="2" t="s">
        <v>3763</v>
      </c>
      <c r="B1078" s="5">
        <v>108607318</v>
      </c>
      <c r="C1078" s="2" t="s">
        <v>23</v>
      </c>
      <c r="D1078" s="2" t="s">
        <v>3764</v>
      </c>
      <c r="E1078" s="2" t="s">
        <v>3765</v>
      </c>
      <c r="F1078" s="2" t="s">
        <v>26</v>
      </c>
      <c r="G1078" s="2" t="s">
        <v>26</v>
      </c>
      <c r="H1078" s="2" t="s">
        <v>27</v>
      </c>
      <c r="I1078" s="2" t="s">
        <v>28</v>
      </c>
      <c r="J1078" s="6"/>
      <c r="K1078" s="2" t="s">
        <v>55</v>
      </c>
      <c r="L1078" s="2" t="s">
        <v>56</v>
      </c>
      <c r="M1078" s="2" t="s">
        <v>55</v>
      </c>
      <c r="N1078" s="2"/>
      <c r="O1078" s="2"/>
      <c r="P1078" s="6" t="s">
        <v>57</v>
      </c>
      <c r="Q1078" s="6" t="s">
        <v>57</v>
      </c>
      <c r="R1078" s="9">
        <v>0</v>
      </c>
      <c r="S1078" s="2"/>
      <c r="T1078" s="9">
        <v>0</v>
      </c>
      <c r="U1078" s="9">
        <v>1</v>
      </c>
      <c r="V1078" s="9">
        <v>4</v>
      </c>
      <c r="W1078" s="9">
        <v>13</v>
      </c>
      <c r="X1078" s="9">
        <v>12</v>
      </c>
      <c r="Y1078" s="9">
        <v>99</v>
      </c>
      <c r="Z1078" s="9">
        <v>134</v>
      </c>
      <c r="AA1078" s="9">
        <v>129</v>
      </c>
      <c r="AB1078" s="9">
        <v>1</v>
      </c>
      <c r="AC1078" s="9">
        <v>1</v>
      </c>
      <c r="AD1078" s="9">
        <v>3</v>
      </c>
      <c r="AE1078" s="6" t="s">
        <v>57</v>
      </c>
      <c r="AF1078" s="6" t="s">
        <v>57</v>
      </c>
      <c r="AG1078" s="6" t="s">
        <v>57</v>
      </c>
      <c r="AH1078" s="6" t="s">
        <v>57</v>
      </c>
      <c r="AI1078" s="6" t="s">
        <v>57</v>
      </c>
      <c r="AJ1078" s="6" t="s">
        <v>57</v>
      </c>
      <c r="AK1078" s="6" t="s">
        <v>57</v>
      </c>
      <c r="AL1078" s="6" t="s">
        <v>57</v>
      </c>
      <c r="AM1078" s="6" t="s">
        <v>57</v>
      </c>
      <c r="AN1078" s="6" t="s">
        <v>57</v>
      </c>
      <c r="AO1078" s="6" t="s">
        <v>57</v>
      </c>
      <c r="AP1078" s="6" t="s">
        <v>57</v>
      </c>
      <c r="AQ1078" s="9">
        <v>0</v>
      </c>
    </row>
    <row r="1079" spans="1:43" ht="15">
      <c r="A1079" s="2" t="s">
        <v>3766</v>
      </c>
      <c r="B1079" s="5">
        <v>111612353</v>
      </c>
      <c r="C1079" s="2" t="s">
        <v>23</v>
      </c>
      <c r="D1079" s="2" t="s">
        <v>3767</v>
      </c>
      <c r="E1079" s="2" t="s">
        <v>3768</v>
      </c>
      <c r="F1079" s="2" t="s">
        <v>26</v>
      </c>
      <c r="G1079" s="2" t="s">
        <v>26</v>
      </c>
      <c r="H1079" s="2" t="s">
        <v>27</v>
      </c>
      <c r="I1079" s="2" t="s">
        <v>28</v>
      </c>
      <c r="J1079" s="6"/>
      <c r="K1079" s="2" t="s">
        <v>55</v>
      </c>
      <c r="L1079" s="2" t="s">
        <v>56</v>
      </c>
      <c r="M1079" s="2" t="s">
        <v>55</v>
      </c>
      <c r="N1079" s="2"/>
      <c r="O1079" s="2"/>
      <c r="P1079" s="6" t="s">
        <v>57</v>
      </c>
      <c r="Q1079" s="6" t="s">
        <v>57</v>
      </c>
      <c r="R1079" s="9">
        <v>0</v>
      </c>
      <c r="S1079" s="2"/>
      <c r="T1079" s="9">
        <v>0</v>
      </c>
      <c r="U1079" s="9">
        <v>0</v>
      </c>
      <c r="V1079" s="9">
        <v>0</v>
      </c>
      <c r="W1079" s="9">
        <v>174</v>
      </c>
      <c r="X1079" s="9">
        <v>173</v>
      </c>
      <c r="Y1079" s="9">
        <v>199</v>
      </c>
      <c r="Z1079" s="9">
        <v>199</v>
      </c>
      <c r="AA1079" s="9">
        <v>199</v>
      </c>
      <c r="AB1079" s="9">
        <v>0</v>
      </c>
      <c r="AC1079" s="9">
        <v>0</v>
      </c>
      <c r="AD1079" s="9">
        <v>102</v>
      </c>
      <c r="AE1079" s="6" t="s">
        <v>57</v>
      </c>
      <c r="AF1079" s="6" t="s">
        <v>57</v>
      </c>
      <c r="AG1079" s="6" t="s">
        <v>57</v>
      </c>
      <c r="AH1079" s="6" t="s">
        <v>57</v>
      </c>
      <c r="AI1079" s="6" t="s">
        <v>57</v>
      </c>
      <c r="AJ1079" s="6" t="s">
        <v>57</v>
      </c>
      <c r="AK1079" s="6" t="s">
        <v>57</v>
      </c>
      <c r="AL1079" s="6" t="s">
        <v>57</v>
      </c>
      <c r="AM1079" s="6" t="s">
        <v>57</v>
      </c>
      <c r="AN1079" s="6" t="s">
        <v>57</v>
      </c>
      <c r="AO1079" s="6" t="s">
        <v>57</v>
      </c>
      <c r="AP1079" s="6" t="s">
        <v>57</v>
      </c>
      <c r="AQ1079" s="9">
        <v>0</v>
      </c>
    </row>
    <row r="1080" spans="1:43" ht="15">
      <c r="A1080" s="2" t="s">
        <v>3769</v>
      </c>
      <c r="B1080" s="5">
        <v>118132606</v>
      </c>
      <c r="C1080" s="2" t="s">
        <v>23</v>
      </c>
      <c r="D1080" s="2" t="s">
        <v>3770</v>
      </c>
      <c r="E1080" s="2" t="s">
        <v>3771</v>
      </c>
      <c r="F1080" s="2" t="s">
        <v>26</v>
      </c>
      <c r="G1080" s="2" t="s">
        <v>26</v>
      </c>
      <c r="H1080" s="2" t="s">
        <v>27</v>
      </c>
      <c r="I1080" s="2" t="s">
        <v>28</v>
      </c>
      <c r="J1080" s="6"/>
      <c r="K1080" s="2" t="s">
        <v>55</v>
      </c>
      <c r="L1080" s="2" t="s">
        <v>56</v>
      </c>
      <c r="M1080" s="2" t="s">
        <v>55</v>
      </c>
      <c r="N1080" s="2"/>
      <c r="O1080" s="2"/>
      <c r="P1080" s="6" t="s">
        <v>57</v>
      </c>
      <c r="Q1080" s="6" t="s">
        <v>57</v>
      </c>
      <c r="R1080" s="6" t="s">
        <v>57</v>
      </c>
      <c r="S1080" s="2"/>
      <c r="T1080" s="6" t="s">
        <v>57</v>
      </c>
      <c r="U1080" s="6" t="s">
        <v>57</v>
      </c>
      <c r="V1080" s="6" t="s">
        <v>57</v>
      </c>
      <c r="W1080" s="6" t="s">
        <v>57</v>
      </c>
      <c r="X1080" s="6" t="s">
        <v>57</v>
      </c>
      <c r="Y1080" s="6" t="s">
        <v>57</v>
      </c>
      <c r="Z1080" s="6" t="s">
        <v>57</v>
      </c>
      <c r="AA1080" s="6" t="s">
        <v>57</v>
      </c>
      <c r="AB1080" s="6" t="s">
        <v>57</v>
      </c>
      <c r="AC1080" s="6" t="s">
        <v>57</v>
      </c>
      <c r="AD1080" s="6" t="s">
        <v>57</v>
      </c>
      <c r="AE1080" s="6" t="s">
        <v>57</v>
      </c>
      <c r="AF1080" s="6" t="s">
        <v>57</v>
      </c>
      <c r="AG1080" s="6" t="s">
        <v>57</v>
      </c>
      <c r="AH1080" s="6" t="s">
        <v>57</v>
      </c>
      <c r="AI1080" s="6" t="s">
        <v>57</v>
      </c>
      <c r="AJ1080" s="6" t="s">
        <v>57</v>
      </c>
      <c r="AK1080" s="6" t="s">
        <v>57</v>
      </c>
      <c r="AL1080" s="6" t="s">
        <v>57</v>
      </c>
      <c r="AM1080" s="6" t="s">
        <v>57</v>
      </c>
      <c r="AN1080" s="6" t="s">
        <v>57</v>
      </c>
      <c r="AO1080" s="6" t="s">
        <v>57</v>
      </c>
      <c r="AP1080" s="6" t="s">
        <v>57</v>
      </c>
      <c r="AQ1080" s="6" t="s">
        <v>57</v>
      </c>
    </row>
    <row r="1081" spans="1:43" ht="15">
      <c r="A1081" s="2" t="s">
        <v>3772</v>
      </c>
      <c r="B1081" s="5">
        <v>139150917</v>
      </c>
      <c r="C1081" s="2" t="s">
        <v>46</v>
      </c>
      <c r="D1081" s="2" t="s">
        <v>3773</v>
      </c>
      <c r="E1081" s="2" t="s">
        <v>3774</v>
      </c>
      <c r="F1081" s="2" t="s">
        <v>49</v>
      </c>
      <c r="G1081" s="2" t="s">
        <v>49</v>
      </c>
      <c r="H1081" s="2" t="s">
        <v>50</v>
      </c>
      <c r="I1081" s="2" t="s">
        <v>28</v>
      </c>
      <c r="J1081" s="6"/>
      <c r="K1081" s="2" t="s">
        <v>55</v>
      </c>
      <c r="L1081" s="2" t="s">
        <v>56</v>
      </c>
      <c r="M1081" s="2" t="s">
        <v>55</v>
      </c>
      <c r="N1081" s="2"/>
      <c r="O1081" s="2"/>
      <c r="P1081" s="6" t="s">
        <v>57</v>
      </c>
      <c r="Q1081" s="6" t="s">
        <v>57</v>
      </c>
      <c r="R1081" s="6" t="s">
        <v>57</v>
      </c>
      <c r="S1081" s="2"/>
      <c r="T1081" s="6" t="s">
        <v>57</v>
      </c>
      <c r="U1081" s="6" t="s">
        <v>57</v>
      </c>
      <c r="V1081" s="6" t="s">
        <v>57</v>
      </c>
      <c r="W1081" s="6" t="s">
        <v>57</v>
      </c>
      <c r="X1081" s="6" t="s">
        <v>57</v>
      </c>
      <c r="Y1081" s="6" t="s">
        <v>57</v>
      </c>
      <c r="Z1081" s="6" t="s">
        <v>57</v>
      </c>
      <c r="AA1081" s="6" t="s">
        <v>57</v>
      </c>
      <c r="AB1081" s="6" t="s">
        <v>57</v>
      </c>
      <c r="AC1081" s="6" t="s">
        <v>57</v>
      </c>
      <c r="AD1081" s="6" t="s">
        <v>57</v>
      </c>
      <c r="AE1081" s="6" t="s">
        <v>57</v>
      </c>
      <c r="AF1081" s="6" t="s">
        <v>57</v>
      </c>
      <c r="AG1081" s="6" t="s">
        <v>57</v>
      </c>
      <c r="AH1081" s="6" t="s">
        <v>57</v>
      </c>
      <c r="AI1081" s="6" t="s">
        <v>57</v>
      </c>
      <c r="AJ1081" s="6" t="s">
        <v>57</v>
      </c>
      <c r="AK1081" s="6" t="s">
        <v>57</v>
      </c>
      <c r="AL1081" s="6" t="s">
        <v>57</v>
      </c>
      <c r="AM1081" s="6" t="s">
        <v>57</v>
      </c>
      <c r="AN1081" s="6" t="s">
        <v>57</v>
      </c>
      <c r="AO1081" s="6" t="s">
        <v>57</v>
      </c>
      <c r="AP1081" s="6" t="s">
        <v>57</v>
      </c>
      <c r="AQ1081" s="6" t="s">
        <v>57</v>
      </c>
    </row>
    <row r="1082" spans="1:43" ht="15">
      <c r="A1082" s="2" t="s">
        <v>3775</v>
      </c>
      <c r="B1082" s="5">
        <v>113634388</v>
      </c>
      <c r="C1082" s="2" t="s">
        <v>23</v>
      </c>
      <c r="D1082" s="2" t="s">
        <v>3776</v>
      </c>
      <c r="E1082" s="2" t="s">
        <v>3777</v>
      </c>
      <c r="F1082" s="2" t="s">
        <v>26</v>
      </c>
      <c r="G1082" s="2"/>
      <c r="H1082" s="2"/>
      <c r="I1082" s="2" t="s">
        <v>28</v>
      </c>
      <c r="J1082" s="6"/>
      <c r="K1082" s="2" t="s">
        <v>55</v>
      </c>
      <c r="L1082" s="2" t="s">
        <v>56</v>
      </c>
      <c r="M1082" s="2" t="s">
        <v>55</v>
      </c>
      <c r="N1082" s="2"/>
      <c r="O1082" s="2"/>
      <c r="P1082" s="6" t="s">
        <v>57</v>
      </c>
      <c r="Q1082" s="6" t="s">
        <v>57</v>
      </c>
      <c r="R1082" s="6" t="s">
        <v>57</v>
      </c>
      <c r="S1082" s="2"/>
      <c r="T1082" s="6" t="s">
        <v>57</v>
      </c>
      <c r="U1082" s="6" t="s">
        <v>57</v>
      </c>
      <c r="V1082" s="6" t="s">
        <v>57</v>
      </c>
      <c r="W1082" s="6" t="s">
        <v>57</v>
      </c>
      <c r="X1082" s="6" t="s">
        <v>57</v>
      </c>
      <c r="Y1082" s="6" t="s">
        <v>57</v>
      </c>
      <c r="Z1082" s="6" t="s">
        <v>57</v>
      </c>
      <c r="AA1082" s="6" t="s">
        <v>57</v>
      </c>
      <c r="AB1082" s="6" t="s">
        <v>57</v>
      </c>
      <c r="AC1082" s="6" t="s">
        <v>57</v>
      </c>
      <c r="AD1082" s="6" t="s">
        <v>57</v>
      </c>
      <c r="AE1082" s="6" t="s">
        <v>57</v>
      </c>
      <c r="AF1082" s="6" t="s">
        <v>57</v>
      </c>
      <c r="AG1082" s="6" t="s">
        <v>57</v>
      </c>
      <c r="AH1082" s="6" t="s">
        <v>57</v>
      </c>
      <c r="AI1082" s="6" t="s">
        <v>57</v>
      </c>
      <c r="AJ1082" s="6" t="s">
        <v>57</v>
      </c>
      <c r="AK1082" s="6" t="s">
        <v>57</v>
      </c>
      <c r="AL1082" s="6" t="s">
        <v>57</v>
      </c>
      <c r="AM1082" s="6" t="s">
        <v>57</v>
      </c>
      <c r="AN1082" s="6" t="s">
        <v>57</v>
      </c>
      <c r="AO1082" s="6" t="s">
        <v>57</v>
      </c>
      <c r="AP1082" s="6" t="s">
        <v>57</v>
      </c>
      <c r="AQ1082" s="6" t="s">
        <v>57</v>
      </c>
    </row>
    <row r="1083" spans="1:43" ht="15">
      <c r="A1083" s="2" t="s">
        <v>3778</v>
      </c>
      <c r="B1083" s="5">
        <v>132563650</v>
      </c>
      <c r="C1083" s="2" t="s">
        <v>23</v>
      </c>
      <c r="D1083" s="2" t="s">
        <v>3779</v>
      </c>
      <c r="E1083" s="2" t="s">
        <v>3780</v>
      </c>
      <c r="F1083" s="2" t="s">
        <v>26</v>
      </c>
      <c r="G1083" s="2" t="s">
        <v>26</v>
      </c>
      <c r="H1083" s="2" t="s">
        <v>27</v>
      </c>
      <c r="I1083" s="2" t="s">
        <v>28</v>
      </c>
      <c r="J1083" s="6"/>
      <c r="K1083" s="2" t="s">
        <v>55</v>
      </c>
      <c r="L1083" s="2" t="s">
        <v>56</v>
      </c>
      <c r="M1083" s="2" t="s">
        <v>55</v>
      </c>
      <c r="N1083" s="2"/>
      <c r="O1083" s="2"/>
      <c r="P1083" s="6" t="s">
        <v>57</v>
      </c>
      <c r="Q1083" s="6" t="s">
        <v>57</v>
      </c>
      <c r="R1083" s="6" t="s">
        <v>57</v>
      </c>
      <c r="S1083" s="2"/>
      <c r="T1083" s="6" t="s">
        <v>57</v>
      </c>
      <c r="U1083" s="6" t="s">
        <v>57</v>
      </c>
      <c r="V1083" s="6" t="s">
        <v>57</v>
      </c>
      <c r="W1083" s="6" t="s">
        <v>57</v>
      </c>
      <c r="X1083" s="6" t="s">
        <v>57</v>
      </c>
      <c r="Y1083" s="6" t="s">
        <v>57</v>
      </c>
      <c r="Z1083" s="6" t="s">
        <v>57</v>
      </c>
      <c r="AA1083" s="6" t="s">
        <v>57</v>
      </c>
      <c r="AB1083" s="6" t="s">
        <v>57</v>
      </c>
      <c r="AC1083" s="6" t="s">
        <v>57</v>
      </c>
      <c r="AD1083" s="6" t="s">
        <v>57</v>
      </c>
      <c r="AE1083" s="6" t="s">
        <v>57</v>
      </c>
      <c r="AF1083" s="6" t="s">
        <v>57</v>
      </c>
      <c r="AG1083" s="6" t="s">
        <v>57</v>
      </c>
      <c r="AH1083" s="6" t="s">
        <v>57</v>
      </c>
      <c r="AI1083" s="6" t="s">
        <v>57</v>
      </c>
      <c r="AJ1083" s="6" t="s">
        <v>57</v>
      </c>
      <c r="AK1083" s="6" t="s">
        <v>57</v>
      </c>
      <c r="AL1083" s="6" t="s">
        <v>57</v>
      </c>
      <c r="AM1083" s="6" t="s">
        <v>57</v>
      </c>
      <c r="AN1083" s="6" t="s">
        <v>57</v>
      </c>
      <c r="AO1083" s="6" t="s">
        <v>57</v>
      </c>
      <c r="AP1083" s="6" t="s">
        <v>57</v>
      </c>
      <c r="AQ1083" s="6" t="s">
        <v>57</v>
      </c>
    </row>
    <row r="1084" spans="1:43" ht="15">
      <c r="A1084" s="2" t="s">
        <v>3781</v>
      </c>
      <c r="B1084" s="5">
        <v>4911020</v>
      </c>
      <c r="C1084" s="2" t="s">
        <v>23</v>
      </c>
      <c r="D1084" s="2" t="s">
        <v>3782</v>
      </c>
      <c r="E1084" s="2" t="s">
        <v>3783</v>
      </c>
      <c r="F1084" s="2" t="s">
        <v>26</v>
      </c>
      <c r="G1084" s="2" t="s">
        <v>26</v>
      </c>
      <c r="H1084" s="2" t="s">
        <v>27</v>
      </c>
      <c r="I1084" s="2" t="s">
        <v>28</v>
      </c>
      <c r="J1084" s="6"/>
      <c r="K1084" s="2" t="s">
        <v>3579</v>
      </c>
      <c r="L1084" s="2" t="s">
        <v>30</v>
      </c>
      <c r="M1084" s="2" t="s">
        <v>189</v>
      </c>
      <c r="N1084" s="2" t="s">
        <v>1013</v>
      </c>
      <c r="O1084" s="2" t="s">
        <v>3579</v>
      </c>
      <c r="P1084" s="7">
        <v>688.90417606719996</v>
      </c>
      <c r="Q1084" s="8">
        <v>1152.30196781114</v>
      </c>
      <c r="R1084" s="9">
        <v>433524</v>
      </c>
      <c r="S1084" s="2" t="s">
        <v>3784</v>
      </c>
      <c r="T1084" s="9">
        <v>313631</v>
      </c>
      <c r="U1084" s="9">
        <v>621593</v>
      </c>
      <c r="V1084" s="9">
        <v>1168086</v>
      </c>
      <c r="W1084" s="9">
        <v>1134743</v>
      </c>
      <c r="X1084" s="9">
        <v>1138433</v>
      </c>
      <c r="Y1084" s="9">
        <v>1207849</v>
      </c>
      <c r="Z1084" s="9">
        <v>1077027</v>
      </c>
      <c r="AA1084" s="9">
        <v>968294</v>
      </c>
      <c r="AB1084" s="9">
        <v>647367</v>
      </c>
      <c r="AC1084" s="9">
        <v>1174423</v>
      </c>
      <c r="AD1084" s="9">
        <v>1038336</v>
      </c>
      <c r="AE1084" s="7">
        <v>0.29331402822695202</v>
      </c>
      <c r="AF1084" s="7">
        <v>0.21219660987898201</v>
      </c>
      <c r="AG1084" s="7">
        <v>0.42055782398073099</v>
      </c>
      <c r="AH1084" s="7">
        <v>0.79030477640694996</v>
      </c>
      <c r="AI1084" s="7">
        <v>0.76774522346160601</v>
      </c>
      <c r="AJ1084" s="7">
        <v>0.77024206438343201</v>
      </c>
      <c r="AK1084" s="7">
        <v>0.81720734686736396</v>
      </c>
      <c r="AL1084" s="7">
        <v>0.72869600417891101</v>
      </c>
      <c r="AM1084" s="7">
        <v>0.655129277750234</v>
      </c>
      <c r="AN1084" s="7">
        <v>0.43799626398508701</v>
      </c>
      <c r="AO1084" s="7">
        <v>0.79459178994671897</v>
      </c>
      <c r="AP1084" s="7">
        <v>0.70251819020302197</v>
      </c>
      <c r="AQ1084" s="9">
        <v>379805</v>
      </c>
    </row>
    <row r="1085" spans="1:43" ht="15">
      <c r="A1085" s="2" t="s">
        <v>3785</v>
      </c>
      <c r="B1085" s="5">
        <v>4912823</v>
      </c>
      <c r="C1085" s="2" t="s">
        <v>23</v>
      </c>
      <c r="D1085" s="2" t="s">
        <v>3786</v>
      </c>
      <c r="E1085" s="2" t="s">
        <v>3787</v>
      </c>
      <c r="F1085" s="2" t="s">
        <v>26</v>
      </c>
      <c r="G1085" s="2" t="s">
        <v>26</v>
      </c>
      <c r="H1085" s="2" t="s">
        <v>27</v>
      </c>
      <c r="I1085" s="2" t="s">
        <v>40</v>
      </c>
      <c r="J1085" s="6"/>
      <c r="K1085" s="2" t="s">
        <v>3579</v>
      </c>
      <c r="L1085" s="2" t="s">
        <v>30</v>
      </c>
      <c r="M1085" s="2" t="s">
        <v>189</v>
      </c>
      <c r="N1085" s="2" t="s">
        <v>1013</v>
      </c>
      <c r="O1085" s="2" t="s">
        <v>3579</v>
      </c>
      <c r="P1085" s="7">
        <v>173.30093041459901</v>
      </c>
      <c r="Q1085" s="8">
        <v>224.675948100976</v>
      </c>
      <c r="R1085" s="9">
        <v>0</v>
      </c>
      <c r="S1085" s="2" t="s">
        <v>3788</v>
      </c>
      <c r="T1085" s="9">
        <v>0</v>
      </c>
      <c r="U1085" s="9">
        <v>261466</v>
      </c>
      <c r="V1085" s="9">
        <v>139640</v>
      </c>
      <c r="W1085" s="9">
        <v>141937</v>
      </c>
      <c r="X1085" s="9">
        <v>141369</v>
      </c>
      <c r="Y1085" s="9">
        <v>551866</v>
      </c>
      <c r="Z1085" s="9">
        <v>393122</v>
      </c>
      <c r="AA1085" s="9">
        <v>803713</v>
      </c>
      <c r="AB1085" s="9">
        <v>298631</v>
      </c>
      <c r="AC1085" s="9">
        <v>145759</v>
      </c>
      <c r="AD1085" s="9">
        <v>88873</v>
      </c>
      <c r="AE1085" s="7">
        <v>0</v>
      </c>
      <c r="AF1085" s="7">
        <v>0</v>
      </c>
      <c r="AG1085" s="7">
        <v>0.00327080707843053</v>
      </c>
      <c r="AH1085" s="7">
        <v>0.00174681730650419</v>
      </c>
      <c r="AI1085" s="7">
        <v>0.00177556034730864</v>
      </c>
      <c r="AJ1085" s="7">
        <v>0.0017684581059194101</v>
      </c>
      <c r="AK1085" s="7">
        <v>0.0069035576167174699</v>
      </c>
      <c r="AL1085" s="7">
        <v>0.0049177493525066097</v>
      </c>
      <c r="AM1085" s="7">
        <v>0.0100540311526576</v>
      </c>
      <c r="AN1085" s="7">
        <v>0.0037357211947813399</v>
      </c>
      <c r="AO1085" s="7">
        <v>0.0018233694706558301</v>
      </c>
      <c r="AP1085" s="7">
        <v>0.0011117608008039701</v>
      </c>
      <c r="AQ1085" s="9">
        <v>0</v>
      </c>
    </row>
    <row r="1086" spans="1:43" ht="15">
      <c r="A1086" s="2" t="s">
        <v>3789</v>
      </c>
      <c r="B1086" s="5">
        <v>4912554</v>
      </c>
      <c r="C1086" s="2" t="s">
        <v>23</v>
      </c>
      <c r="D1086" s="2" t="s">
        <v>3790</v>
      </c>
      <c r="E1086" s="2" t="s">
        <v>3791</v>
      </c>
      <c r="F1086" s="2" t="s">
        <v>26</v>
      </c>
      <c r="G1086" s="2" t="s">
        <v>26</v>
      </c>
      <c r="H1086" s="2" t="s">
        <v>27</v>
      </c>
      <c r="I1086" s="2" t="s">
        <v>28</v>
      </c>
      <c r="J1086" s="6"/>
      <c r="K1086" s="2" t="s">
        <v>3579</v>
      </c>
      <c r="L1086" s="2" t="s">
        <v>30</v>
      </c>
      <c r="M1086" s="2" t="s">
        <v>189</v>
      </c>
      <c r="N1086" s="2" t="s">
        <v>1013</v>
      </c>
      <c r="O1086" s="2" t="s">
        <v>3579</v>
      </c>
      <c r="P1086" s="7">
        <v>20.695740704296298</v>
      </c>
      <c r="Q1086" s="8">
        <v>53.244486426160002</v>
      </c>
      <c r="R1086" s="9">
        <v>0</v>
      </c>
      <c r="S1086" s="2" t="s">
        <v>3792</v>
      </c>
      <c r="T1086" s="9">
        <v>0</v>
      </c>
      <c r="U1086" s="9">
        <v>713</v>
      </c>
      <c r="V1086" s="9">
        <v>429</v>
      </c>
      <c r="W1086" s="9">
        <v>8596</v>
      </c>
      <c r="X1086" s="9">
        <v>8562</v>
      </c>
      <c r="Y1086" s="9">
        <v>7112</v>
      </c>
      <c r="Z1086" s="9">
        <v>7152</v>
      </c>
      <c r="AA1086" s="9">
        <v>15268</v>
      </c>
      <c r="AB1086" s="9">
        <v>814</v>
      </c>
      <c r="AC1086" s="9">
        <v>450</v>
      </c>
      <c r="AD1086" s="9">
        <v>647</v>
      </c>
      <c r="AE1086" s="7">
        <v>0</v>
      </c>
      <c r="AF1086" s="7">
        <v>0</v>
      </c>
      <c r="AG1086" s="7">
        <v>0.00056005892205606398</v>
      </c>
      <c r="AH1086" s="7">
        <v>0.00033664421967529102</v>
      </c>
      <c r="AI1086" s="7">
        <v>0.0067536674133331096</v>
      </c>
      <c r="AJ1086" s="7">
        <v>0.0067266527436797702</v>
      </c>
      <c r="AK1086" s="7">
        <v>0.0055871421520786897</v>
      </c>
      <c r="AL1086" s="7">
        <v>0.0056188952327063304</v>
      </c>
      <c r="AM1086" s="7">
        <v>0.0119952314650771</v>
      </c>
      <c r="AN1086" s="7">
        <v>0.00063913206078042805</v>
      </c>
      <c r="AO1086" s="7">
        <v>0.00035320049277407601</v>
      </c>
      <c r="AP1086" s="7">
        <v>0.00050828626723849603</v>
      </c>
      <c r="AQ1086" s="9">
        <v>0</v>
      </c>
    </row>
    <row r="1087" spans="1:43" ht="15">
      <c r="A1087" s="2" t="s">
        <v>3793</v>
      </c>
      <c r="B1087" s="5">
        <v>4582173</v>
      </c>
      <c r="C1087" s="2" t="s">
        <v>46</v>
      </c>
      <c r="D1087" s="2" t="s">
        <v>3794</v>
      </c>
      <c r="E1087" s="2" t="s">
        <v>3795</v>
      </c>
      <c r="F1087" s="2" t="s">
        <v>49</v>
      </c>
      <c r="G1087" s="2" t="s">
        <v>49</v>
      </c>
      <c r="H1087" s="2" t="s">
        <v>50</v>
      </c>
      <c r="I1087" s="2" t="s">
        <v>40</v>
      </c>
      <c r="J1087" s="6"/>
      <c r="K1087" s="2" t="s">
        <v>3197</v>
      </c>
      <c r="L1087" s="2" t="s">
        <v>56</v>
      </c>
      <c r="M1087" s="2" t="s">
        <v>602</v>
      </c>
      <c r="N1087" s="2" t="s">
        <v>2589</v>
      </c>
      <c r="O1087" s="2" t="s">
        <v>3197</v>
      </c>
      <c r="P1087" s="7">
        <v>68.461617879885594</v>
      </c>
      <c r="Q1087" s="8">
        <v>52.023828206069602</v>
      </c>
      <c r="R1087" s="9">
        <v>0</v>
      </c>
      <c r="S1087" s="2" t="s">
        <v>3796</v>
      </c>
      <c r="T1087" s="9">
        <v>0</v>
      </c>
      <c r="U1087" s="9">
        <v>0</v>
      </c>
      <c r="V1087" s="9">
        <v>0</v>
      </c>
      <c r="W1087" s="9">
        <v>0</v>
      </c>
      <c r="X1087" s="9">
        <v>0</v>
      </c>
      <c r="Y1087" s="9">
        <v>0</v>
      </c>
      <c r="Z1087" s="9">
        <v>0</v>
      </c>
      <c r="AA1087" s="9">
        <v>0</v>
      </c>
      <c r="AB1087" s="9">
        <v>0</v>
      </c>
      <c r="AC1087" s="9">
        <v>0</v>
      </c>
      <c r="AD1087" s="9">
        <v>0</v>
      </c>
      <c r="AE1087" s="7">
        <v>0</v>
      </c>
      <c r="AF1087" s="7">
        <v>0</v>
      </c>
      <c r="AG1087" s="7">
        <v>0</v>
      </c>
      <c r="AH1087" s="7">
        <v>0</v>
      </c>
      <c r="AI1087" s="7">
        <v>0</v>
      </c>
      <c r="AJ1087" s="7">
        <v>0</v>
      </c>
      <c r="AK1087" s="7">
        <v>0</v>
      </c>
      <c r="AL1087" s="7">
        <v>0</v>
      </c>
      <c r="AM1087" s="7">
        <v>0</v>
      </c>
      <c r="AN1087" s="7">
        <v>0</v>
      </c>
      <c r="AO1087" s="7">
        <v>0</v>
      </c>
      <c r="AP1087" s="7">
        <v>0</v>
      </c>
      <c r="AQ1087" s="9">
        <v>0</v>
      </c>
    </row>
    <row r="1088" spans="1:43" ht="15">
      <c r="A1088" s="2" t="s">
        <v>3797</v>
      </c>
      <c r="B1088" s="5">
        <v>4355250</v>
      </c>
      <c r="C1088" s="2" t="s">
        <v>46</v>
      </c>
      <c r="D1088" s="2" t="s">
        <v>3798</v>
      </c>
      <c r="E1088" s="2" t="s">
        <v>3799</v>
      </c>
      <c r="F1088" s="2" t="s">
        <v>49</v>
      </c>
      <c r="G1088" s="2" t="s">
        <v>49</v>
      </c>
      <c r="H1088" s="2" t="s">
        <v>50</v>
      </c>
      <c r="I1088" s="2" t="s">
        <v>40</v>
      </c>
      <c r="J1088" s="6"/>
      <c r="K1088" s="2" t="s">
        <v>1139</v>
      </c>
      <c r="L1088" s="2" t="s">
        <v>42</v>
      </c>
      <c r="M1088" s="2" t="s">
        <v>43</v>
      </c>
      <c r="N1088" s="2" t="s">
        <v>1139</v>
      </c>
      <c r="O1088" s="2"/>
      <c r="P1088" s="7">
        <v>1449.7610484122799</v>
      </c>
      <c r="Q1088" s="8">
        <v>1995.89532663158</v>
      </c>
      <c r="R1088" s="9">
        <v>2504740</v>
      </c>
      <c r="S1088" s="2" t="s">
        <v>3800</v>
      </c>
      <c r="T1088" s="9">
        <v>2904735</v>
      </c>
      <c r="U1088" s="9">
        <v>6254347</v>
      </c>
      <c r="V1088" s="9">
        <v>5891834</v>
      </c>
      <c r="W1088" s="9">
        <v>6010569</v>
      </c>
      <c r="X1088" s="9">
        <v>5995280</v>
      </c>
      <c r="Y1088" s="9">
        <v>5244713</v>
      </c>
      <c r="Z1088" s="9">
        <v>4577124</v>
      </c>
      <c r="AA1088" s="9">
        <v>3555266</v>
      </c>
      <c r="AB1088" s="9">
        <v>6649937</v>
      </c>
      <c r="AC1088" s="9">
        <v>6081480</v>
      </c>
      <c r="AD1088" s="9">
        <v>5763215</v>
      </c>
      <c r="AE1088" s="7">
        <v>0.51518287240526395</v>
      </c>
      <c r="AF1088" s="7">
        <v>0.59745519843971495</v>
      </c>
      <c r="AG1088" s="7">
        <v>1.28641415410644</v>
      </c>
      <c r="AH1088" s="7">
        <v>1.2118513705931999</v>
      </c>
      <c r="AI1088" s="7">
        <v>1.2362730922854299</v>
      </c>
      <c r="AJ1088" s="7">
        <v>1.2331284421772499</v>
      </c>
      <c r="AK1088" s="7">
        <v>1.07874940706014</v>
      </c>
      <c r="AL1088" s="7">
        <v>0.94143751351279603</v>
      </c>
      <c r="AM1088" s="7">
        <v>0.73125851461365399</v>
      </c>
      <c r="AN1088" s="7">
        <v>1.36778038069187</v>
      </c>
      <c r="AO1088" s="7">
        <v>1.2508583398182</v>
      </c>
      <c r="AP1088" s="7">
        <v>1.18539668455012</v>
      </c>
      <c r="AQ1088" s="9">
        <v>2033155</v>
      </c>
    </row>
    <row r="1089" spans="1:43" ht="15">
      <c r="A1089" s="2" t="s">
        <v>3801</v>
      </c>
      <c r="B1089" s="5">
        <v>143096209</v>
      </c>
      <c r="C1089" s="2" t="s">
        <v>23</v>
      </c>
      <c r="D1089" s="2" t="s">
        <v>3802</v>
      </c>
      <c r="E1089" s="2" t="s">
        <v>3803</v>
      </c>
      <c r="F1089" s="2" t="s">
        <v>26</v>
      </c>
      <c r="G1089" s="2"/>
      <c r="H1089" s="2"/>
      <c r="I1089" s="2" t="s">
        <v>28</v>
      </c>
      <c r="J1089" s="6"/>
      <c r="K1089" s="2" t="s">
        <v>55</v>
      </c>
      <c r="L1089" s="2" t="s">
        <v>56</v>
      </c>
      <c r="M1089" s="2" t="s">
        <v>55</v>
      </c>
      <c r="N1089" s="2"/>
      <c r="O1089" s="2"/>
      <c r="P1089" s="6" t="s">
        <v>57</v>
      </c>
      <c r="Q1089" s="6" t="s">
        <v>57</v>
      </c>
      <c r="R1089" s="6" t="s">
        <v>57</v>
      </c>
      <c r="S1089" s="2"/>
      <c r="T1089" s="6" t="s">
        <v>57</v>
      </c>
      <c r="U1089" s="6" t="s">
        <v>57</v>
      </c>
      <c r="V1089" s="6" t="s">
        <v>57</v>
      </c>
      <c r="W1089" s="6" t="s">
        <v>57</v>
      </c>
      <c r="X1089" s="6" t="s">
        <v>57</v>
      </c>
      <c r="Y1089" s="6" t="s">
        <v>57</v>
      </c>
      <c r="Z1089" s="6" t="s">
        <v>57</v>
      </c>
      <c r="AA1089" s="6" t="s">
        <v>57</v>
      </c>
      <c r="AB1089" s="6" t="s">
        <v>57</v>
      </c>
      <c r="AC1089" s="6" t="s">
        <v>57</v>
      </c>
      <c r="AD1089" s="6" t="s">
        <v>57</v>
      </c>
      <c r="AE1089" s="6" t="s">
        <v>57</v>
      </c>
      <c r="AF1089" s="6" t="s">
        <v>57</v>
      </c>
      <c r="AG1089" s="6" t="s">
        <v>57</v>
      </c>
      <c r="AH1089" s="6" t="s">
        <v>57</v>
      </c>
      <c r="AI1089" s="6" t="s">
        <v>57</v>
      </c>
      <c r="AJ1089" s="6" t="s">
        <v>57</v>
      </c>
      <c r="AK1089" s="6" t="s">
        <v>57</v>
      </c>
      <c r="AL1089" s="6" t="s">
        <v>57</v>
      </c>
      <c r="AM1089" s="6" t="s">
        <v>57</v>
      </c>
      <c r="AN1089" s="6" t="s">
        <v>57</v>
      </c>
      <c r="AO1089" s="6" t="s">
        <v>57</v>
      </c>
      <c r="AP1089" s="6" t="s">
        <v>57</v>
      </c>
      <c r="AQ1089" s="6" t="s">
        <v>57</v>
      </c>
    </row>
    <row r="1090" spans="1:43" ht="15">
      <c r="A1090" s="2" t="s">
        <v>3804</v>
      </c>
      <c r="B1090" s="5">
        <v>118998331</v>
      </c>
      <c r="C1090" s="2" t="s">
        <v>23</v>
      </c>
      <c r="D1090" s="2" t="s">
        <v>3805</v>
      </c>
      <c r="E1090" s="2" t="s">
        <v>3806</v>
      </c>
      <c r="F1090" s="2" t="s">
        <v>26</v>
      </c>
      <c r="G1090" s="2"/>
      <c r="H1090" s="2"/>
      <c r="I1090" s="2" t="s">
        <v>28</v>
      </c>
      <c r="J1090" s="6"/>
      <c r="K1090" s="2" t="s">
        <v>55</v>
      </c>
      <c r="L1090" s="2" t="s">
        <v>56</v>
      </c>
      <c r="M1090" s="2" t="s">
        <v>55</v>
      </c>
      <c r="N1090" s="2"/>
      <c r="O1090" s="2"/>
      <c r="P1090" s="6" t="s">
        <v>57</v>
      </c>
      <c r="Q1090" s="6" t="s">
        <v>57</v>
      </c>
      <c r="R1090" s="6" t="s">
        <v>57</v>
      </c>
      <c r="S1090" s="2"/>
      <c r="T1090" s="6" t="s">
        <v>57</v>
      </c>
      <c r="U1090" s="6" t="s">
        <v>57</v>
      </c>
      <c r="V1090" s="6" t="s">
        <v>57</v>
      </c>
      <c r="W1090" s="6" t="s">
        <v>57</v>
      </c>
      <c r="X1090" s="6" t="s">
        <v>57</v>
      </c>
      <c r="Y1090" s="6" t="s">
        <v>57</v>
      </c>
      <c r="Z1090" s="6" t="s">
        <v>57</v>
      </c>
      <c r="AA1090" s="6" t="s">
        <v>57</v>
      </c>
      <c r="AB1090" s="6" t="s">
        <v>57</v>
      </c>
      <c r="AC1090" s="6" t="s">
        <v>57</v>
      </c>
      <c r="AD1090" s="6" t="s">
        <v>57</v>
      </c>
      <c r="AE1090" s="6" t="s">
        <v>57</v>
      </c>
      <c r="AF1090" s="6" t="s">
        <v>57</v>
      </c>
      <c r="AG1090" s="6" t="s">
        <v>57</v>
      </c>
      <c r="AH1090" s="6" t="s">
        <v>57</v>
      </c>
      <c r="AI1090" s="6" t="s">
        <v>57</v>
      </c>
      <c r="AJ1090" s="6" t="s">
        <v>57</v>
      </c>
      <c r="AK1090" s="6" t="s">
        <v>57</v>
      </c>
      <c r="AL1090" s="6" t="s">
        <v>57</v>
      </c>
      <c r="AM1090" s="6" t="s">
        <v>57</v>
      </c>
      <c r="AN1090" s="6" t="s">
        <v>57</v>
      </c>
      <c r="AO1090" s="6" t="s">
        <v>57</v>
      </c>
      <c r="AP1090" s="6" t="s">
        <v>57</v>
      </c>
      <c r="AQ1090" s="6" t="s">
        <v>57</v>
      </c>
    </row>
    <row r="1091" spans="1:43" ht="15">
      <c r="A1091" s="2" t="s">
        <v>3807</v>
      </c>
      <c r="B1091" s="5">
        <v>20071630</v>
      </c>
      <c r="C1091" s="2" t="s">
        <v>23</v>
      </c>
      <c r="D1091" s="2" t="s">
        <v>3808</v>
      </c>
      <c r="E1091" s="2" t="s">
        <v>3809</v>
      </c>
      <c r="F1091" s="2" t="s">
        <v>26</v>
      </c>
      <c r="G1091" s="2" t="s">
        <v>26</v>
      </c>
      <c r="H1091" s="2" t="s">
        <v>27</v>
      </c>
      <c r="I1091" s="2" t="s">
        <v>28</v>
      </c>
      <c r="J1091" s="6"/>
      <c r="K1091" s="2" t="s">
        <v>55</v>
      </c>
      <c r="L1091" s="2" t="s">
        <v>56</v>
      </c>
      <c r="M1091" s="2" t="s">
        <v>55</v>
      </c>
      <c r="N1091" s="2"/>
      <c r="O1091" s="2"/>
      <c r="P1091" s="6" t="s">
        <v>57</v>
      </c>
      <c r="Q1091" s="6" t="s">
        <v>57</v>
      </c>
      <c r="R1091" s="9">
        <v>0</v>
      </c>
      <c r="S1091" s="2"/>
      <c r="T1091" s="9">
        <v>0</v>
      </c>
      <c r="U1091" s="9">
        <v>0</v>
      </c>
      <c r="V1091" s="9">
        <v>0</v>
      </c>
      <c r="W1091" s="9">
        <v>145</v>
      </c>
      <c r="X1091" s="9">
        <v>145</v>
      </c>
      <c r="Y1091" s="9">
        <v>613</v>
      </c>
      <c r="Z1091" s="9">
        <v>1235</v>
      </c>
      <c r="AA1091" s="9">
        <v>2213</v>
      </c>
      <c r="AB1091" s="9">
        <v>0</v>
      </c>
      <c r="AC1091" s="9">
        <v>0</v>
      </c>
      <c r="AD1091" s="9">
        <v>0</v>
      </c>
      <c r="AE1091" s="6" t="s">
        <v>57</v>
      </c>
      <c r="AF1091" s="6" t="s">
        <v>57</v>
      </c>
      <c r="AG1091" s="6" t="s">
        <v>57</v>
      </c>
      <c r="AH1091" s="6" t="s">
        <v>57</v>
      </c>
      <c r="AI1091" s="6" t="s">
        <v>57</v>
      </c>
      <c r="AJ1091" s="6" t="s">
        <v>57</v>
      </c>
      <c r="AK1091" s="6" t="s">
        <v>57</v>
      </c>
      <c r="AL1091" s="6" t="s">
        <v>57</v>
      </c>
      <c r="AM1091" s="6" t="s">
        <v>57</v>
      </c>
      <c r="AN1091" s="6" t="s">
        <v>57</v>
      </c>
      <c r="AO1091" s="6" t="s">
        <v>57</v>
      </c>
      <c r="AP1091" s="6" t="s">
        <v>57</v>
      </c>
      <c r="AQ1091" s="9">
        <v>0</v>
      </c>
    </row>
    <row r="1092" spans="1:43" ht="15">
      <c r="A1092" s="2" t="s">
        <v>3810</v>
      </c>
      <c r="B1092" s="5">
        <v>6899721</v>
      </c>
      <c r="C1092" s="2" t="s">
        <v>23</v>
      </c>
      <c r="D1092" s="2" t="s">
        <v>3811</v>
      </c>
      <c r="E1092" s="2" t="s">
        <v>3812</v>
      </c>
      <c r="F1092" s="2" t="s">
        <v>26</v>
      </c>
      <c r="G1092" s="2" t="s">
        <v>26</v>
      </c>
      <c r="H1092" s="2" t="s">
        <v>27</v>
      </c>
      <c r="I1092" s="2" t="s">
        <v>28</v>
      </c>
      <c r="J1092" s="6"/>
      <c r="K1092" s="2" t="s">
        <v>55</v>
      </c>
      <c r="L1092" s="2" t="s">
        <v>56</v>
      </c>
      <c r="M1092" s="2" t="s">
        <v>55</v>
      </c>
      <c r="N1092" s="2"/>
      <c r="O1092" s="2"/>
      <c r="P1092" s="7">
        <v>71.679338107496605</v>
      </c>
      <c r="Q1092" s="6" t="s">
        <v>57</v>
      </c>
      <c r="R1092" s="9">
        <v>0</v>
      </c>
      <c r="S1092" s="2"/>
      <c r="T1092" s="9">
        <v>0</v>
      </c>
      <c r="U1092" s="9">
        <v>0</v>
      </c>
      <c r="V1092" s="9">
        <v>0</v>
      </c>
      <c r="W1092" s="9">
        <v>0</v>
      </c>
      <c r="X1092" s="9">
        <v>0</v>
      </c>
      <c r="Y1092" s="9">
        <v>0</v>
      </c>
      <c r="Z1092" s="9">
        <v>0</v>
      </c>
      <c r="AA1092" s="9">
        <v>0</v>
      </c>
      <c r="AB1092" s="9">
        <v>0</v>
      </c>
      <c r="AC1092" s="9">
        <v>0</v>
      </c>
      <c r="AD1092" s="9">
        <v>0</v>
      </c>
      <c r="AE1092" s="6" t="s">
        <v>57</v>
      </c>
      <c r="AF1092" s="6" t="s">
        <v>57</v>
      </c>
      <c r="AG1092" s="6" t="s">
        <v>57</v>
      </c>
      <c r="AH1092" s="6" t="s">
        <v>57</v>
      </c>
      <c r="AI1092" s="6" t="s">
        <v>57</v>
      </c>
      <c r="AJ1092" s="6" t="s">
        <v>57</v>
      </c>
      <c r="AK1092" s="6" t="s">
        <v>57</v>
      </c>
      <c r="AL1092" s="6" t="s">
        <v>57</v>
      </c>
      <c r="AM1092" s="6" t="s">
        <v>57</v>
      </c>
      <c r="AN1092" s="6" t="s">
        <v>57</v>
      </c>
      <c r="AO1092" s="6" t="s">
        <v>57</v>
      </c>
      <c r="AP1092" s="6" t="s">
        <v>57</v>
      </c>
      <c r="AQ1092" s="9">
        <v>0</v>
      </c>
    </row>
    <row r="1093" spans="1:43" ht="15">
      <c r="A1093" s="2" t="s">
        <v>3813</v>
      </c>
      <c r="B1093" s="5">
        <v>110990653</v>
      </c>
      <c r="C1093" s="2" t="s">
        <v>23</v>
      </c>
      <c r="D1093" s="2" t="s">
        <v>3814</v>
      </c>
      <c r="E1093" s="2" t="s">
        <v>3815</v>
      </c>
      <c r="F1093" s="2" t="s">
        <v>26</v>
      </c>
      <c r="G1093" s="2" t="s">
        <v>26</v>
      </c>
      <c r="H1093" s="2" t="s">
        <v>27</v>
      </c>
      <c r="I1093" s="2" t="s">
        <v>28</v>
      </c>
      <c r="J1093" s="6"/>
      <c r="K1093" s="2" t="s">
        <v>55</v>
      </c>
      <c r="L1093" s="2" t="s">
        <v>56</v>
      </c>
      <c r="M1093" s="2" t="s">
        <v>55</v>
      </c>
      <c r="N1093" s="2"/>
      <c r="O1093" s="2"/>
      <c r="P1093" s="7">
        <v>76.567524928166705</v>
      </c>
      <c r="Q1093" s="6" t="s">
        <v>57</v>
      </c>
      <c r="R1093" s="9">
        <v>0</v>
      </c>
      <c r="S1093" s="2"/>
      <c r="T1093" s="9">
        <v>0</v>
      </c>
      <c r="U1093" s="9">
        <v>0</v>
      </c>
      <c r="V1093" s="9">
        <v>0</v>
      </c>
      <c r="W1093" s="9">
        <v>0</v>
      </c>
      <c r="X1093" s="9">
        <v>0</v>
      </c>
      <c r="Y1093" s="9">
        <v>0</v>
      </c>
      <c r="Z1093" s="9">
        <v>0</v>
      </c>
      <c r="AA1093" s="9">
        <v>48522</v>
      </c>
      <c r="AB1093" s="9">
        <v>0</v>
      </c>
      <c r="AC1093" s="9">
        <v>0</v>
      </c>
      <c r="AD1093" s="9">
        <v>0</v>
      </c>
      <c r="AE1093" s="6" t="s">
        <v>57</v>
      </c>
      <c r="AF1093" s="6" t="s">
        <v>57</v>
      </c>
      <c r="AG1093" s="6" t="s">
        <v>57</v>
      </c>
      <c r="AH1093" s="6" t="s">
        <v>57</v>
      </c>
      <c r="AI1093" s="6" t="s">
        <v>57</v>
      </c>
      <c r="AJ1093" s="6" t="s">
        <v>57</v>
      </c>
      <c r="AK1093" s="6" t="s">
        <v>57</v>
      </c>
      <c r="AL1093" s="6" t="s">
        <v>57</v>
      </c>
      <c r="AM1093" s="6" t="s">
        <v>57</v>
      </c>
      <c r="AN1093" s="6" t="s">
        <v>57</v>
      </c>
      <c r="AO1093" s="6" t="s">
        <v>57</v>
      </c>
      <c r="AP1093" s="6" t="s">
        <v>57</v>
      </c>
      <c r="AQ1093" s="9">
        <v>0</v>
      </c>
    </row>
    <row r="1094" spans="1:43" ht="15">
      <c r="A1094" s="2" t="s">
        <v>3816</v>
      </c>
      <c r="B1094" s="5">
        <v>118364228</v>
      </c>
      <c r="C1094" s="2" t="s">
        <v>23</v>
      </c>
      <c r="D1094" s="2" t="s">
        <v>3817</v>
      </c>
      <c r="E1094" s="2" t="s">
        <v>3818</v>
      </c>
      <c r="F1094" s="2" t="s">
        <v>26</v>
      </c>
      <c r="G1094" s="2" t="s">
        <v>26</v>
      </c>
      <c r="H1094" s="2" t="s">
        <v>27</v>
      </c>
      <c r="I1094" s="2" t="s">
        <v>28</v>
      </c>
      <c r="J1094" s="6"/>
      <c r="K1094" s="2" t="s">
        <v>55</v>
      </c>
      <c r="L1094" s="2" t="s">
        <v>56</v>
      </c>
      <c r="M1094" s="2" t="s">
        <v>55</v>
      </c>
      <c r="N1094" s="2"/>
      <c r="O1094" s="2"/>
      <c r="P1094" s="6" t="s">
        <v>57</v>
      </c>
      <c r="Q1094" s="6" t="s">
        <v>57</v>
      </c>
      <c r="R1094" s="6" t="s">
        <v>57</v>
      </c>
      <c r="S1094" s="2"/>
      <c r="T1094" s="6" t="s">
        <v>57</v>
      </c>
      <c r="U1094" s="6" t="s">
        <v>57</v>
      </c>
      <c r="V1094" s="6" t="s">
        <v>57</v>
      </c>
      <c r="W1094" s="6" t="s">
        <v>57</v>
      </c>
      <c r="X1094" s="6" t="s">
        <v>57</v>
      </c>
      <c r="Y1094" s="6" t="s">
        <v>57</v>
      </c>
      <c r="Z1094" s="6" t="s">
        <v>57</v>
      </c>
      <c r="AA1094" s="6" t="s">
        <v>57</v>
      </c>
      <c r="AB1094" s="6" t="s">
        <v>57</v>
      </c>
      <c r="AC1094" s="6" t="s">
        <v>57</v>
      </c>
      <c r="AD1094" s="6" t="s">
        <v>57</v>
      </c>
      <c r="AE1094" s="6" t="s">
        <v>57</v>
      </c>
      <c r="AF1094" s="6" t="s">
        <v>57</v>
      </c>
      <c r="AG1094" s="6" t="s">
        <v>57</v>
      </c>
      <c r="AH1094" s="6" t="s">
        <v>57</v>
      </c>
      <c r="AI1094" s="6" t="s">
        <v>57</v>
      </c>
      <c r="AJ1094" s="6" t="s">
        <v>57</v>
      </c>
      <c r="AK1094" s="6" t="s">
        <v>57</v>
      </c>
      <c r="AL1094" s="6" t="s">
        <v>57</v>
      </c>
      <c r="AM1094" s="6" t="s">
        <v>57</v>
      </c>
      <c r="AN1094" s="6" t="s">
        <v>57</v>
      </c>
      <c r="AO1094" s="6" t="s">
        <v>57</v>
      </c>
      <c r="AP1094" s="6" t="s">
        <v>57</v>
      </c>
      <c r="AQ1094" s="6" t="s">
        <v>57</v>
      </c>
    </row>
    <row r="1095" spans="1:43" ht="15">
      <c r="A1095" s="2" t="s">
        <v>3819</v>
      </c>
      <c r="B1095" s="5">
        <v>5738403</v>
      </c>
      <c r="C1095" s="2" t="s">
        <v>23</v>
      </c>
      <c r="D1095" s="2" t="s">
        <v>3820</v>
      </c>
      <c r="E1095" s="2" t="s">
        <v>3821</v>
      </c>
      <c r="F1095" s="2" t="s">
        <v>26</v>
      </c>
      <c r="G1095" s="2"/>
      <c r="H1095" s="2"/>
      <c r="I1095" s="2" t="s">
        <v>28</v>
      </c>
      <c r="J1095" s="6"/>
      <c r="K1095" s="2" t="s">
        <v>55</v>
      </c>
      <c r="L1095" s="2" t="s">
        <v>56</v>
      </c>
      <c r="M1095" s="2" t="s">
        <v>55</v>
      </c>
      <c r="N1095" s="2"/>
      <c r="O1095" s="2"/>
      <c r="P1095" s="7">
        <v>72.156369835356301</v>
      </c>
      <c r="Q1095" s="6" t="s">
        <v>57</v>
      </c>
      <c r="R1095" s="9">
        <v>0</v>
      </c>
      <c r="S1095" s="2"/>
      <c r="T1095" s="9">
        <v>0</v>
      </c>
      <c r="U1095" s="9">
        <v>0</v>
      </c>
      <c r="V1095" s="9">
        <v>0</v>
      </c>
      <c r="W1095" s="9">
        <v>0</v>
      </c>
      <c r="X1095" s="9">
        <v>0</v>
      </c>
      <c r="Y1095" s="9">
        <v>85306</v>
      </c>
      <c r="Z1095" s="9">
        <v>56833</v>
      </c>
      <c r="AA1095" s="9">
        <v>60261</v>
      </c>
      <c r="AB1095" s="9">
        <v>0</v>
      </c>
      <c r="AC1095" s="9">
        <v>0</v>
      </c>
      <c r="AD1095" s="9">
        <v>0</v>
      </c>
      <c r="AE1095" s="6" t="s">
        <v>57</v>
      </c>
      <c r="AF1095" s="6" t="s">
        <v>57</v>
      </c>
      <c r="AG1095" s="6" t="s">
        <v>57</v>
      </c>
      <c r="AH1095" s="6" t="s">
        <v>57</v>
      </c>
      <c r="AI1095" s="6" t="s">
        <v>57</v>
      </c>
      <c r="AJ1095" s="6" t="s">
        <v>57</v>
      </c>
      <c r="AK1095" s="6" t="s">
        <v>57</v>
      </c>
      <c r="AL1095" s="6" t="s">
        <v>57</v>
      </c>
      <c r="AM1095" s="6" t="s">
        <v>57</v>
      </c>
      <c r="AN1095" s="6" t="s">
        <v>57</v>
      </c>
      <c r="AO1095" s="6" t="s">
        <v>57</v>
      </c>
      <c r="AP1095" s="6" t="s">
        <v>57</v>
      </c>
      <c r="AQ1095" s="9">
        <v>0</v>
      </c>
    </row>
    <row r="1096" spans="1:43" ht="15">
      <c r="A1096" s="2" t="s">
        <v>3822</v>
      </c>
      <c r="B1096" s="5">
        <v>5737766</v>
      </c>
      <c r="C1096" s="2" t="s">
        <v>23</v>
      </c>
      <c r="D1096" s="2" t="s">
        <v>3823</v>
      </c>
      <c r="E1096" s="2" t="s">
        <v>3824</v>
      </c>
      <c r="F1096" s="2" t="s">
        <v>26</v>
      </c>
      <c r="G1096" s="2" t="s">
        <v>26</v>
      </c>
      <c r="H1096" s="2" t="s">
        <v>27</v>
      </c>
      <c r="I1096" s="2" t="s">
        <v>28</v>
      </c>
      <c r="J1096" s="6"/>
      <c r="K1096" s="2" t="s">
        <v>55</v>
      </c>
      <c r="L1096" s="2" t="s">
        <v>56</v>
      </c>
      <c r="M1096" s="2" t="s">
        <v>55</v>
      </c>
      <c r="N1096" s="2"/>
      <c r="O1096" s="2"/>
      <c r="P1096" s="7">
        <v>3.4283337717028801</v>
      </c>
      <c r="Q1096" s="6" t="s">
        <v>57</v>
      </c>
      <c r="R1096" s="9">
        <v>0</v>
      </c>
      <c r="S1096" s="2"/>
      <c r="T1096" s="9">
        <v>0</v>
      </c>
      <c r="U1096" s="9">
        <v>0</v>
      </c>
      <c r="V1096" s="9">
        <v>0</v>
      </c>
      <c r="W1096" s="9">
        <v>15</v>
      </c>
      <c r="X1096" s="9">
        <v>15</v>
      </c>
      <c r="Y1096" s="9">
        <v>16</v>
      </c>
      <c r="Z1096" s="9">
        <v>36</v>
      </c>
      <c r="AA1096" s="9">
        <v>32</v>
      </c>
      <c r="AB1096" s="9">
        <v>0</v>
      </c>
      <c r="AC1096" s="9">
        <v>0</v>
      </c>
      <c r="AD1096" s="9">
        <v>0</v>
      </c>
      <c r="AE1096" s="6" t="s">
        <v>57</v>
      </c>
      <c r="AF1096" s="6" t="s">
        <v>57</v>
      </c>
      <c r="AG1096" s="6" t="s">
        <v>57</v>
      </c>
      <c r="AH1096" s="6" t="s">
        <v>57</v>
      </c>
      <c r="AI1096" s="6" t="s">
        <v>57</v>
      </c>
      <c r="AJ1096" s="6" t="s">
        <v>57</v>
      </c>
      <c r="AK1096" s="6" t="s">
        <v>57</v>
      </c>
      <c r="AL1096" s="6" t="s">
        <v>57</v>
      </c>
      <c r="AM1096" s="6" t="s">
        <v>57</v>
      </c>
      <c r="AN1096" s="6" t="s">
        <v>57</v>
      </c>
      <c r="AO1096" s="6" t="s">
        <v>57</v>
      </c>
      <c r="AP1096" s="6" t="s">
        <v>57</v>
      </c>
      <c r="AQ1096" s="9">
        <v>0</v>
      </c>
    </row>
    <row r="1097" spans="1:43" ht="15">
      <c r="A1097" s="2" t="s">
        <v>3825</v>
      </c>
      <c r="B1097" s="5">
        <v>5737883</v>
      </c>
      <c r="C1097" s="2" t="s">
        <v>23</v>
      </c>
      <c r="D1097" s="2" t="s">
        <v>3826</v>
      </c>
      <c r="E1097" s="2" t="s">
        <v>3827</v>
      </c>
      <c r="F1097" s="2" t="s">
        <v>26</v>
      </c>
      <c r="G1097" s="2" t="s">
        <v>26</v>
      </c>
      <c r="H1097" s="2" t="s">
        <v>27</v>
      </c>
      <c r="I1097" s="2" t="s">
        <v>28</v>
      </c>
      <c r="J1097" s="6"/>
      <c r="K1097" s="2" t="s">
        <v>55</v>
      </c>
      <c r="L1097" s="2" t="s">
        <v>56</v>
      </c>
      <c r="M1097" s="2" t="s">
        <v>55</v>
      </c>
      <c r="N1097" s="2"/>
      <c r="O1097" s="2"/>
      <c r="P1097" s="7">
        <v>63.734738186553201</v>
      </c>
      <c r="Q1097" s="6" t="s">
        <v>57</v>
      </c>
      <c r="R1097" s="9">
        <v>0</v>
      </c>
      <c r="S1097" s="2" t="s">
        <v>3828</v>
      </c>
      <c r="T1097" s="9">
        <v>0</v>
      </c>
      <c r="U1097" s="9">
        <v>0</v>
      </c>
      <c r="V1097" s="9">
        <v>0</v>
      </c>
      <c r="W1097" s="9">
        <v>0</v>
      </c>
      <c r="X1097" s="9">
        <v>0</v>
      </c>
      <c r="Y1097" s="9">
        <v>285678</v>
      </c>
      <c r="Z1097" s="9">
        <v>190324</v>
      </c>
      <c r="AA1097" s="9">
        <v>187591</v>
      </c>
      <c r="AB1097" s="9">
        <v>0</v>
      </c>
      <c r="AC1097" s="9">
        <v>0</v>
      </c>
      <c r="AD1097" s="9">
        <v>0</v>
      </c>
      <c r="AE1097" s="6" t="s">
        <v>57</v>
      </c>
      <c r="AF1097" s="6" t="s">
        <v>57</v>
      </c>
      <c r="AG1097" s="6" t="s">
        <v>57</v>
      </c>
      <c r="AH1097" s="6" t="s">
        <v>57</v>
      </c>
      <c r="AI1097" s="6" t="s">
        <v>57</v>
      </c>
      <c r="AJ1097" s="6" t="s">
        <v>57</v>
      </c>
      <c r="AK1097" s="6" t="s">
        <v>57</v>
      </c>
      <c r="AL1097" s="6" t="s">
        <v>57</v>
      </c>
      <c r="AM1097" s="6" t="s">
        <v>57</v>
      </c>
      <c r="AN1097" s="6" t="s">
        <v>57</v>
      </c>
      <c r="AO1097" s="6" t="s">
        <v>57</v>
      </c>
      <c r="AP1097" s="6" t="s">
        <v>57</v>
      </c>
      <c r="AQ1097" s="9">
        <v>0</v>
      </c>
    </row>
    <row r="1098" spans="1:43" ht="15">
      <c r="A1098" s="2" t="s">
        <v>3829</v>
      </c>
      <c r="B1098" s="5">
        <v>11051101</v>
      </c>
      <c r="C1098" s="2" t="s">
        <v>23</v>
      </c>
      <c r="D1098" s="2" t="s">
        <v>3830</v>
      </c>
      <c r="E1098" s="2" t="s">
        <v>3831</v>
      </c>
      <c r="F1098" s="2" t="s">
        <v>26</v>
      </c>
      <c r="G1098" s="2"/>
      <c r="H1098" s="2"/>
      <c r="I1098" s="2" t="s">
        <v>28</v>
      </c>
      <c r="J1098" s="6"/>
      <c r="K1098" s="2" t="s">
        <v>55</v>
      </c>
      <c r="L1098" s="2" t="s">
        <v>56</v>
      </c>
      <c r="M1098" s="2" t="s">
        <v>55</v>
      </c>
      <c r="N1098" s="2"/>
      <c r="O1098" s="2"/>
      <c r="P1098" s="7">
        <v>7.2145286172728298</v>
      </c>
      <c r="Q1098" s="6" t="s">
        <v>57</v>
      </c>
      <c r="R1098" s="9">
        <v>0</v>
      </c>
      <c r="S1098" s="2"/>
      <c r="T1098" s="9">
        <v>0</v>
      </c>
      <c r="U1098" s="9">
        <v>0</v>
      </c>
      <c r="V1098" s="9">
        <v>0</v>
      </c>
      <c r="W1098" s="9">
        <v>0</v>
      </c>
      <c r="X1098" s="9">
        <v>0</v>
      </c>
      <c r="Y1098" s="9">
        <v>320</v>
      </c>
      <c r="Z1098" s="9">
        <v>394</v>
      </c>
      <c r="AA1098" s="9">
        <v>527</v>
      </c>
      <c r="AB1098" s="9">
        <v>0</v>
      </c>
      <c r="AC1098" s="9">
        <v>0</v>
      </c>
      <c r="AD1098" s="9">
        <v>0</v>
      </c>
      <c r="AE1098" s="6" t="s">
        <v>57</v>
      </c>
      <c r="AF1098" s="6" t="s">
        <v>57</v>
      </c>
      <c r="AG1098" s="6" t="s">
        <v>57</v>
      </c>
      <c r="AH1098" s="6" t="s">
        <v>57</v>
      </c>
      <c r="AI1098" s="6" t="s">
        <v>57</v>
      </c>
      <c r="AJ1098" s="6" t="s">
        <v>57</v>
      </c>
      <c r="AK1098" s="6" t="s">
        <v>57</v>
      </c>
      <c r="AL1098" s="6" t="s">
        <v>57</v>
      </c>
      <c r="AM1098" s="6" t="s">
        <v>57</v>
      </c>
      <c r="AN1098" s="6" t="s">
        <v>57</v>
      </c>
      <c r="AO1098" s="6" t="s">
        <v>57</v>
      </c>
      <c r="AP1098" s="6" t="s">
        <v>57</v>
      </c>
      <c r="AQ1098" s="9">
        <v>0</v>
      </c>
    </row>
    <row r="1099" spans="1:43" ht="15">
      <c r="A1099" s="2" t="s">
        <v>3832</v>
      </c>
      <c r="B1099" s="5">
        <v>125204815</v>
      </c>
      <c r="C1099" s="2" t="s">
        <v>23</v>
      </c>
      <c r="D1099" s="2" t="s">
        <v>3833</v>
      </c>
      <c r="E1099" s="2" t="s">
        <v>3834</v>
      </c>
      <c r="F1099" s="2" t="s">
        <v>26</v>
      </c>
      <c r="G1099" s="2"/>
      <c r="H1099" s="2"/>
      <c r="I1099" s="2" t="s">
        <v>28</v>
      </c>
      <c r="J1099" s="6"/>
      <c r="K1099" s="2" t="s">
        <v>55</v>
      </c>
      <c r="L1099" s="2" t="s">
        <v>56</v>
      </c>
      <c r="M1099" s="2" t="s">
        <v>55</v>
      </c>
      <c r="N1099" s="2"/>
      <c r="O1099" s="2"/>
      <c r="P1099" s="6" t="s">
        <v>57</v>
      </c>
      <c r="Q1099" s="6" t="s">
        <v>57</v>
      </c>
      <c r="R1099" s="6" t="s">
        <v>57</v>
      </c>
      <c r="S1099" s="2"/>
      <c r="T1099" s="6" t="s">
        <v>57</v>
      </c>
      <c r="U1099" s="6" t="s">
        <v>57</v>
      </c>
      <c r="V1099" s="6" t="s">
        <v>57</v>
      </c>
      <c r="W1099" s="6" t="s">
        <v>57</v>
      </c>
      <c r="X1099" s="6" t="s">
        <v>57</v>
      </c>
      <c r="Y1099" s="6" t="s">
        <v>57</v>
      </c>
      <c r="Z1099" s="6" t="s">
        <v>57</v>
      </c>
      <c r="AA1099" s="6" t="s">
        <v>57</v>
      </c>
      <c r="AB1099" s="6" t="s">
        <v>57</v>
      </c>
      <c r="AC1099" s="6" t="s">
        <v>57</v>
      </c>
      <c r="AD1099" s="6" t="s">
        <v>57</v>
      </c>
      <c r="AE1099" s="6" t="s">
        <v>57</v>
      </c>
      <c r="AF1099" s="6" t="s">
        <v>57</v>
      </c>
      <c r="AG1099" s="6" t="s">
        <v>57</v>
      </c>
      <c r="AH1099" s="6" t="s">
        <v>57</v>
      </c>
      <c r="AI1099" s="6" t="s">
        <v>57</v>
      </c>
      <c r="AJ1099" s="6" t="s">
        <v>57</v>
      </c>
      <c r="AK1099" s="6" t="s">
        <v>57</v>
      </c>
      <c r="AL1099" s="6" t="s">
        <v>57</v>
      </c>
      <c r="AM1099" s="6" t="s">
        <v>57</v>
      </c>
      <c r="AN1099" s="6" t="s">
        <v>57</v>
      </c>
      <c r="AO1099" s="6" t="s">
        <v>57</v>
      </c>
      <c r="AP1099" s="6" t="s">
        <v>57</v>
      </c>
      <c r="AQ1099" s="6" t="s">
        <v>57</v>
      </c>
    </row>
    <row r="1100" spans="1:43" ht="15">
      <c r="A1100" s="2" t="s">
        <v>3835</v>
      </c>
      <c r="B1100" s="5">
        <v>14390259</v>
      </c>
      <c r="C1100" s="2" t="s">
        <v>23</v>
      </c>
      <c r="D1100" s="2" t="s">
        <v>3836</v>
      </c>
      <c r="E1100" s="2" t="s">
        <v>3837</v>
      </c>
      <c r="F1100" s="2" t="s">
        <v>26</v>
      </c>
      <c r="G1100" s="2" t="s">
        <v>26</v>
      </c>
      <c r="H1100" s="2" t="s">
        <v>27</v>
      </c>
      <c r="I1100" s="2" t="s">
        <v>28</v>
      </c>
      <c r="J1100" s="6"/>
      <c r="K1100" s="2" t="s">
        <v>55</v>
      </c>
      <c r="L1100" s="2" t="s">
        <v>56</v>
      </c>
      <c r="M1100" s="2" t="s">
        <v>55</v>
      </c>
      <c r="N1100" s="2"/>
      <c r="O1100" s="2"/>
      <c r="P1100" s="7">
        <v>52.548830637294799</v>
      </c>
      <c r="Q1100" s="6" t="s">
        <v>57</v>
      </c>
      <c r="R1100" s="9">
        <v>0</v>
      </c>
      <c r="S1100" s="2"/>
      <c r="T1100" s="9">
        <v>0</v>
      </c>
      <c r="U1100" s="9">
        <v>0</v>
      </c>
      <c r="V1100" s="9">
        <v>0</v>
      </c>
      <c r="W1100" s="9">
        <v>0</v>
      </c>
      <c r="X1100" s="9">
        <v>0</v>
      </c>
      <c r="Y1100" s="9">
        <v>77</v>
      </c>
      <c r="Z1100" s="9">
        <v>66</v>
      </c>
      <c r="AA1100" s="9">
        <v>1734</v>
      </c>
      <c r="AB1100" s="9">
        <v>0</v>
      </c>
      <c r="AC1100" s="9">
        <v>0</v>
      </c>
      <c r="AD1100" s="9">
        <v>0</v>
      </c>
      <c r="AE1100" s="6" t="s">
        <v>57</v>
      </c>
      <c r="AF1100" s="6" t="s">
        <v>57</v>
      </c>
      <c r="AG1100" s="6" t="s">
        <v>57</v>
      </c>
      <c r="AH1100" s="6" t="s">
        <v>57</v>
      </c>
      <c r="AI1100" s="6" t="s">
        <v>57</v>
      </c>
      <c r="AJ1100" s="6" t="s">
        <v>57</v>
      </c>
      <c r="AK1100" s="6" t="s">
        <v>57</v>
      </c>
      <c r="AL1100" s="6" t="s">
        <v>57</v>
      </c>
      <c r="AM1100" s="6" t="s">
        <v>57</v>
      </c>
      <c r="AN1100" s="6" t="s">
        <v>57</v>
      </c>
      <c r="AO1100" s="6" t="s">
        <v>57</v>
      </c>
      <c r="AP1100" s="6" t="s">
        <v>57</v>
      </c>
      <c r="AQ1100" s="9">
        <v>0</v>
      </c>
    </row>
    <row r="1101" spans="1:43" ht="15">
      <c r="A1101" s="2" t="s">
        <v>3838</v>
      </c>
      <c r="B1101" s="5">
        <v>9227283</v>
      </c>
      <c r="C1101" s="2" t="s">
        <v>23</v>
      </c>
      <c r="D1101" s="2" t="s">
        <v>3839</v>
      </c>
      <c r="E1101" s="2" t="s">
        <v>3840</v>
      </c>
      <c r="F1101" s="2" t="s">
        <v>26</v>
      </c>
      <c r="G1101" s="2" t="s">
        <v>26</v>
      </c>
      <c r="H1101" s="2" t="s">
        <v>27</v>
      </c>
      <c r="I1101" s="2" t="s">
        <v>28</v>
      </c>
      <c r="J1101" s="6"/>
      <c r="K1101" s="2" t="s">
        <v>55</v>
      </c>
      <c r="L1101" s="2" t="s">
        <v>56</v>
      </c>
      <c r="M1101" s="2" t="s">
        <v>55</v>
      </c>
      <c r="N1101" s="2"/>
      <c r="O1101" s="2"/>
      <c r="P1101" s="7">
        <v>1.9350890735441499</v>
      </c>
      <c r="Q1101" s="6" t="s">
        <v>57</v>
      </c>
      <c r="R1101" s="9">
        <v>0</v>
      </c>
      <c r="S1101" s="2"/>
      <c r="T1101" s="9">
        <v>0</v>
      </c>
      <c r="U1101" s="9">
        <v>0</v>
      </c>
      <c r="V1101" s="9">
        <v>0</v>
      </c>
      <c r="W1101" s="9">
        <v>0</v>
      </c>
      <c r="X1101" s="9">
        <v>0</v>
      </c>
      <c r="Y1101" s="9">
        <v>0</v>
      </c>
      <c r="Z1101" s="9">
        <v>72</v>
      </c>
      <c r="AA1101" s="9">
        <v>70</v>
      </c>
      <c r="AB1101" s="9">
        <v>0</v>
      </c>
      <c r="AC1101" s="9">
        <v>0</v>
      </c>
      <c r="AD1101" s="9">
        <v>0</v>
      </c>
      <c r="AE1101" s="6" t="s">
        <v>57</v>
      </c>
      <c r="AF1101" s="6" t="s">
        <v>57</v>
      </c>
      <c r="AG1101" s="6" t="s">
        <v>57</v>
      </c>
      <c r="AH1101" s="6" t="s">
        <v>57</v>
      </c>
      <c r="AI1101" s="6" t="s">
        <v>57</v>
      </c>
      <c r="AJ1101" s="6" t="s">
        <v>57</v>
      </c>
      <c r="AK1101" s="6" t="s">
        <v>57</v>
      </c>
      <c r="AL1101" s="6" t="s">
        <v>57</v>
      </c>
      <c r="AM1101" s="6" t="s">
        <v>57</v>
      </c>
      <c r="AN1101" s="6" t="s">
        <v>57</v>
      </c>
      <c r="AO1101" s="6" t="s">
        <v>57</v>
      </c>
      <c r="AP1101" s="6" t="s">
        <v>57</v>
      </c>
      <c r="AQ1101" s="9">
        <v>0</v>
      </c>
    </row>
    <row r="1102" spans="1:43" ht="15">
      <c r="A1102" s="2" t="s">
        <v>3841</v>
      </c>
      <c r="B1102" s="5">
        <v>118998333</v>
      </c>
      <c r="C1102" s="2" t="s">
        <v>23</v>
      </c>
      <c r="D1102" s="2" t="s">
        <v>3842</v>
      </c>
      <c r="E1102" s="2" t="s">
        <v>3843</v>
      </c>
      <c r="F1102" s="2" t="s">
        <v>26</v>
      </c>
      <c r="G1102" s="2" t="s">
        <v>26</v>
      </c>
      <c r="H1102" s="2" t="s">
        <v>27</v>
      </c>
      <c r="I1102" s="2" t="s">
        <v>28</v>
      </c>
      <c r="J1102" s="6"/>
      <c r="K1102" s="2" t="s">
        <v>55</v>
      </c>
      <c r="L1102" s="2" t="s">
        <v>56</v>
      </c>
      <c r="M1102" s="2" t="s">
        <v>55</v>
      </c>
      <c r="N1102" s="2"/>
      <c r="O1102" s="2"/>
      <c r="P1102" s="6" t="s">
        <v>57</v>
      </c>
      <c r="Q1102" s="6" t="s">
        <v>57</v>
      </c>
      <c r="R1102" s="6" t="s">
        <v>57</v>
      </c>
      <c r="S1102" s="2"/>
      <c r="T1102" s="6" t="s">
        <v>57</v>
      </c>
      <c r="U1102" s="6" t="s">
        <v>57</v>
      </c>
      <c r="V1102" s="6" t="s">
        <v>57</v>
      </c>
      <c r="W1102" s="6" t="s">
        <v>57</v>
      </c>
      <c r="X1102" s="6" t="s">
        <v>57</v>
      </c>
      <c r="Y1102" s="6" t="s">
        <v>57</v>
      </c>
      <c r="Z1102" s="6" t="s">
        <v>57</v>
      </c>
      <c r="AA1102" s="6" t="s">
        <v>57</v>
      </c>
      <c r="AB1102" s="6" t="s">
        <v>57</v>
      </c>
      <c r="AC1102" s="6" t="s">
        <v>57</v>
      </c>
      <c r="AD1102" s="6" t="s">
        <v>57</v>
      </c>
      <c r="AE1102" s="6" t="s">
        <v>57</v>
      </c>
      <c r="AF1102" s="6" t="s">
        <v>57</v>
      </c>
      <c r="AG1102" s="6" t="s">
        <v>57</v>
      </c>
      <c r="AH1102" s="6" t="s">
        <v>57</v>
      </c>
      <c r="AI1102" s="6" t="s">
        <v>57</v>
      </c>
      <c r="AJ1102" s="6" t="s">
        <v>57</v>
      </c>
      <c r="AK1102" s="6" t="s">
        <v>57</v>
      </c>
      <c r="AL1102" s="6" t="s">
        <v>57</v>
      </c>
      <c r="AM1102" s="6" t="s">
        <v>57</v>
      </c>
      <c r="AN1102" s="6" t="s">
        <v>57</v>
      </c>
      <c r="AO1102" s="6" t="s">
        <v>57</v>
      </c>
      <c r="AP1102" s="6" t="s">
        <v>57</v>
      </c>
      <c r="AQ1102" s="6" t="s">
        <v>57</v>
      </c>
    </row>
    <row r="1103" spans="1:43" ht="15">
      <c r="A1103" s="2" t="s">
        <v>3844</v>
      </c>
      <c r="B1103" s="5">
        <v>141955116</v>
      </c>
      <c r="C1103" s="2" t="s">
        <v>23</v>
      </c>
      <c r="D1103" s="2" t="s">
        <v>3845</v>
      </c>
      <c r="E1103" s="2" t="s">
        <v>3846</v>
      </c>
      <c r="F1103" s="2" t="s">
        <v>26</v>
      </c>
      <c r="G1103" s="2"/>
      <c r="H1103" s="2"/>
      <c r="I1103" s="2" t="s">
        <v>28</v>
      </c>
      <c r="J1103" s="6"/>
      <c r="K1103" s="2" t="s">
        <v>55</v>
      </c>
      <c r="L1103" s="2" t="s">
        <v>56</v>
      </c>
      <c r="M1103" s="2" t="s">
        <v>55</v>
      </c>
      <c r="N1103" s="2"/>
      <c r="O1103" s="2"/>
      <c r="P1103" s="6" t="s">
        <v>57</v>
      </c>
      <c r="Q1103" s="6" t="s">
        <v>57</v>
      </c>
      <c r="R1103" s="9">
        <v>0</v>
      </c>
      <c r="S1103" s="2"/>
      <c r="T1103" s="9">
        <v>0</v>
      </c>
      <c r="U1103" s="9">
        <v>0</v>
      </c>
      <c r="V1103" s="9">
        <v>0</v>
      </c>
      <c r="W1103" s="9">
        <v>2460</v>
      </c>
      <c r="X1103" s="9">
        <v>2460</v>
      </c>
      <c r="Y1103" s="9">
        <v>2460</v>
      </c>
      <c r="Z1103" s="9">
        <v>2460</v>
      </c>
      <c r="AA1103" s="9">
        <v>2460</v>
      </c>
      <c r="AB1103" s="9">
        <v>0</v>
      </c>
      <c r="AC1103" s="9">
        <v>0</v>
      </c>
      <c r="AD1103" s="9">
        <v>2460</v>
      </c>
      <c r="AE1103" s="6" t="s">
        <v>57</v>
      </c>
      <c r="AF1103" s="6" t="s">
        <v>57</v>
      </c>
      <c r="AG1103" s="6" t="s">
        <v>57</v>
      </c>
      <c r="AH1103" s="6" t="s">
        <v>57</v>
      </c>
      <c r="AI1103" s="6" t="s">
        <v>57</v>
      </c>
      <c r="AJ1103" s="6" t="s">
        <v>57</v>
      </c>
      <c r="AK1103" s="6" t="s">
        <v>57</v>
      </c>
      <c r="AL1103" s="6" t="s">
        <v>57</v>
      </c>
      <c r="AM1103" s="6" t="s">
        <v>57</v>
      </c>
      <c r="AN1103" s="6" t="s">
        <v>57</v>
      </c>
      <c r="AO1103" s="6" t="s">
        <v>57</v>
      </c>
      <c r="AP1103" s="6" t="s">
        <v>57</v>
      </c>
      <c r="AQ1103" s="9">
        <v>0</v>
      </c>
    </row>
    <row r="1104" spans="1:43" ht="15">
      <c r="A1104" s="2" t="s">
        <v>3847</v>
      </c>
      <c r="B1104" s="5">
        <v>29566776</v>
      </c>
      <c r="C1104" s="2" t="s">
        <v>23</v>
      </c>
      <c r="D1104" s="2" t="s">
        <v>3848</v>
      </c>
      <c r="E1104" s="2" t="s">
        <v>3849</v>
      </c>
      <c r="F1104" s="2" t="s">
        <v>26</v>
      </c>
      <c r="G1104" s="2" t="s">
        <v>26</v>
      </c>
      <c r="H1104" s="2" t="s">
        <v>27</v>
      </c>
      <c r="I1104" s="2" t="s">
        <v>28</v>
      </c>
      <c r="J1104" s="6"/>
      <c r="K1104" s="2" t="s">
        <v>55</v>
      </c>
      <c r="L1104" s="2" t="s">
        <v>56</v>
      </c>
      <c r="M1104" s="2" t="s">
        <v>55</v>
      </c>
      <c r="N1104" s="2"/>
      <c r="O1104" s="2"/>
      <c r="P1104" s="7">
        <v>2.3440053854133698</v>
      </c>
      <c r="Q1104" s="6" t="s">
        <v>57</v>
      </c>
      <c r="R1104" s="9">
        <v>0</v>
      </c>
      <c r="S1104" s="2"/>
      <c r="T1104" s="9">
        <v>0</v>
      </c>
      <c r="U1104" s="9">
        <v>0</v>
      </c>
      <c r="V1104" s="9">
        <v>0</v>
      </c>
      <c r="W1104" s="9">
        <v>0</v>
      </c>
      <c r="X1104" s="9">
        <v>0</v>
      </c>
      <c r="Y1104" s="9">
        <v>0</v>
      </c>
      <c r="Z1104" s="9">
        <v>0</v>
      </c>
      <c r="AA1104" s="9">
        <v>3549</v>
      </c>
      <c r="AB1104" s="9">
        <v>0</v>
      </c>
      <c r="AC1104" s="9">
        <v>0</v>
      </c>
      <c r="AD1104" s="9">
        <v>0</v>
      </c>
      <c r="AE1104" s="6" t="s">
        <v>57</v>
      </c>
      <c r="AF1104" s="6" t="s">
        <v>57</v>
      </c>
      <c r="AG1104" s="6" t="s">
        <v>57</v>
      </c>
      <c r="AH1104" s="6" t="s">
        <v>57</v>
      </c>
      <c r="AI1104" s="6" t="s">
        <v>57</v>
      </c>
      <c r="AJ1104" s="6" t="s">
        <v>57</v>
      </c>
      <c r="AK1104" s="6" t="s">
        <v>57</v>
      </c>
      <c r="AL1104" s="6" t="s">
        <v>57</v>
      </c>
      <c r="AM1104" s="6" t="s">
        <v>57</v>
      </c>
      <c r="AN1104" s="6" t="s">
        <v>57</v>
      </c>
      <c r="AO1104" s="6" t="s">
        <v>57</v>
      </c>
      <c r="AP1104" s="6" t="s">
        <v>57</v>
      </c>
      <c r="AQ1104" s="9">
        <v>0</v>
      </c>
    </row>
    <row r="1105" spans="1:43" ht="15">
      <c r="A1105" s="2" t="s">
        <v>3850</v>
      </c>
      <c r="B1105" s="5">
        <v>114655688</v>
      </c>
      <c r="C1105" s="2" t="s">
        <v>23</v>
      </c>
      <c r="D1105" s="2" t="s">
        <v>3851</v>
      </c>
      <c r="E1105" s="2" t="s">
        <v>3852</v>
      </c>
      <c r="F1105" s="2" t="s">
        <v>26</v>
      </c>
      <c r="G1105" s="2"/>
      <c r="H1105" s="2"/>
      <c r="I1105" s="2" t="s">
        <v>28</v>
      </c>
      <c r="J1105" s="6"/>
      <c r="K1105" s="2" t="s">
        <v>55</v>
      </c>
      <c r="L1105" s="2" t="s">
        <v>56</v>
      </c>
      <c r="M1105" s="2" t="s">
        <v>55</v>
      </c>
      <c r="N1105" s="2"/>
      <c r="O1105" s="2"/>
      <c r="P1105" s="6" t="s">
        <v>57</v>
      </c>
      <c r="Q1105" s="6" t="s">
        <v>57</v>
      </c>
      <c r="R1105" s="6" t="s">
        <v>57</v>
      </c>
      <c r="S1105" s="2"/>
      <c r="T1105" s="6" t="s">
        <v>57</v>
      </c>
      <c r="U1105" s="6" t="s">
        <v>57</v>
      </c>
      <c r="V1105" s="6" t="s">
        <v>57</v>
      </c>
      <c r="W1105" s="6" t="s">
        <v>57</v>
      </c>
      <c r="X1105" s="6" t="s">
        <v>57</v>
      </c>
      <c r="Y1105" s="6" t="s">
        <v>57</v>
      </c>
      <c r="Z1105" s="6" t="s">
        <v>57</v>
      </c>
      <c r="AA1105" s="6" t="s">
        <v>57</v>
      </c>
      <c r="AB1105" s="6" t="s">
        <v>57</v>
      </c>
      <c r="AC1105" s="6" t="s">
        <v>57</v>
      </c>
      <c r="AD1105" s="6" t="s">
        <v>57</v>
      </c>
      <c r="AE1105" s="6" t="s">
        <v>57</v>
      </c>
      <c r="AF1105" s="6" t="s">
        <v>57</v>
      </c>
      <c r="AG1105" s="6" t="s">
        <v>57</v>
      </c>
      <c r="AH1105" s="6" t="s">
        <v>57</v>
      </c>
      <c r="AI1105" s="6" t="s">
        <v>57</v>
      </c>
      <c r="AJ1105" s="6" t="s">
        <v>57</v>
      </c>
      <c r="AK1105" s="6" t="s">
        <v>57</v>
      </c>
      <c r="AL1105" s="6" t="s">
        <v>57</v>
      </c>
      <c r="AM1105" s="6" t="s">
        <v>57</v>
      </c>
      <c r="AN1105" s="6" t="s">
        <v>57</v>
      </c>
      <c r="AO1105" s="6" t="s">
        <v>57</v>
      </c>
      <c r="AP1105" s="6" t="s">
        <v>57</v>
      </c>
      <c r="AQ1105" s="6" t="s">
        <v>57</v>
      </c>
    </row>
    <row r="1106" spans="1:43" ht="15">
      <c r="A1106" s="2" t="s">
        <v>3853</v>
      </c>
      <c r="B1106" s="5">
        <v>101292839</v>
      </c>
      <c r="C1106" s="2" t="s">
        <v>23</v>
      </c>
      <c r="D1106" s="2" t="s">
        <v>3854</v>
      </c>
      <c r="E1106" s="2" t="s">
        <v>3855</v>
      </c>
      <c r="F1106" s="2" t="s">
        <v>26</v>
      </c>
      <c r="G1106" s="2" t="s">
        <v>26</v>
      </c>
      <c r="H1106" s="2" t="s">
        <v>27</v>
      </c>
      <c r="I1106" s="2" t="s">
        <v>28</v>
      </c>
      <c r="J1106" s="6"/>
      <c r="K1106" s="2" t="s">
        <v>55</v>
      </c>
      <c r="L1106" s="2" t="s">
        <v>56</v>
      </c>
      <c r="M1106" s="2" t="s">
        <v>55</v>
      </c>
      <c r="N1106" s="2"/>
      <c r="O1106" s="2"/>
      <c r="P1106" s="6" t="s">
        <v>57</v>
      </c>
      <c r="Q1106" s="6" t="s">
        <v>57</v>
      </c>
      <c r="R1106" s="9">
        <v>0</v>
      </c>
      <c r="S1106" s="2"/>
      <c r="T1106" s="9">
        <v>0</v>
      </c>
      <c r="U1106" s="9">
        <v>0</v>
      </c>
      <c r="V1106" s="9">
        <v>0</v>
      </c>
      <c r="W1106" s="9">
        <v>0</v>
      </c>
      <c r="X1106" s="9">
        <v>0</v>
      </c>
      <c r="Y1106" s="9">
        <v>9</v>
      </c>
      <c r="Z1106" s="9">
        <v>223</v>
      </c>
      <c r="AA1106" s="9">
        <v>223</v>
      </c>
      <c r="AB1106" s="9">
        <v>0</v>
      </c>
      <c r="AC1106" s="9">
        <v>0</v>
      </c>
      <c r="AD1106" s="9">
        <v>0</v>
      </c>
      <c r="AE1106" s="6" t="s">
        <v>57</v>
      </c>
      <c r="AF1106" s="6" t="s">
        <v>57</v>
      </c>
      <c r="AG1106" s="6" t="s">
        <v>57</v>
      </c>
      <c r="AH1106" s="6" t="s">
        <v>57</v>
      </c>
      <c r="AI1106" s="6" t="s">
        <v>57</v>
      </c>
      <c r="AJ1106" s="6" t="s">
        <v>57</v>
      </c>
      <c r="AK1106" s="6" t="s">
        <v>57</v>
      </c>
      <c r="AL1106" s="6" t="s">
        <v>57</v>
      </c>
      <c r="AM1106" s="6" t="s">
        <v>57</v>
      </c>
      <c r="AN1106" s="6" t="s">
        <v>57</v>
      </c>
      <c r="AO1106" s="6" t="s">
        <v>57</v>
      </c>
      <c r="AP1106" s="6" t="s">
        <v>57</v>
      </c>
      <c r="AQ1106" s="9">
        <v>0</v>
      </c>
    </row>
    <row r="1107" spans="1:43" ht="15">
      <c r="A1107" s="2" t="s">
        <v>3856</v>
      </c>
      <c r="B1107" s="5">
        <v>119899621</v>
      </c>
      <c r="C1107" s="2" t="s">
        <v>23</v>
      </c>
      <c r="D1107" s="2" t="s">
        <v>3857</v>
      </c>
      <c r="E1107" s="2" t="s">
        <v>3858</v>
      </c>
      <c r="F1107" s="2" t="s">
        <v>26</v>
      </c>
      <c r="G1107" s="2" t="s">
        <v>26</v>
      </c>
      <c r="H1107" s="2" t="s">
        <v>27</v>
      </c>
      <c r="I1107" s="2" t="s">
        <v>28</v>
      </c>
      <c r="J1107" s="6"/>
      <c r="K1107" s="2" t="s">
        <v>55</v>
      </c>
      <c r="L1107" s="2" t="s">
        <v>56</v>
      </c>
      <c r="M1107" s="2" t="s">
        <v>55</v>
      </c>
      <c r="N1107" s="2"/>
      <c r="O1107" s="2"/>
      <c r="P1107" s="6" t="s">
        <v>57</v>
      </c>
      <c r="Q1107" s="6" t="s">
        <v>57</v>
      </c>
      <c r="R1107" s="9">
        <v>0</v>
      </c>
      <c r="S1107" s="2"/>
      <c r="T1107" s="9">
        <v>0</v>
      </c>
      <c r="U1107" s="9">
        <v>201</v>
      </c>
      <c r="V1107" s="9">
        <v>75</v>
      </c>
      <c r="W1107" s="9">
        <v>34</v>
      </c>
      <c r="X1107" s="9">
        <v>34</v>
      </c>
      <c r="Y1107" s="9">
        <v>34</v>
      </c>
      <c r="Z1107" s="9">
        <v>34</v>
      </c>
      <c r="AA1107" s="9">
        <v>34</v>
      </c>
      <c r="AB1107" s="9">
        <v>230</v>
      </c>
      <c r="AC1107" s="9">
        <v>79</v>
      </c>
      <c r="AD1107" s="9">
        <v>39</v>
      </c>
      <c r="AE1107" s="6" t="s">
        <v>57</v>
      </c>
      <c r="AF1107" s="6" t="s">
        <v>57</v>
      </c>
      <c r="AG1107" s="6" t="s">
        <v>57</v>
      </c>
      <c r="AH1107" s="6" t="s">
        <v>57</v>
      </c>
      <c r="AI1107" s="6" t="s">
        <v>57</v>
      </c>
      <c r="AJ1107" s="6" t="s">
        <v>57</v>
      </c>
      <c r="AK1107" s="6" t="s">
        <v>57</v>
      </c>
      <c r="AL1107" s="6" t="s">
        <v>57</v>
      </c>
      <c r="AM1107" s="6" t="s">
        <v>57</v>
      </c>
      <c r="AN1107" s="6" t="s">
        <v>57</v>
      </c>
      <c r="AO1107" s="6" t="s">
        <v>57</v>
      </c>
      <c r="AP1107" s="6" t="s">
        <v>57</v>
      </c>
      <c r="AQ1107" s="9">
        <v>0</v>
      </c>
    </row>
    <row r="1108" spans="1:43" ht="15">
      <c r="A1108" s="2" t="s">
        <v>3859</v>
      </c>
      <c r="B1108" s="5">
        <v>119064684</v>
      </c>
      <c r="C1108" s="2" t="s">
        <v>23</v>
      </c>
      <c r="D1108" s="2" t="s">
        <v>3860</v>
      </c>
      <c r="E1108" s="2" t="s">
        <v>3861</v>
      </c>
      <c r="F1108" s="2" t="s">
        <v>26</v>
      </c>
      <c r="G1108" s="2" t="s">
        <v>26</v>
      </c>
      <c r="H1108" s="2" t="s">
        <v>27</v>
      </c>
      <c r="I1108" s="2" t="s">
        <v>28</v>
      </c>
      <c r="J1108" s="6"/>
      <c r="K1108" s="2" t="s">
        <v>55</v>
      </c>
      <c r="L1108" s="2" t="s">
        <v>56</v>
      </c>
      <c r="M1108" s="2" t="s">
        <v>55</v>
      </c>
      <c r="N1108" s="2"/>
      <c r="O1108" s="2"/>
      <c r="P1108" s="6" t="s">
        <v>57</v>
      </c>
      <c r="Q1108" s="6" t="s">
        <v>57</v>
      </c>
      <c r="R1108" s="9">
        <v>0</v>
      </c>
      <c r="S1108" s="2"/>
      <c r="T1108" s="9">
        <v>163</v>
      </c>
      <c r="U1108" s="9">
        <v>1427</v>
      </c>
      <c r="V1108" s="9">
        <v>1387</v>
      </c>
      <c r="W1108" s="9">
        <v>1935</v>
      </c>
      <c r="X1108" s="9">
        <v>1935</v>
      </c>
      <c r="Y1108" s="9">
        <v>1935</v>
      </c>
      <c r="Z1108" s="9">
        <v>1935</v>
      </c>
      <c r="AA1108" s="9">
        <v>1935</v>
      </c>
      <c r="AB1108" s="9">
        <v>919</v>
      </c>
      <c r="AC1108" s="9">
        <v>1264</v>
      </c>
      <c r="AD1108" s="9">
        <v>1520</v>
      </c>
      <c r="AE1108" s="6" t="s">
        <v>57</v>
      </c>
      <c r="AF1108" s="6" t="s">
        <v>57</v>
      </c>
      <c r="AG1108" s="6" t="s">
        <v>57</v>
      </c>
      <c r="AH1108" s="6" t="s">
        <v>57</v>
      </c>
      <c r="AI1108" s="6" t="s">
        <v>57</v>
      </c>
      <c r="AJ1108" s="6" t="s">
        <v>57</v>
      </c>
      <c r="AK1108" s="6" t="s">
        <v>57</v>
      </c>
      <c r="AL1108" s="6" t="s">
        <v>57</v>
      </c>
      <c r="AM1108" s="6" t="s">
        <v>57</v>
      </c>
      <c r="AN1108" s="6" t="s">
        <v>57</v>
      </c>
      <c r="AO1108" s="6" t="s">
        <v>57</v>
      </c>
      <c r="AP1108" s="6" t="s">
        <v>57</v>
      </c>
      <c r="AQ1108" s="9">
        <v>0</v>
      </c>
    </row>
    <row r="1109" spans="1:43" ht="15">
      <c r="A1109" s="2" t="s">
        <v>3862</v>
      </c>
      <c r="B1109" s="5">
        <v>10525973</v>
      </c>
      <c r="C1109" s="2" t="s">
        <v>23</v>
      </c>
      <c r="D1109" s="2" t="s">
        <v>3863</v>
      </c>
      <c r="E1109" s="2" t="s">
        <v>3864</v>
      </c>
      <c r="F1109" s="2" t="s">
        <v>26</v>
      </c>
      <c r="G1109" s="2" t="s">
        <v>26</v>
      </c>
      <c r="H1109" s="2" t="s">
        <v>27</v>
      </c>
      <c r="I1109" s="2" t="s">
        <v>28</v>
      </c>
      <c r="J1109" s="6"/>
      <c r="K1109" s="2" t="s">
        <v>55</v>
      </c>
      <c r="L1109" s="2" t="s">
        <v>56</v>
      </c>
      <c r="M1109" s="2" t="s">
        <v>55</v>
      </c>
      <c r="N1109" s="2"/>
      <c r="O1109" s="2"/>
      <c r="P1109" s="7">
        <v>3.4032758507282499</v>
      </c>
      <c r="Q1109" s="6" t="s">
        <v>57</v>
      </c>
      <c r="R1109" s="9">
        <v>0</v>
      </c>
      <c r="S1109" s="2"/>
      <c r="T1109" s="9">
        <v>0</v>
      </c>
      <c r="U1109" s="9">
        <v>0</v>
      </c>
      <c r="V1109" s="9">
        <v>0</v>
      </c>
      <c r="W1109" s="9">
        <v>0</v>
      </c>
      <c r="X1109" s="9">
        <v>0</v>
      </c>
      <c r="Y1109" s="9">
        <v>0</v>
      </c>
      <c r="Z1109" s="9">
        <v>0</v>
      </c>
      <c r="AA1109" s="9">
        <v>252</v>
      </c>
      <c r="AB1109" s="9">
        <v>0</v>
      </c>
      <c r="AC1109" s="9">
        <v>0</v>
      </c>
      <c r="AD1109" s="9">
        <v>0</v>
      </c>
      <c r="AE1109" s="6" t="s">
        <v>57</v>
      </c>
      <c r="AF1109" s="6" t="s">
        <v>57</v>
      </c>
      <c r="AG1109" s="6" t="s">
        <v>57</v>
      </c>
      <c r="AH1109" s="6" t="s">
        <v>57</v>
      </c>
      <c r="AI1109" s="6" t="s">
        <v>57</v>
      </c>
      <c r="AJ1109" s="6" t="s">
        <v>57</v>
      </c>
      <c r="AK1109" s="6" t="s">
        <v>57</v>
      </c>
      <c r="AL1109" s="6" t="s">
        <v>57</v>
      </c>
      <c r="AM1109" s="6" t="s">
        <v>57</v>
      </c>
      <c r="AN1109" s="6" t="s">
        <v>57</v>
      </c>
      <c r="AO1109" s="6" t="s">
        <v>57</v>
      </c>
      <c r="AP1109" s="6" t="s">
        <v>57</v>
      </c>
      <c r="AQ1109" s="9">
        <v>0</v>
      </c>
    </row>
    <row r="1110" spans="1:43" ht="15">
      <c r="A1110" s="2" t="s">
        <v>3865</v>
      </c>
      <c r="B1110" s="5">
        <v>10525964</v>
      </c>
      <c r="C1110" s="2" t="s">
        <v>23</v>
      </c>
      <c r="D1110" s="2" t="s">
        <v>3866</v>
      </c>
      <c r="E1110" s="2" t="s">
        <v>3867</v>
      </c>
      <c r="F1110" s="2" t="s">
        <v>26</v>
      </c>
      <c r="G1110" s="2" t="s">
        <v>26</v>
      </c>
      <c r="H1110" s="2" t="s">
        <v>27</v>
      </c>
      <c r="I1110" s="2" t="s">
        <v>28</v>
      </c>
      <c r="J1110" s="6"/>
      <c r="K1110" s="2" t="s">
        <v>55</v>
      </c>
      <c r="L1110" s="2" t="s">
        <v>56</v>
      </c>
      <c r="M1110" s="2" t="s">
        <v>55</v>
      </c>
      <c r="N1110" s="2"/>
      <c r="O1110" s="2"/>
      <c r="P1110" s="7">
        <v>7.2076455965403401</v>
      </c>
      <c r="Q1110" s="6" t="s">
        <v>57</v>
      </c>
      <c r="R1110" s="9">
        <v>0</v>
      </c>
      <c r="S1110" s="2"/>
      <c r="T1110" s="9">
        <v>0</v>
      </c>
      <c r="U1110" s="9">
        <v>0</v>
      </c>
      <c r="V1110" s="9">
        <v>0</v>
      </c>
      <c r="W1110" s="9">
        <v>878</v>
      </c>
      <c r="X1110" s="9">
        <v>874</v>
      </c>
      <c r="Y1110" s="9">
        <v>510</v>
      </c>
      <c r="Z1110" s="9">
        <v>429</v>
      </c>
      <c r="AA1110" s="9">
        <v>1139</v>
      </c>
      <c r="AB1110" s="9">
        <v>0</v>
      </c>
      <c r="AC1110" s="9">
        <v>0</v>
      </c>
      <c r="AD1110" s="9">
        <v>0</v>
      </c>
      <c r="AE1110" s="6" t="s">
        <v>57</v>
      </c>
      <c r="AF1110" s="6" t="s">
        <v>57</v>
      </c>
      <c r="AG1110" s="6" t="s">
        <v>57</v>
      </c>
      <c r="AH1110" s="6" t="s">
        <v>57</v>
      </c>
      <c r="AI1110" s="6" t="s">
        <v>57</v>
      </c>
      <c r="AJ1110" s="6" t="s">
        <v>57</v>
      </c>
      <c r="AK1110" s="6" t="s">
        <v>57</v>
      </c>
      <c r="AL1110" s="6" t="s">
        <v>57</v>
      </c>
      <c r="AM1110" s="6" t="s">
        <v>57</v>
      </c>
      <c r="AN1110" s="6" t="s">
        <v>57</v>
      </c>
      <c r="AO1110" s="6" t="s">
        <v>57</v>
      </c>
      <c r="AP1110" s="6" t="s">
        <v>57</v>
      </c>
      <c r="AQ1110" s="9">
        <v>0</v>
      </c>
    </row>
    <row r="1111" spans="1:43" ht="15">
      <c r="A1111" s="2" t="s">
        <v>3868</v>
      </c>
      <c r="B1111" s="5">
        <v>5738144</v>
      </c>
      <c r="C1111" s="2" t="s">
        <v>23</v>
      </c>
      <c r="D1111" s="2" t="s">
        <v>3869</v>
      </c>
      <c r="E1111" s="2" t="s">
        <v>3870</v>
      </c>
      <c r="F1111" s="2" t="s">
        <v>26</v>
      </c>
      <c r="G1111" s="2" t="s">
        <v>26</v>
      </c>
      <c r="H1111" s="2" t="s">
        <v>27</v>
      </c>
      <c r="I1111" s="2" t="s">
        <v>28</v>
      </c>
      <c r="J1111" s="6"/>
      <c r="K1111" s="2" t="s">
        <v>55</v>
      </c>
      <c r="L1111" s="2" t="s">
        <v>56</v>
      </c>
      <c r="M1111" s="2" t="s">
        <v>55</v>
      </c>
      <c r="N1111" s="2"/>
      <c r="O1111" s="2"/>
      <c r="P1111" s="7">
        <v>29.302283020427499</v>
      </c>
      <c r="Q1111" s="6" t="s">
        <v>57</v>
      </c>
      <c r="R1111" s="9">
        <v>0</v>
      </c>
      <c r="S1111" s="2"/>
      <c r="T1111" s="9">
        <v>0</v>
      </c>
      <c r="U1111" s="9">
        <v>0</v>
      </c>
      <c r="V1111" s="9">
        <v>0</v>
      </c>
      <c r="W1111" s="9">
        <v>0</v>
      </c>
      <c r="X1111" s="9">
        <v>0</v>
      </c>
      <c r="Y1111" s="9">
        <v>0</v>
      </c>
      <c r="Z1111" s="9">
        <v>0</v>
      </c>
      <c r="AA1111" s="9">
        <v>34</v>
      </c>
      <c r="AB1111" s="9">
        <v>0</v>
      </c>
      <c r="AC1111" s="9">
        <v>0</v>
      </c>
      <c r="AD1111" s="9">
        <v>0</v>
      </c>
      <c r="AE1111" s="6" t="s">
        <v>57</v>
      </c>
      <c r="AF1111" s="6" t="s">
        <v>57</v>
      </c>
      <c r="AG1111" s="6" t="s">
        <v>57</v>
      </c>
      <c r="AH1111" s="6" t="s">
        <v>57</v>
      </c>
      <c r="AI1111" s="6" t="s">
        <v>57</v>
      </c>
      <c r="AJ1111" s="6" t="s">
        <v>57</v>
      </c>
      <c r="AK1111" s="6" t="s">
        <v>57</v>
      </c>
      <c r="AL1111" s="6" t="s">
        <v>57</v>
      </c>
      <c r="AM1111" s="6" t="s">
        <v>57</v>
      </c>
      <c r="AN1111" s="6" t="s">
        <v>57</v>
      </c>
      <c r="AO1111" s="6" t="s">
        <v>57</v>
      </c>
      <c r="AP1111" s="6" t="s">
        <v>57</v>
      </c>
      <c r="AQ1111" s="9">
        <v>0</v>
      </c>
    </row>
    <row r="1112" spans="1:43" ht="15">
      <c r="A1112" s="2" t="s">
        <v>3871</v>
      </c>
      <c r="B1112" s="5">
        <v>4910581</v>
      </c>
      <c r="C1112" s="2" t="s">
        <v>23</v>
      </c>
      <c r="D1112" s="2" t="s">
        <v>3872</v>
      </c>
      <c r="E1112" s="2" t="s">
        <v>3873</v>
      </c>
      <c r="F1112" s="2" t="s">
        <v>26</v>
      </c>
      <c r="G1112" s="2" t="s">
        <v>26</v>
      </c>
      <c r="H1112" s="2" t="s">
        <v>27</v>
      </c>
      <c r="I1112" s="2" t="s">
        <v>40</v>
      </c>
      <c r="J1112" s="6"/>
      <c r="K1112" s="2" t="s">
        <v>211</v>
      </c>
      <c r="L1112" s="2" t="s">
        <v>30</v>
      </c>
      <c r="M1112" s="2" t="s">
        <v>189</v>
      </c>
      <c r="N1112" s="2" t="s">
        <v>211</v>
      </c>
      <c r="O1112" s="2"/>
      <c r="P1112" s="7">
        <v>259.634892022158</v>
      </c>
      <c r="Q1112" s="8">
        <v>466.71947376387197</v>
      </c>
      <c r="R1112" s="9">
        <v>324</v>
      </c>
      <c r="S1112" s="2" t="s">
        <v>3874</v>
      </c>
      <c r="T1112" s="9">
        <v>10166</v>
      </c>
      <c r="U1112" s="9">
        <v>9102</v>
      </c>
      <c r="V1112" s="9">
        <v>92816</v>
      </c>
      <c r="W1112" s="9">
        <v>94872</v>
      </c>
      <c r="X1112" s="9">
        <v>94496</v>
      </c>
      <c r="Y1112" s="9">
        <v>63819</v>
      </c>
      <c r="Z1112" s="9">
        <v>54518</v>
      </c>
      <c r="AA1112" s="9">
        <v>59815</v>
      </c>
      <c r="AB1112" s="9">
        <v>10279</v>
      </c>
      <c r="AC1112" s="9">
        <v>97367</v>
      </c>
      <c r="AD1112" s="9">
        <v>102640</v>
      </c>
      <c r="AE1112" s="7">
        <v>0.00051460318524314795</v>
      </c>
      <c r="AF1112" s="7">
        <v>0.0161456749370038</v>
      </c>
      <c r="AG1112" s="7">
        <v>0.0144566038082794</v>
      </c>
      <c r="AH1112" s="7">
        <v>0.147418624630931</v>
      </c>
      <c r="AI1112" s="7">
        <v>0.15068387013762699</v>
      </c>
      <c r="AJ1112" s="7">
        <v>0.150085689848235</v>
      </c>
      <c r="AK1112" s="7">
        <v>0.101362897274028</v>
      </c>
      <c r="AL1112" s="7">
        <v>0.086589243894927795</v>
      </c>
      <c r="AM1112" s="7">
        <v>0.095003196972033202</v>
      </c>
      <c r="AN1112" s="7">
        <v>0.016326171777330398</v>
      </c>
      <c r="AO1112" s="7">
        <v>0.154645755936935</v>
      </c>
      <c r="AP1112" s="7">
        <v>0.16302132186292501</v>
      </c>
      <c r="AQ1112" s="9">
        <v>648</v>
      </c>
    </row>
    <row r="1113" spans="1:43" ht="15">
      <c r="A1113" s="2" t="s">
        <v>3875</v>
      </c>
      <c r="B1113" s="5">
        <v>5738334</v>
      </c>
      <c r="C1113" s="2" t="s">
        <v>23</v>
      </c>
      <c r="D1113" s="2" t="s">
        <v>3876</v>
      </c>
      <c r="E1113" s="2" t="s">
        <v>3877</v>
      </c>
      <c r="F1113" s="2" t="s">
        <v>26</v>
      </c>
      <c r="G1113" s="2" t="s">
        <v>26</v>
      </c>
      <c r="H1113" s="2" t="s">
        <v>27</v>
      </c>
      <c r="I1113" s="2" t="s">
        <v>28</v>
      </c>
      <c r="J1113" s="6"/>
      <c r="K1113" s="2" t="s">
        <v>55</v>
      </c>
      <c r="L1113" s="2" t="s">
        <v>56</v>
      </c>
      <c r="M1113" s="2" t="s">
        <v>55</v>
      </c>
      <c r="N1113" s="2"/>
      <c r="O1113" s="2"/>
      <c r="P1113" s="7">
        <v>58.653006385895999</v>
      </c>
      <c r="Q1113" s="6" t="s">
        <v>57</v>
      </c>
      <c r="R1113" s="9">
        <v>0</v>
      </c>
      <c r="S1113" s="2"/>
      <c r="T1113" s="9">
        <v>0</v>
      </c>
      <c r="U1113" s="9">
        <v>0</v>
      </c>
      <c r="V1113" s="9">
        <v>4281</v>
      </c>
      <c r="W1113" s="9">
        <v>2446</v>
      </c>
      <c r="X1113" s="9">
        <v>2436</v>
      </c>
      <c r="Y1113" s="9">
        <v>6734</v>
      </c>
      <c r="Z1113" s="9">
        <v>7121</v>
      </c>
      <c r="AA1113" s="9">
        <v>9185</v>
      </c>
      <c r="AB1113" s="9">
        <v>0</v>
      </c>
      <c r="AC1113" s="9">
        <v>4492</v>
      </c>
      <c r="AD1113" s="9">
        <v>2210</v>
      </c>
      <c r="AE1113" s="6" t="s">
        <v>57</v>
      </c>
      <c r="AF1113" s="6" t="s">
        <v>57</v>
      </c>
      <c r="AG1113" s="6" t="s">
        <v>57</v>
      </c>
      <c r="AH1113" s="6" t="s">
        <v>57</v>
      </c>
      <c r="AI1113" s="6" t="s">
        <v>57</v>
      </c>
      <c r="AJ1113" s="6" t="s">
        <v>57</v>
      </c>
      <c r="AK1113" s="6" t="s">
        <v>57</v>
      </c>
      <c r="AL1113" s="6" t="s">
        <v>57</v>
      </c>
      <c r="AM1113" s="6" t="s">
        <v>57</v>
      </c>
      <c r="AN1113" s="6" t="s">
        <v>57</v>
      </c>
      <c r="AO1113" s="6" t="s">
        <v>57</v>
      </c>
      <c r="AP1113" s="6" t="s">
        <v>57</v>
      </c>
      <c r="AQ1113" s="9">
        <v>0</v>
      </c>
    </row>
    <row r="1114" spans="1:43" ht="15">
      <c r="A1114" s="2" t="s">
        <v>3878</v>
      </c>
      <c r="B1114" s="5">
        <v>20030305</v>
      </c>
      <c r="C1114" s="2" t="s">
        <v>23</v>
      </c>
      <c r="D1114" s="2" t="s">
        <v>3879</v>
      </c>
      <c r="E1114" s="2" t="s">
        <v>3880</v>
      </c>
      <c r="F1114" s="2" t="s">
        <v>26</v>
      </c>
      <c r="G1114" s="2"/>
      <c r="H1114" s="2"/>
      <c r="I1114" s="2" t="s">
        <v>28</v>
      </c>
      <c r="J1114" s="6"/>
      <c r="K1114" s="2" t="s">
        <v>55</v>
      </c>
      <c r="L1114" s="2" t="s">
        <v>56</v>
      </c>
      <c r="M1114" s="2" t="s">
        <v>55</v>
      </c>
      <c r="N1114" s="2"/>
      <c r="O1114" s="2"/>
      <c r="P1114" s="7">
        <v>23.2511507</v>
      </c>
      <c r="Q1114" s="6" t="s">
        <v>57</v>
      </c>
      <c r="R1114" s="9">
        <v>0</v>
      </c>
      <c r="S1114" s="2"/>
      <c r="T1114" s="9">
        <v>0</v>
      </c>
      <c r="U1114" s="9">
        <v>0</v>
      </c>
      <c r="V1114" s="9">
        <v>0</v>
      </c>
      <c r="W1114" s="9">
        <v>1785</v>
      </c>
      <c r="X1114" s="9">
        <v>1778</v>
      </c>
      <c r="Y1114" s="9">
        <v>894</v>
      </c>
      <c r="Z1114" s="9">
        <v>1192</v>
      </c>
      <c r="AA1114" s="9">
        <v>1189</v>
      </c>
      <c r="AB1114" s="9">
        <v>0</v>
      </c>
      <c r="AC1114" s="9">
        <v>0</v>
      </c>
      <c r="AD1114" s="9">
        <v>3585</v>
      </c>
      <c r="AE1114" s="6" t="s">
        <v>57</v>
      </c>
      <c r="AF1114" s="6" t="s">
        <v>57</v>
      </c>
      <c r="AG1114" s="6" t="s">
        <v>57</v>
      </c>
      <c r="AH1114" s="6" t="s">
        <v>57</v>
      </c>
      <c r="AI1114" s="6" t="s">
        <v>57</v>
      </c>
      <c r="AJ1114" s="6" t="s">
        <v>57</v>
      </c>
      <c r="AK1114" s="6" t="s">
        <v>57</v>
      </c>
      <c r="AL1114" s="6" t="s">
        <v>57</v>
      </c>
      <c r="AM1114" s="6" t="s">
        <v>57</v>
      </c>
      <c r="AN1114" s="6" t="s">
        <v>57</v>
      </c>
      <c r="AO1114" s="6" t="s">
        <v>57</v>
      </c>
      <c r="AP1114" s="6" t="s">
        <v>57</v>
      </c>
      <c r="AQ1114" s="9">
        <v>0</v>
      </c>
    </row>
    <row r="1115" spans="1:43" ht="15">
      <c r="A1115" s="2" t="s">
        <v>3881</v>
      </c>
      <c r="B1115" s="5">
        <v>11003447</v>
      </c>
      <c r="C1115" s="2" t="s">
        <v>23</v>
      </c>
      <c r="D1115" s="2" t="s">
        <v>3882</v>
      </c>
      <c r="E1115" s="2" t="s">
        <v>3883</v>
      </c>
      <c r="F1115" s="2" t="s">
        <v>26</v>
      </c>
      <c r="G1115" s="2" t="s">
        <v>26</v>
      </c>
      <c r="H1115" s="2" t="s">
        <v>27</v>
      </c>
      <c r="I1115" s="2" t="s">
        <v>28</v>
      </c>
      <c r="J1115" s="6"/>
      <c r="K1115" s="2" t="s">
        <v>55</v>
      </c>
      <c r="L1115" s="2" t="s">
        <v>56</v>
      </c>
      <c r="M1115" s="2" t="s">
        <v>55</v>
      </c>
      <c r="N1115" s="2"/>
      <c r="O1115" s="2"/>
      <c r="P1115" s="6" t="s">
        <v>57</v>
      </c>
      <c r="Q1115" s="6" t="s">
        <v>57</v>
      </c>
      <c r="R1115" s="9">
        <v>0</v>
      </c>
      <c r="S1115" s="2"/>
      <c r="T1115" s="9">
        <v>0</v>
      </c>
      <c r="U1115" s="9">
        <v>0</v>
      </c>
      <c r="V1115" s="9">
        <v>124</v>
      </c>
      <c r="W1115" s="9">
        <v>80</v>
      </c>
      <c r="X1115" s="9">
        <v>80</v>
      </c>
      <c r="Y1115" s="9">
        <v>161</v>
      </c>
      <c r="Z1115" s="9">
        <v>267</v>
      </c>
      <c r="AA1115" s="9">
        <v>2023</v>
      </c>
      <c r="AB1115" s="9">
        <v>0</v>
      </c>
      <c r="AC1115" s="9">
        <v>130</v>
      </c>
      <c r="AD1115" s="9">
        <v>64</v>
      </c>
      <c r="AE1115" s="6" t="s">
        <v>57</v>
      </c>
      <c r="AF1115" s="6" t="s">
        <v>57</v>
      </c>
      <c r="AG1115" s="6" t="s">
        <v>57</v>
      </c>
      <c r="AH1115" s="6" t="s">
        <v>57</v>
      </c>
      <c r="AI1115" s="6" t="s">
        <v>57</v>
      </c>
      <c r="AJ1115" s="6" t="s">
        <v>57</v>
      </c>
      <c r="AK1115" s="6" t="s">
        <v>57</v>
      </c>
      <c r="AL1115" s="6" t="s">
        <v>57</v>
      </c>
      <c r="AM1115" s="6" t="s">
        <v>57</v>
      </c>
      <c r="AN1115" s="6" t="s">
        <v>57</v>
      </c>
      <c r="AO1115" s="6" t="s">
        <v>57</v>
      </c>
      <c r="AP1115" s="6" t="s">
        <v>57</v>
      </c>
      <c r="AQ1115" s="9">
        <v>0</v>
      </c>
    </row>
    <row r="1116" spans="1:43" ht="15">
      <c r="A1116" s="2" t="s">
        <v>3884</v>
      </c>
      <c r="B1116" s="5">
        <v>115683319</v>
      </c>
      <c r="C1116" s="2" t="s">
        <v>23</v>
      </c>
      <c r="D1116" s="2" t="s">
        <v>3885</v>
      </c>
      <c r="E1116" s="2" t="s">
        <v>3886</v>
      </c>
      <c r="F1116" s="2" t="s">
        <v>26</v>
      </c>
      <c r="G1116" s="2" t="s">
        <v>26</v>
      </c>
      <c r="H1116" s="2" t="s">
        <v>27</v>
      </c>
      <c r="I1116" s="2" t="s">
        <v>28</v>
      </c>
      <c r="J1116" s="6"/>
      <c r="K1116" s="2" t="s">
        <v>55</v>
      </c>
      <c r="L1116" s="2" t="s">
        <v>56</v>
      </c>
      <c r="M1116" s="2" t="s">
        <v>55</v>
      </c>
      <c r="N1116" s="2"/>
      <c r="O1116" s="2"/>
      <c r="P1116" s="6" t="s">
        <v>57</v>
      </c>
      <c r="Q1116" s="6" t="s">
        <v>57</v>
      </c>
      <c r="R1116" s="6" t="s">
        <v>57</v>
      </c>
      <c r="S1116" s="2"/>
      <c r="T1116" s="6" t="s">
        <v>57</v>
      </c>
      <c r="U1116" s="6" t="s">
        <v>57</v>
      </c>
      <c r="V1116" s="6" t="s">
        <v>57</v>
      </c>
      <c r="W1116" s="6" t="s">
        <v>57</v>
      </c>
      <c r="X1116" s="6" t="s">
        <v>57</v>
      </c>
      <c r="Y1116" s="6" t="s">
        <v>57</v>
      </c>
      <c r="Z1116" s="6" t="s">
        <v>57</v>
      </c>
      <c r="AA1116" s="6" t="s">
        <v>57</v>
      </c>
      <c r="AB1116" s="6" t="s">
        <v>57</v>
      </c>
      <c r="AC1116" s="6" t="s">
        <v>57</v>
      </c>
      <c r="AD1116" s="6" t="s">
        <v>57</v>
      </c>
      <c r="AE1116" s="6" t="s">
        <v>57</v>
      </c>
      <c r="AF1116" s="6" t="s">
        <v>57</v>
      </c>
      <c r="AG1116" s="6" t="s">
        <v>57</v>
      </c>
      <c r="AH1116" s="6" t="s">
        <v>57</v>
      </c>
      <c r="AI1116" s="6" t="s">
        <v>57</v>
      </c>
      <c r="AJ1116" s="6" t="s">
        <v>57</v>
      </c>
      <c r="AK1116" s="6" t="s">
        <v>57</v>
      </c>
      <c r="AL1116" s="6" t="s">
        <v>57</v>
      </c>
      <c r="AM1116" s="6" t="s">
        <v>57</v>
      </c>
      <c r="AN1116" s="6" t="s">
        <v>57</v>
      </c>
      <c r="AO1116" s="6" t="s">
        <v>57</v>
      </c>
      <c r="AP1116" s="6" t="s">
        <v>57</v>
      </c>
      <c r="AQ1116" s="6" t="s">
        <v>57</v>
      </c>
    </row>
    <row r="1117" spans="1:43" ht="15">
      <c r="A1117" s="2" t="s">
        <v>3887</v>
      </c>
      <c r="B1117" s="5">
        <v>7143793</v>
      </c>
      <c r="C1117" s="2" t="s">
        <v>23</v>
      </c>
      <c r="D1117" s="2" t="s">
        <v>3888</v>
      </c>
      <c r="E1117" s="2" t="s">
        <v>3889</v>
      </c>
      <c r="F1117" s="2" t="s">
        <v>26</v>
      </c>
      <c r="G1117" s="2" t="s">
        <v>26</v>
      </c>
      <c r="H1117" s="2" t="s">
        <v>27</v>
      </c>
      <c r="I1117" s="2" t="s">
        <v>28</v>
      </c>
      <c r="J1117" s="6"/>
      <c r="K1117" s="2" t="s">
        <v>55</v>
      </c>
      <c r="L1117" s="2" t="s">
        <v>56</v>
      </c>
      <c r="M1117" s="2" t="s">
        <v>55</v>
      </c>
      <c r="N1117" s="2"/>
      <c r="O1117" s="2"/>
      <c r="P1117" s="6" t="s">
        <v>57</v>
      </c>
      <c r="Q1117" s="6" t="s">
        <v>57</v>
      </c>
      <c r="R1117" s="9">
        <v>0</v>
      </c>
      <c r="S1117" s="2"/>
      <c r="T1117" s="9">
        <v>0</v>
      </c>
      <c r="U1117" s="9">
        <v>0</v>
      </c>
      <c r="V1117" s="9">
        <v>0</v>
      </c>
      <c r="W1117" s="9">
        <v>0</v>
      </c>
      <c r="X1117" s="9">
        <v>0</v>
      </c>
      <c r="Y1117" s="9">
        <v>0</v>
      </c>
      <c r="Z1117" s="9">
        <v>0</v>
      </c>
      <c r="AA1117" s="9">
        <v>0</v>
      </c>
      <c r="AB1117" s="9">
        <v>0</v>
      </c>
      <c r="AC1117" s="9">
        <v>0</v>
      </c>
      <c r="AD1117" s="9">
        <v>0</v>
      </c>
      <c r="AE1117" s="6" t="s">
        <v>57</v>
      </c>
      <c r="AF1117" s="6" t="s">
        <v>57</v>
      </c>
      <c r="AG1117" s="6" t="s">
        <v>57</v>
      </c>
      <c r="AH1117" s="6" t="s">
        <v>57</v>
      </c>
      <c r="AI1117" s="6" t="s">
        <v>57</v>
      </c>
      <c r="AJ1117" s="6" t="s">
        <v>57</v>
      </c>
      <c r="AK1117" s="6" t="s">
        <v>57</v>
      </c>
      <c r="AL1117" s="6" t="s">
        <v>57</v>
      </c>
      <c r="AM1117" s="6" t="s">
        <v>57</v>
      </c>
      <c r="AN1117" s="6" t="s">
        <v>57</v>
      </c>
      <c r="AO1117" s="6" t="s">
        <v>57</v>
      </c>
      <c r="AP1117" s="6" t="s">
        <v>57</v>
      </c>
      <c r="AQ1117" s="9">
        <v>0</v>
      </c>
    </row>
    <row r="1118" spans="1:43" ht="15">
      <c r="A1118" s="2" t="s">
        <v>3890</v>
      </c>
      <c r="B1118" s="5">
        <v>136739224</v>
      </c>
      <c r="C1118" s="2" t="s">
        <v>23</v>
      </c>
      <c r="D1118" s="2" t="s">
        <v>3891</v>
      </c>
      <c r="E1118" s="2" t="s">
        <v>3892</v>
      </c>
      <c r="F1118" s="2" t="s">
        <v>26</v>
      </c>
      <c r="G1118" s="2"/>
      <c r="H1118" s="2"/>
      <c r="I1118" s="2" t="s">
        <v>28</v>
      </c>
      <c r="J1118" s="6"/>
      <c r="K1118" s="2" t="s">
        <v>55</v>
      </c>
      <c r="L1118" s="2" t="s">
        <v>56</v>
      </c>
      <c r="M1118" s="2" t="s">
        <v>55</v>
      </c>
      <c r="N1118" s="2"/>
      <c r="O1118" s="2"/>
      <c r="P1118" s="6" t="s">
        <v>57</v>
      </c>
      <c r="Q1118" s="6" t="s">
        <v>57</v>
      </c>
      <c r="R1118" s="6" t="s">
        <v>57</v>
      </c>
      <c r="S1118" s="2"/>
      <c r="T1118" s="6" t="s">
        <v>57</v>
      </c>
      <c r="U1118" s="6" t="s">
        <v>57</v>
      </c>
      <c r="V1118" s="6" t="s">
        <v>57</v>
      </c>
      <c r="W1118" s="6" t="s">
        <v>57</v>
      </c>
      <c r="X1118" s="6" t="s">
        <v>57</v>
      </c>
      <c r="Y1118" s="6" t="s">
        <v>57</v>
      </c>
      <c r="Z1118" s="6" t="s">
        <v>57</v>
      </c>
      <c r="AA1118" s="6" t="s">
        <v>57</v>
      </c>
      <c r="AB1118" s="6" t="s">
        <v>57</v>
      </c>
      <c r="AC1118" s="6" t="s">
        <v>57</v>
      </c>
      <c r="AD1118" s="6" t="s">
        <v>57</v>
      </c>
      <c r="AE1118" s="6" t="s">
        <v>57</v>
      </c>
      <c r="AF1118" s="6" t="s">
        <v>57</v>
      </c>
      <c r="AG1118" s="6" t="s">
        <v>57</v>
      </c>
      <c r="AH1118" s="6" t="s">
        <v>57</v>
      </c>
      <c r="AI1118" s="6" t="s">
        <v>57</v>
      </c>
      <c r="AJ1118" s="6" t="s">
        <v>57</v>
      </c>
      <c r="AK1118" s="6" t="s">
        <v>57</v>
      </c>
      <c r="AL1118" s="6" t="s">
        <v>57</v>
      </c>
      <c r="AM1118" s="6" t="s">
        <v>57</v>
      </c>
      <c r="AN1118" s="6" t="s">
        <v>57</v>
      </c>
      <c r="AO1118" s="6" t="s">
        <v>57</v>
      </c>
      <c r="AP1118" s="6" t="s">
        <v>57</v>
      </c>
      <c r="AQ1118" s="6" t="s">
        <v>57</v>
      </c>
    </row>
    <row r="1119" spans="1:43" ht="15">
      <c r="A1119" s="2" t="s">
        <v>3893</v>
      </c>
      <c r="B1119" s="5">
        <v>123919774</v>
      </c>
      <c r="C1119" s="2" t="s">
        <v>23</v>
      </c>
      <c r="D1119" s="2" t="s">
        <v>3894</v>
      </c>
      <c r="E1119" s="2" t="s">
        <v>3895</v>
      </c>
      <c r="F1119" s="2" t="s">
        <v>26</v>
      </c>
      <c r="G1119" s="2" t="s">
        <v>26</v>
      </c>
      <c r="H1119" s="2" t="s">
        <v>27</v>
      </c>
      <c r="I1119" s="2" t="s">
        <v>28</v>
      </c>
      <c r="J1119" s="6"/>
      <c r="K1119" s="2" t="s">
        <v>55</v>
      </c>
      <c r="L1119" s="2" t="s">
        <v>56</v>
      </c>
      <c r="M1119" s="2" t="s">
        <v>55</v>
      </c>
      <c r="N1119" s="2"/>
      <c r="O1119" s="2"/>
      <c r="P1119" s="6" t="s">
        <v>57</v>
      </c>
      <c r="Q1119" s="6" t="s">
        <v>57</v>
      </c>
      <c r="R1119" s="6" t="s">
        <v>57</v>
      </c>
      <c r="S1119" s="2"/>
      <c r="T1119" s="6" t="s">
        <v>57</v>
      </c>
      <c r="U1119" s="6" t="s">
        <v>57</v>
      </c>
      <c r="V1119" s="6" t="s">
        <v>57</v>
      </c>
      <c r="W1119" s="6" t="s">
        <v>57</v>
      </c>
      <c r="X1119" s="6" t="s">
        <v>57</v>
      </c>
      <c r="Y1119" s="6" t="s">
        <v>57</v>
      </c>
      <c r="Z1119" s="6" t="s">
        <v>57</v>
      </c>
      <c r="AA1119" s="6" t="s">
        <v>57</v>
      </c>
      <c r="AB1119" s="6" t="s">
        <v>57</v>
      </c>
      <c r="AC1119" s="6" t="s">
        <v>57</v>
      </c>
      <c r="AD1119" s="6" t="s">
        <v>57</v>
      </c>
      <c r="AE1119" s="6" t="s">
        <v>57</v>
      </c>
      <c r="AF1119" s="6" t="s">
        <v>57</v>
      </c>
      <c r="AG1119" s="6" t="s">
        <v>57</v>
      </c>
      <c r="AH1119" s="6" t="s">
        <v>57</v>
      </c>
      <c r="AI1119" s="6" t="s">
        <v>57</v>
      </c>
      <c r="AJ1119" s="6" t="s">
        <v>57</v>
      </c>
      <c r="AK1119" s="6" t="s">
        <v>57</v>
      </c>
      <c r="AL1119" s="6" t="s">
        <v>57</v>
      </c>
      <c r="AM1119" s="6" t="s">
        <v>57</v>
      </c>
      <c r="AN1119" s="6" t="s">
        <v>57</v>
      </c>
      <c r="AO1119" s="6" t="s">
        <v>57</v>
      </c>
      <c r="AP1119" s="6" t="s">
        <v>57</v>
      </c>
      <c r="AQ1119" s="6" t="s">
        <v>57</v>
      </c>
    </row>
    <row r="1120" spans="1:43" ht="15">
      <c r="A1120" s="2" t="s">
        <v>3896</v>
      </c>
      <c r="B1120" s="5">
        <v>118264731</v>
      </c>
      <c r="C1120" s="2" t="s">
        <v>23</v>
      </c>
      <c r="D1120" s="2" t="s">
        <v>3897</v>
      </c>
      <c r="E1120" s="2" t="s">
        <v>3898</v>
      </c>
      <c r="F1120" s="2" t="s">
        <v>26</v>
      </c>
      <c r="G1120" s="2" t="s">
        <v>26</v>
      </c>
      <c r="H1120" s="2" t="s">
        <v>27</v>
      </c>
      <c r="I1120" s="2" t="s">
        <v>28</v>
      </c>
      <c r="J1120" s="6"/>
      <c r="K1120" s="2" t="s">
        <v>55</v>
      </c>
      <c r="L1120" s="2" t="s">
        <v>56</v>
      </c>
      <c r="M1120" s="2" t="s">
        <v>55</v>
      </c>
      <c r="N1120" s="2"/>
      <c r="O1120" s="2"/>
      <c r="P1120" s="6" t="s">
        <v>57</v>
      </c>
      <c r="Q1120" s="6" t="s">
        <v>57</v>
      </c>
      <c r="R1120" s="6" t="s">
        <v>57</v>
      </c>
      <c r="S1120" s="2"/>
      <c r="T1120" s="6" t="s">
        <v>57</v>
      </c>
      <c r="U1120" s="6" t="s">
        <v>57</v>
      </c>
      <c r="V1120" s="6" t="s">
        <v>57</v>
      </c>
      <c r="W1120" s="6" t="s">
        <v>57</v>
      </c>
      <c r="X1120" s="6" t="s">
        <v>57</v>
      </c>
      <c r="Y1120" s="6" t="s">
        <v>57</v>
      </c>
      <c r="Z1120" s="6" t="s">
        <v>57</v>
      </c>
      <c r="AA1120" s="6" t="s">
        <v>57</v>
      </c>
      <c r="AB1120" s="6" t="s">
        <v>57</v>
      </c>
      <c r="AC1120" s="6" t="s">
        <v>57</v>
      </c>
      <c r="AD1120" s="6" t="s">
        <v>57</v>
      </c>
      <c r="AE1120" s="6" t="s">
        <v>57</v>
      </c>
      <c r="AF1120" s="6" t="s">
        <v>57</v>
      </c>
      <c r="AG1120" s="6" t="s">
        <v>57</v>
      </c>
      <c r="AH1120" s="6" t="s">
        <v>57</v>
      </c>
      <c r="AI1120" s="6" t="s">
        <v>57</v>
      </c>
      <c r="AJ1120" s="6" t="s">
        <v>57</v>
      </c>
      <c r="AK1120" s="6" t="s">
        <v>57</v>
      </c>
      <c r="AL1120" s="6" t="s">
        <v>57</v>
      </c>
      <c r="AM1120" s="6" t="s">
        <v>57</v>
      </c>
      <c r="AN1120" s="6" t="s">
        <v>57</v>
      </c>
      <c r="AO1120" s="6" t="s">
        <v>57</v>
      </c>
      <c r="AP1120" s="6" t="s">
        <v>57</v>
      </c>
      <c r="AQ1120" s="6" t="s">
        <v>57</v>
      </c>
    </row>
    <row r="1121" spans="1:43" ht="15">
      <c r="A1121" s="2" t="s">
        <v>3899</v>
      </c>
      <c r="B1121" s="5">
        <v>24794470</v>
      </c>
      <c r="C1121" s="2" t="s">
        <v>23</v>
      </c>
      <c r="D1121" s="2" t="s">
        <v>3900</v>
      </c>
      <c r="E1121" s="2" t="s">
        <v>3901</v>
      </c>
      <c r="F1121" s="2" t="s">
        <v>26</v>
      </c>
      <c r="G1121" s="2" t="s">
        <v>26</v>
      </c>
      <c r="H1121" s="2" t="s">
        <v>27</v>
      </c>
      <c r="I1121" s="2" t="s">
        <v>28</v>
      </c>
      <c r="J1121" s="6"/>
      <c r="K1121" s="2" t="s">
        <v>55</v>
      </c>
      <c r="L1121" s="2" t="s">
        <v>56</v>
      </c>
      <c r="M1121" s="2" t="s">
        <v>55</v>
      </c>
      <c r="N1121" s="2"/>
      <c r="O1121" s="2"/>
      <c r="P1121" s="6" t="s">
        <v>57</v>
      </c>
      <c r="Q1121" s="6" t="s">
        <v>57</v>
      </c>
      <c r="R1121" s="9">
        <v>0</v>
      </c>
      <c r="S1121" s="2"/>
      <c r="T1121" s="9">
        <v>0</v>
      </c>
      <c r="U1121" s="9">
        <v>0</v>
      </c>
      <c r="V1121" s="9">
        <v>0</v>
      </c>
      <c r="W1121" s="9">
        <v>0</v>
      </c>
      <c r="X1121" s="9">
        <v>0</v>
      </c>
      <c r="Y1121" s="9">
        <v>0</v>
      </c>
      <c r="Z1121" s="9">
        <v>0</v>
      </c>
      <c r="AA1121" s="9">
        <v>0</v>
      </c>
      <c r="AB1121" s="9">
        <v>0</v>
      </c>
      <c r="AC1121" s="9">
        <v>0</v>
      </c>
      <c r="AD1121" s="9">
        <v>0</v>
      </c>
      <c r="AE1121" s="6" t="s">
        <v>57</v>
      </c>
      <c r="AF1121" s="6" t="s">
        <v>57</v>
      </c>
      <c r="AG1121" s="6" t="s">
        <v>57</v>
      </c>
      <c r="AH1121" s="6" t="s">
        <v>57</v>
      </c>
      <c r="AI1121" s="6" t="s">
        <v>57</v>
      </c>
      <c r="AJ1121" s="6" t="s">
        <v>57</v>
      </c>
      <c r="AK1121" s="6" t="s">
        <v>57</v>
      </c>
      <c r="AL1121" s="6" t="s">
        <v>57</v>
      </c>
      <c r="AM1121" s="6" t="s">
        <v>57</v>
      </c>
      <c r="AN1121" s="6" t="s">
        <v>57</v>
      </c>
      <c r="AO1121" s="6" t="s">
        <v>57</v>
      </c>
      <c r="AP1121" s="6" t="s">
        <v>57</v>
      </c>
      <c r="AQ1121" s="9">
        <v>0</v>
      </c>
    </row>
    <row r="1122" spans="1:43" ht="15">
      <c r="A1122" s="2" t="s">
        <v>3902</v>
      </c>
      <c r="B1122" s="5">
        <v>138807010</v>
      </c>
      <c r="C1122" s="2" t="s">
        <v>23</v>
      </c>
      <c r="D1122" s="2" t="s">
        <v>3903</v>
      </c>
      <c r="E1122" s="2" t="s">
        <v>3904</v>
      </c>
      <c r="F1122" s="2" t="s">
        <v>26</v>
      </c>
      <c r="G1122" s="2"/>
      <c r="H1122" s="2"/>
      <c r="I1122" s="2" t="s">
        <v>28</v>
      </c>
      <c r="J1122" s="6"/>
      <c r="K1122" s="2" t="s">
        <v>55</v>
      </c>
      <c r="L1122" s="2" t="s">
        <v>56</v>
      </c>
      <c r="M1122" s="2" t="s">
        <v>55</v>
      </c>
      <c r="N1122" s="2"/>
      <c r="O1122" s="2"/>
      <c r="P1122" s="6" t="s">
        <v>57</v>
      </c>
      <c r="Q1122" s="6" t="s">
        <v>57</v>
      </c>
      <c r="R1122" s="6" t="s">
        <v>57</v>
      </c>
      <c r="S1122" s="2"/>
      <c r="T1122" s="6" t="s">
        <v>57</v>
      </c>
      <c r="U1122" s="6" t="s">
        <v>57</v>
      </c>
      <c r="V1122" s="6" t="s">
        <v>57</v>
      </c>
      <c r="W1122" s="6" t="s">
        <v>57</v>
      </c>
      <c r="X1122" s="6" t="s">
        <v>57</v>
      </c>
      <c r="Y1122" s="6" t="s">
        <v>57</v>
      </c>
      <c r="Z1122" s="6" t="s">
        <v>57</v>
      </c>
      <c r="AA1122" s="6" t="s">
        <v>57</v>
      </c>
      <c r="AB1122" s="6" t="s">
        <v>57</v>
      </c>
      <c r="AC1122" s="6" t="s">
        <v>57</v>
      </c>
      <c r="AD1122" s="6" t="s">
        <v>57</v>
      </c>
      <c r="AE1122" s="6" t="s">
        <v>57</v>
      </c>
      <c r="AF1122" s="6" t="s">
        <v>57</v>
      </c>
      <c r="AG1122" s="6" t="s">
        <v>57</v>
      </c>
      <c r="AH1122" s="6" t="s">
        <v>57</v>
      </c>
      <c r="AI1122" s="6" t="s">
        <v>57</v>
      </c>
      <c r="AJ1122" s="6" t="s">
        <v>57</v>
      </c>
      <c r="AK1122" s="6" t="s">
        <v>57</v>
      </c>
      <c r="AL1122" s="6" t="s">
        <v>57</v>
      </c>
      <c r="AM1122" s="6" t="s">
        <v>57</v>
      </c>
      <c r="AN1122" s="6" t="s">
        <v>57</v>
      </c>
      <c r="AO1122" s="6" t="s">
        <v>57</v>
      </c>
      <c r="AP1122" s="6" t="s">
        <v>57</v>
      </c>
      <c r="AQ1122" s="6" t="s">
        <v>57</v>
      </c>
    </row>
    <row r="1123" spans="1:43" ht="15">
      <c r="A1123" s="2" t="s">
        <v>3905</v>
      </c>
      <c r="B1123" s="5">
        <v>4861771</v>
      </c>
      <c r="C1123" s="2" t="s">
        <v>23</v>
      </c>
      <c r="D1123" s="2" t="s">
        <v>3906</v>
      </c>
      <c r="E1123" s="2" t="s">
        <v>3907</v>
      </c>
      <c r="F1123" s="2" t="s">
        <v>26</v>
      </c>
      <c r="G1123" s="2" t="s">
        <v>26</v>
      </c>
      <c r="H1123" s="2" t="s">
        <v>27</v>
      </c>
      <c r="I1123" s="2" t="s">
        <v>28</v>
      </c>
      <c r="J1123" s="6"/>
      <c r="K1123" s="2" t="s">
        <v>443</v>
      </c>
      <c r="L1123" s="2" t="s">
        <v>99</v>
      </c>
      <c r="M1123" s="2" t="s">
        <v>100</v>
      </c>
      <c r="N1123" s="2" t="s">
        <v>443</v>
      </c>
      <c r="O1123" s="2"/>
      <c r="P1123" s="7">
        <v>236.77690964973499</v>
      </c>
      <c r="Q1123" s="8">
        <v>188.65333332494399</v>
      </c>
      <c r="R1123" s="9">
        <v>37935</v>
      </c>
      <c r="S1123" s="2" t="s">
        <v>3908</v>
      </c>
      <c r="T1123" s="9">
        <v>50660</v>
      </c>
      <c r="U1123" s="9">
        <v>58915</v>
      </c>
      <c r="V1123" s="9">
        <v>40261</v>
      </c>
      <c r="W1123" s="9">
        <v>30636</v>
      </c>
      <c r="X1123" s="9">
        <v>30521</v>
      </c>
      <c r="Y1123" s="9">
        <v>23743</v>
      </c>
      <c r="Z1123" s="9">
        <v>30570</v>
      </c>
      <c r="AA1123" s="9">
        <v>32511</v>
      </c>
      <c r="AB1123" s="9">
        <v>64180</v>
      </c>
      <c r="AC1123" s="9">
        <v>41795</v>
      </c>
      <c r="AD1123" s="9">
        <v>35234</v>
      </c>
      <c r="AE1123" s="7">
        <v>0.085993399216042099</v>
      </c>
      <c r="AF1123" s="7">
        <v>0.114838458938139</v>
      </c>
      <c r="AG1123" s="7">
        <v>0.13355319700683899</v>
      </c>
      <c r="AH1123" s="7">
        <v>0.091265871630658593</v>
      </c>
      <c r="AI1123" s="7">
        <v>0.069448558764320406</v>
      </c>
      <c r="AJ1123" s="7">
        <v>0.069187348889581196</v>
      </c>
      <c r="AK1123" s="7">
        <v>0.053821048684550399</v>
      </c>
      <c r="AL1123" s="7">
        <v>0.0692970784155095</v>
      </c>
      <c r="AM1123" s="7">
        <v>0.073697276683709206</v>
      </c>
      <c r="AN1123" s="7">
        <v>0.14548815647817401</v>
      </c>
      <c r="AO1123" s="7">
        <v>0.094742816531780003</v>
      </c>
      <c r="AP1123" s="7">
        <v>0.079869618538016607</v>
      </c>
      <c r="AQ1123" s="9">
        <v>70665</v>
      </c>
    </row>
    <row r="1124" spans="1:43" ht="15">
      <c r="A1124" s="2" t="s">
        <v>3909</v>
      </c>
      <c r="B1124" s="5">
        <v>107999537</v>
      </c>
      <c r="C1124" s="2" t="s">
        <v>23</v>
      </c>
      <c r="D1124" s="2" t="s">
        <v>3910</v>
      </c>
      <c r="E1124" s="2" t="s">
        <v>3911</v>
      </c>
      <c r="F1124" s="2" t="s">
        <v>26</v>
      </c>
      <c r="G1124" s="2"/>
      <c r="H1124" s="2"/>
      <c r="I1124" s="2" t="s">
        <v>28</v>
      </c>
      <c r="J1124" s="6"/>
      <c r="K1124" s="2" t="s">
        <v>55</v>
      </c>
      <c r="L1124" s="2" t="s">
        <v>56</v>
      </c>
      <c r="M1124" s="2" t="s">
        <v>55</v>
      </c>
      <c r="N1124" s="2"/>
      <c r="O1124" s="2"/>
      <c r="P1124" s="6" t="s">
        <v>57</v>
      </c>
      <c r="Q1124" s="6" t="s">
        <v>57</v>
      </c>
      <c r="R1124" s="9">
        <v>0</v>
      </c>
      <c r="S1124" s="2"/>
      <c r="T1124" s="9">
        <v>0</v>
      </c>
      <c r="U1124" s="9">
        <v>0</v>
      </c>
      <c r="V1124" s="9">
        <v>0</v>
      </c>
      <c r="W1124" s="9">
        <v>0</v>
      </c>
      <c r="X1124" s="9">
        <v>0</v>
      </c>
      <c r="Y1124" s="9">
        <v>0</v>
      </c>
      <c r="Z1124" s="9">
        <v>0</v>
      </c>
      <c r="AA1124" s="9">
        <v>0</v>
      </c>
      <c r="AB1124" s="9">
        <v>0</v>
      </c>
      <c r="AC1124" s="9">
        <v>0</v>
      </c>
      <c r="AD1124" s="9">
        <v>0</v>
      </c>
      <c r="AE1124" s="6" t="s">
        <v>57</v>
      </c>
      <c r="AF1124" s="6" t="s">
        <v>57</v>
      </c>
      <c r="AG1124" s="6" t="s">
        <v>57</v>
      </c>
      <c r="AH1124" s="6" t="s">
        <v>57</v>
      </c>
      <c r="AI1124" s="6" t="s">
        <v>57</v>
      </c>
      <c r="AJ1124" s="6" t="s">
        <v>57</v>
      </c>
      <c r="AK1124" s="6" t="s">
        <v>57</v>
      </c>
      <c r="AL1124" s="6" t="s">
        <v>57</v>
      </c>
      <c r="AM1124" s="6" t="s">
        <v>57</v>
      </c>
      <c r="AN1124" s="6" t="s">
        <v>57</v>
      </c>
      <c r="AO1124" s="6" t="s">
        <v>57</v>
      </c>
      <c r="AP1124" s="6" t="s">
        <v>57</v>
      </c>
      <c r="AQ1124" s="9">
        <v>0</v>
      </c>
    </row>
    <row r="1125" spans="1:43" ht="15">
      <c r="A1125" s="2" t="s">
        <v>3912</v>
      </c>
      <c r="B1125" s="5">
        <v>20200401</v>
      </c>
      <c r="C1125" s="2" t="s">
        <v>23</v>
      </c>
      <c r="D1125" s="2" t="s">
        <v>3913</v>
      </c>
      <c r="E1125" s="2" t="s">
        <v>3914</v>
      </c>
      <c r="F1125" s="2" t="s">
        <v>26</v>
      </c>
      <c r="G1125" s="2"/>
      <c r="H1125" s="2"/>
      <c r="I1125" s="2" t="s">
        <v>28</v>
      </c>
      <c r="J1125" s="6"/>
      <c r="K1125" s="2" t="s">
        <v>55</v>
      </c>
      <c r="L1125" s="2" t="s">
        <v>56</v>
      </c>
      <c r="M1125" s="2" t="s">
        <v>55</v>
      </c>
      <c r="N1125" s="2"/>
      <c r="O1125" s="2"/>
      <c r="P1125" s="6" t="s">
        <v>57</v>
      </c>
      <c r="Q1125" s="6" t="s">
        <v>57</v>
      </c>
      <c r="R1125" s="9">
        <v>0</v>
      </c>
      <c r="S1125" s="2"/>
      <c r="T1125" s="9">
        <v>0</v>
      </c>
      <c r="U1125" s="9">
        <v>0</v>
      </c>
      <c r="V1125" s="9">
        <v>0</v>
      </c>
      <c r="W1125" s="9">
        <v>9</v>
      </c>
      <c r="X1125" s="9">
        <v>9</v>
      </c>
      <c r="Y1125" s="9">
        <v>4</v>
      </c>
      <c r="Z1125" s="9">
        <v>8</v>
      </c>
      <c r="AA1125" s="9">
        <v>12</v>
      </c>
      <c r="AB1125" s="9">
        <v>0</v>
      </c>
      <c r="AC1125" s="9">
        <v>0</v>
      </c>
      <c r="AD1125" s="9">
        <v>0</v>
      </c>
      <c r="AE1125" s="6" t="s">
        <v>57</v>
      </c>
      <c r="AF1125" s="6" t="s">
        <v>57</v>
      </c>
      <c r="AG1125" s="6" t="s">
        <v>57</v>
      </c>
      <c r="AH1125" s="6" t="s">
        <v>57</v>
      </c>
      <c r="AI1125" s="6" t="s">
        <v>57</v>
      </c>
      <c r="AJ1125" s="6" t="s">
        <v>57</v>
      </c>
      <c r="AK1125" s="6" t="s">
        <v>57</v>
      </c>
      <c r="AL1125" s="6" t="s">
        <v>57</v>
      </c>
      <c r="AM1125" s="6" t="s">
        <v>57</v>
      </c>
      <c r="AN1125" s="6" t="s">
        <v>57</v>
      </c>
      <c r="AO1125" s="6" t="s">
        <v>57</v>
      </c>
      <c r="AP1125" s="6" t="s">
        <v>57</v>
      </c>
      <c r="AQ1125" s="9">
        <v>0</v>
      </c>
    </row>
    <row r="1126" spans="1:43" ht="15">
      <c r="A1126" s="2" t="s">
        <v>3915</v>
      </c>
      <c r="B1126" s="5">
        <v>111433397</v>
      </c>
      <c r="C1126" s="2" t="s">
        <v>23</v>
      </c>
      <c r="D1126" s="2" t="s">
        <v>3916</v>
      </c>
      <c r="E1126" s="2" t="s">
        <v>3917</v>
      </c>
      <c r="F1126" s="2" t="s">
        <v>26</v>
      </c>
      <c r="G1126" s="2"/>
      <c r="H1126" s="2"/>
      <c r="I1126" s="2" t="s">
        <v>28</v>
      </c>
      <c r="J1126" s="6"/>
      <c r="K1126" s="2" t="s">
        <v>55</v>
      </c>
      <c r="L1126" s="2" t="s">
        <v>56</v>
      </c>
      <c r="M1126" s="2" t="s">
        <v>55</v>
      </c>
      <c r="N1126" s="2"/>
      <c r="O1126" s="2"/>
      <c r="P1126" s="6" t="s">
        <v>57</v>
      </c>
      <c r="Q1126" s="6" t="s">
        <v>57</v>
      </c>
      <c r="R1126" s="6" t="s">
        <v>57</v>
      </c>
      <c r="S1126" s="2"/>
      <c r="T1126" s="6" t="s">
        <v>57</v>
      </c>
      <c r="U1126" s="6" t="s">
        <v>57</v>
      </c>
      <c r="V1126" s="6" t="s">
        <v>57</v>
      </c>
      <c r="W1126" s="6" t="s">
        <v>57</v>
      </c>
      <c r="X1126" s="6" t="s">
        <v>57</v>
      </c>
      <c r="Y1126" s="6" t="s">
        <v>57</v>
      </c>
      <c r="Z1126" s="6" t="s">
        <v>57</v>
      </c>
      <c r="AA1126" s="6" t="s">
        <v>57</v>
      </c>
      <c r="AB1126" s="6" t="s">
        <v>57</v>
      </c>
      <c r="AC1126" s="6" t="s">
        <v>57</v>
      </c>
      <c r="AD1126" s="6" t="s">
        <v>57</v>
      </c>
      <c r="AE1126" s="6" t="s">
        <v>57</v>
      </c>
      <c r="AF1126" s="6" t="s">
        <v>57</v>
      </c>
      <c r="AG1126" s="6" t="s">
        <v>57</v>
      </c>
      <c r="AH1126" s="6" t="s">
        <v>57</v>
      </c>
      <c r="AI1126" s="6" t="s">
        <v>57</v>
      </c>
      <c r="AJ1126" s="6" t="s">
        <v>57</v>
      </c>
      <c r="AK1126" s="6" t="s">
        <v>57</v>
      </c>
      <c r="AL1126" s="6" t="s">
        <v>57</v>
      </c>
      <c r="AM1126" s="6" t="s">
        <v>57</v>
      </c>
      <c r="AN1126" s="6" t="s">
        <v>57</v>
      </c>
      <c r="AO1126" s="6" t="s">
        <v>57</v>
      </c>
      <c r="AP1126" s="6" t="s">
        <v>57</v>
      </c>
      <c r="AQ1126" s="6" t="s">
        <v>57</v>
      </c>
    </row>
    <row r="1127" spans="1:43" ht="15">
      <c r="A1127" s="2" t="s">
        <v>3918</v>
      </c>
      <c r="B1127" s="5">
        <v>111433299</v>
      </c>
      <c r="C1127" s="2" t="s">
        <v>23</v>
      </c>
      <c r="D1127" s="2" t="s">
        <v>3916</v>
      </c>
      <c r="E1127" s="2" t="s">
        <v>3919</v>
      </c>
      <c r="F1127" s="2" t="s">
        <v>26</v>
      </c>
      <c r="G1127" s="2"/>
      <c r="H1127" s="2"/>
      <c r="I1127" s="2" t="s">
        <v>28</v>
      </c>
      <c r="J1127" s="6"/>
      <c r="K1127" s="2" t="s">
        <v>55</v>
      </c>
      <c r="L1127" s="2" t="s">
        <v>56</v>
      </c>
      <c r="M1127" s="2" t="s">
        <v>55</v>
      </c>
      <c r="N1127" s="2"/>
      <c r="O1127" s="2"/>
      <c r="P1127" s="6" t="s">
        <v>57</v>
      </c>
      <c r="Q1127" s="6" t="s">
        <v>57</v>
      </c>
      <c r="R1127" s="6" t="s">
        <v>57</v>
      </c>
      <c r="S1127" s="2"/>
      <c r="T1127" s="6" t="s">
        <v>57</v>
      </c>
      <c r="U1127" s="6" t="s">
        <v>57</v>
      </c>
      <c r="V1127" s="6" t="s">
        <v>57</v>
      </c>
      <c r="W1127" s="6" t="s">
        <v>57</v>
      </c>
      <c r="X1127" s="6" t="s">
        <v>57</v>
      </c>
      <c r="Y1127" s="6" t="s">
        <v>57</v>
      </c>
      <c r="Z1127" s="6" t="s">
        <v>57</v>
      </c>
      <c r="AA1127" s="6" t="s">
        <v>57</v>
      </c>
      <c r="AB1127" s="6" t="s">
        <v>57</v>
      </c>
      <c r="AC1127" s="6" t="s">
        <v>57</v>
      </c>
      <c r="AD1127" s="6" t="s">
        <v>57</v>
      </c>
      <c r="AE1127" s="6" t="s">
        <v>57</v>
      </c>
      <c r="AF1127" s="6" t="s">
        <v>57</v>
      </c>
      <c r="AG1127" s="6" t="s">
        <v>57</v>
      </c>
      <c r="AH1127" s="6" t="s">
        <v>57</v>
      </c>
      <c r="AI1127" s="6" t="s">
        <v>57</v>
      </c>
      <c r="AJ1127" s="6" t="s">
        <v>57</v>
      </c>
      <c r="AK1127" s="6" t="s">
        <v>57</v>
      </c>
      <c r="AL1127" s="6" t="s">
        <v>57</v>
      </c>
      <c r="AM1127" s="6" t="s">
        <v>57</v>
      </c>
      <c r="AN1127" s="6" t="s">
        <v>57</v>
      </c>
      <c r="AO1127" s="6" t="s">
        <v>57</v>
      </c>
      <c r="AP1127" s="6" t="s">
        <v>57</v>
      </c>
      <c r="AQ1127" s="6" t="s">
        <v>57</v>
      </c>
    </row>
    <row r="1128" spans="1:43" ht="15">
      <c r="A1128" s="2" t="s">
        <v>3920</v>
      </c>
      <c r="B1128" s="5">
        <v>4175264</v>
      </c>
      <c r="C1128" s="2" t="s">
        <v>23</v>
      </c>
      <c r="D1128" s="2" t="s">
        <v>3921</v>
      </c>
      <c r="E1128" s="2" t="s">
        <v>3922</v>
      </c>
      <c r="F1128" s="2" t="s">
        <v>26</v>
      </c>
      <c r="G1128" s="2" t="s">
        <v>26</v>
      </c>
      <c r="H1128" s="2" t="s">
        <v>27</v>
      </c>
      <c r="I1128" s="2" t="s">
        <v>40</v>
      </c>
      <c r="J1128" s="6"/>
      <c r="K1128" s="2" t="s">
        <v>2588</v>
      </c>
      <c r="L1128" s="2" t="s">
        <v>56</v>
      </c>
      <c r="M1128" s="2" t="s">
        <v>602</v>
      </c>
      <c r="N1128" s="2" t="s">
        <v>2589</v>
      </c>
      <c r="O1128" s="2" t="s">
        <v>2588</v>
      </c>
      <c r="P1128" s="7">
        <v>83.526157509617903</v>
      </c>
      <c r="Q1128" s="8">
        <v>66.038335027792002</v>
      </c>
      <c r="R1128" s="9">
        <v>0</v>
      </c>
      <c r="S1128" s="2" t="s">
        <v>3923</v>
      </c>
      <c r="T1128" s="9">
        <v>0</v>
      </c>
      <c r="U1128" s="9">
        <v>60</v>
      </c>
      <c r="V1128" s="9">
        <v>414</v>
      </c>
      <c r="W1128" s="9">
        <v>4229</v>
      </c>
      <c r="X1128" s="9">
        <v>4212</v>
      </c>
      <c r="Y1128" s="9">
        <v>2197</v>
      </c>
      <c r="Z1128" s="9">
        <v>1467</v>
      </c>
      <c r="AA1128" s="9">
        <v>892</v>
      </c>
      <c r="AB1128" s="9">
        <v>0</v>
      </c>
      <c r="AC1128" s="9">
        <v>434</v>
      </c>
      <c r="AD1128" s="9">
        <v>222</v>
      </c>
      <c r="AE1128" s="7">
        <v>0</v>
      </c>
      <c r="AF1128" s="7">
        <v>0</v>
      </c>
      <c r="AG1128" s="7">
        <v>0.000166013334905335</v>
      </c>
      <c r="AH1128" s="7">
        <v>0.0011557283372742801</v>
      </c>
      <c r="AI1128" s="7">
        <v>0.0117985051296645</v>
      </c>
      <c r="AJ1128" s="7">
        <v>0.011751311109145899</v>
      </c>
      <c r="AK1128" s="7">
        <v>0.00613079669761055</v>
      </c>
      <c r="AL1128" s="7">
        <v>0.0040934010504685902</v>
      </c>
      <c r="AM1128" s="7">
        <v>0.0024884912028468099</v>
      </c>
      <c r="AN1128" s="7">
        <v>0</v>
      </c>
      <c r="AO1128" s="7">
        <v>0.0012120185558125299</v>
      </c>
      <c r="AP1128" s="7">
        <v>0.00061929859265377404</v>
      </c>
      <c r="AQ1128" s="9">
        <v>0</v>
      </c>
    </row>
  </sheetData>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D5"/>
  <sheetViews>
    <sheetView workbookViewId="0" topLeftCell="A1"/>
  </sheetViews>
  <sheetFormatPr defaultRowHeight="15"/>
  <cols>
    <col min="1" max="1" width="26.8571428571429" customWidth="1"/>
  </cols>
  <sheetData>
    <row r="1" spans="1:4" ht="40" customHeight="1">
      <c r="A1" s="11"/>
      <c r="B1" s="11"/>
      <c r="C1" s="11"/>
      <c r="D1" s="11"/>
    </row>
    <row r="2" spans="1:1" ht="15"/>
    <row r="3" spans="1:1" ht="15">
      <c r="A3" s="12" t="s">
        <v>3924</v>
      </c>
    </row>
    <row r="4" spans="1:1" ht="15">
      <c r="A4" s="12" t="s">
        <v>3925</v>
      </c>
    </row>
    <row r="5" spans="1:1" ht="15">
      <c r="A5" s="2" t="s">
        <v>3926</v>
      </c>
    </row>
  </sheetData>
  <mergeCells count="1">
    <mergeCell ref="A1:D1"/>
  </mergeCells>
  <pageMargins left="0.75" right="0.75" top="1" bottom="1" header="0.5" footer="0.5"/>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2</vt:i4>
      </vt:variant>
    </vt:vector>
  </HeadingPairs>
  <TitlesOfParts>
    <vt:vector size="2" baseType="lpstr">
      <vt:lpstr>Sheet1</vt:lpstr>
      <vt:lpstr>Screening Criteria</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